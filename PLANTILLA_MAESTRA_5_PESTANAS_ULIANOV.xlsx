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xmlns:r="http://schemas.openxmlformats.org/officeDocument/2006/relationships" name="1.1 PUNTUALES" sheetId="1" state="hidden" r:id="rId1"/>
    <sheet xmlns:r="http://schemas.openxmlformats.org/officeDocument/2006/relationships" name="2.1 DISTRIBUIDAS" sheetId="2" state="hidden" r:id="rId2"/>
    <sheet xmlns:r="http://schemas.openxmlformats.org/officeDocument/2006/relationships" name="3.1 MIXTAS" sheetId="3" state="visible" r:id="rId3"/>
    <sheet xmlns:r="http://schemas.openxmlformats.org/officeDocument/2006/relationships" name="4.1 COMODÍN" sheetId="4" state="hidden" r:id="rId4"/>
    <sheet xmlns:r="http://schemas.openxmlformats.org/officeDocument/2006/relationships" name="5. PLANTILLA GENERAL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"/>
    <numFmt numFmtId="165" formatCode="0.000"/>
    <numFmt numFmtId="166" formatCode="0.0000"/>
    <numFmt numFmtId="167" formatCode="0.0000E+00"/>
    <numFmt numFmtId="168" formatCode="0.000000000"/>
  </numFmts>
  <fonts count="1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b val="1"/>
      <color rgb="FF174F79"/>
      <sz val="18"/>
    </font>
    <font>
      <name val="Calibri"/>
      <b val="1"/>
      <color rgb="FF174F79"/>
      <sz val="14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000000"/>
      <sz val="10"/>
    </font>
    <font>
      <name val="Calibri"/>
      <color rgb="FF000000"/>
      <sz val="10"/>
    </font>
  </fonts>
  <fills count="26">
    <fill>
      <patternFill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  <fill>
      <patternFill patternType="solid">
        <fgColor rgb="FFCCECFF"/>
      </patternFill>
    </fill>
    <fill>
      <patternFill patternType="solid">
        <fgColor rgb="FFB4C6E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DEDFA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D0CE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00"/>
      </patternFill>
    </fill>
    <fill>
      <patternFill patternType="solid">
        <fgColor rgb="FFFFFF00"/>
      </patternFill>
    </fill>
  </fills>
  <borders count="5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medium">
        <color indexed="64"/>
      </left>
      <right style="thin">
        <color rgb="FF595959"/>
      </right>
      <top style="medium">
        <color indexed="64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medium">
        <color indexed="64"/>
      </top>
      <bottom style="thin">
        <color rgb="FF595959"/>
      </bottom>
      <diagonal/>
    </border>
    <border>
      <left style="thin">
        <color rgb="FF595959"/>
      </left>
      <right style="medium">
        <color indexed="64"/>
      </right>
      <top style="medium">
        <color indexed="64"/>
      </top>
      <bottom style="thin">
        <color rgb="FF595959"/>
      </bottom>
      <diagonal/>
    </border>
    <border>
      <left style="medium">
        <color indexed="64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indexed="64"/>
      </right>
      <top style="thin">
        <color rgb="FF595959"/>
      </top>
      <bottom style="thin">
        <color rgb="FF595959"/>
      </bottom>
      <diagonal/>
    </border>
    <border>
      <left style="medium">
        <color indexed="64"/>
      </left>
      <right style="thin">
        <color rgb="FF595959"/>
      </right>
      <top style="thin">
        <color rgb="FF595959"/>
      </top>
      <bottom style="medium">
        <color indexed="64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indexed="64"/>
      </bottom>
      <diagonal/>
    </border>
    <border>
      <left style="thin">
        <color rgb="FF595959"/>
      </left>
      <right style="medium">
        <color indexed="64"/>
      </right>
      <top style="thin">
        <color rgb="FF595959"/>
      </top>
      <bottom style="medium">
        <color indexed="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595959"/>
      </bottom>
      <diagonal/>
    </border>
    <border>
      <left style="medium">
        <color indexed="64"/>
      </left>
      <right style="medium">
        <color indexed="64"/>
      </right>
      <top style="thin">
        <color rgb="FF595959"/>
      </top>
      <bottom style="thin">
        <color rgb="FF595959"/>
      </bottom>
      <diagonal/>
    </border>
    <border>
      <left style="medium">
        <color indexed="64"/>
      </left>
      <right style="medium">
        <color indexed="64"/>
      </right>
      <top style="thin">
        <color rgb="FF595959"/>
      </top>
      <bottom style="medium">
        <color indexed="64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left" vertical="center" wrapText="1"/>
    </xf>
    <xf numFmtId="2" fontId="5" fillId="10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center" vertical="center" wrapText="1"/>
    </xf>
    <xf numFmtId="2" fontId="5" fillId="12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165" fontId="5" fillId="13" borderId="3" applyAlignment="1" pivotButton="0" quotePrefix="0" xfId="0">
      <alignment horizontal="center" vertical="center" wrapText="1"/>
    </xf>
    <xf numFmtId="0" fontId="5" fillId="14" borderId="3" applyAlignment="1" pivotButton="0" quotePrefix="0" xfId="0">
      <alignment horizontal="center" vertical="center" wrapText="1"/>
    </xf>
    <xf numFmtId="2" fontId="5" fillId="15" borderId="3" applyAlignment="1" pivotButton="0" quotePrefix="0" xfId="0">
      <alignment horizontal="center" vertical="center" wrapText="1"/>
    </xf>
    <xf numFmtId="2" fontId="8" fillId="15" borderId="3" applyAlignment="1" pivotButton="0" quotePrefix="0" xfId="0">
      <alignment horizontal="center" vertical="center" wrapText="1"/>
    </xf>
    <xf numFmtId="2" fontId="5" fillId="13" borderId="3" applyAlignment="1" pivotButton="0" quotePrefix="0" xfId="0">
      <alignment horizontal="center" vertical="center" wrapText="1"/>
    </xf>
    <xf numFmtId="0" fontId="5" fillId="14" borderId="3" applyAlignment="1" pivotButton="0" quotePrefix="0" xfId="0">
      <alignment horizontal="left" vertical="center" wrapText="1"/>
    </xf>
    <xf numFmtId="1" fontId="5" fillId="8" borderId="3" applyAlignment="1" pivotButton="0" quotePrefix="0" xfId="0">
      <alignment horizontal="center" vertical="center" wrapText="1"/>
    </xf>
    <xf numFmtId="2" fontId="5" fillId="12" borderId="5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5" fillId="14" borderId="4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166" fontId="8" fillId="15" borderId="3" applyAlignment="1" pivotButton="0" quotePrefix="0" xfId="0">
      <alignment horizontal="center" vertical="center" wrapText="1"/>
    </xf>
    <xf numFmtId="2" fontId="8" fillId="13" borderId="3" applyAlignment="1" pivotButton="0" quotePrefix="0" xfId="0">
      <alignment horizontal="center" vertical="center" wrapText="1"/>
    </xf>
    <xf numFmtId="2" fontId="8" fillId="16" borderId="3" applyAlignment="1" pivotButton="0" quotePrefix="0" xfId="0">
      <alignment horizontal="center" vertical="center" wrapText="1"/>
    </xf>
    <xf numFmtId="0" fontId="5" fillId="12" borderId="3" applyAlignment="1" pivotButton="0" quotePrefix="0" xfId="0">
      <alignment horizontal="center" vertical="center" wrapText="1"/>
    </xf>
    <xf numFmtId="0" fontId="5" fillId="16" borderId="3" applyAlignment="1" pivotButton="0" quotePrefix="0" xfId="0">
      <alignment horizontal="center" vertical="center" wrapText="1"/>
    </xf>
    <xf numFmtId="0" fontId="5" fillId="17" borderId="3" applyAlignment="1" pivotButton="0" quotePrefix="0" xfId="0">
      <alignment horizontal="center" vertical="center" wrapText="1"/>
    </xf>
    <xf numFmtId="0" fontId="5" fillId="13" borderId="3" applyAlignment="1" pivotButton="0" quotePrefix="0" xfId="0">
      <alignment horizontal="center" vertical="center" wrapText="1"/>
    </xf>
    <xf numFmtId="0" fontId="5" fillId="18" borderId="3" applyAlignment="1" pivotButton="0" quotePrefix="0" xfId="0">
      <alignment horizontal="center" vertical="center" wrapText="1"/>
    </xf>
    <xf numFmtId="0" fontId="5" fillId="19" borderId="3" applyAlignment="1" pivotButton="0" quotePrefix="0" xfId="0">
      <alignment horizontal="center" vertical="center" wrapText="1"/>
    </xf>
    <xf numFmtId="0" fontId="5" fillId="20" borderId="3" applyAlignment="1" pivotButton="0" quotePrefix="0" xfId="0">
      <alignment horizontal="center" vertical="center" wrapText="1"/>
    </xf>
    <xf numFmtId="0" fontId="5" fillId="21" borderId="3" applyAlignment="1" pivotButton="0" quotePrefix="0" xfId="0">
      <alignment horizontal="center" vertical="center" wrapText="1"/>
    </xf>
    <xf numFmtId="0" fontId="5" fillId="15" borderId="3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 wrapText="1"/>
    </xf>
    <xf numFmtId="0" fontId="8" fillId="15" borderId="3" applyAlignment="1" pivotButton="0" quotePrefix="0" xfId="0">
      <alignment horizontal="center" vertical="center" wrapText="1"/>
    </xf>
    <xf numFmtId="2" fontId="5" fillId="16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8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5" fillId="9" borderId="5" applyAlignment="1" pivotButton="0" quotePrefix="0" xfId="0">
      <alignment horizontal="right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14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3" fillId="22" borderId="1" applyAlignment="1" pivotButton="0" quotePrefix="0" xfId="0">
      <alignment horizontal="center" vertical="center" wrapText="1"/>
    </xf>
    <xf numFmtId="2" fontId="3" fillId="22" borderId="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2" fontId="3" fillId="0" borderId="12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0" fillId="0" borderId="13" pivotButton="0" quotePrefix="0" xfId="0"/>
    <xf numFmtId="2" fontId="3" fillId="0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2" fontId="2" fillId="4" borderId="18" applyAlignment="1" pivotButton="0" quotePrefix="0" xfId="0">
      <alignment horizontal="center" vertical="center" wrapText="1"/>
    </xf>
    <xf numFmtId="2" fontId="3" fillId="0" borderId="19" applyAlignment="1" pivotButton="0" quotePrefix="0" xfId="0">
      <alignment horizontal="center" vertical="center" wrapText="1"/>
    </xf>
    <xf numFmtId="2" fontId="3" fillId="0" borderId="18" applyAlignment="1" pivotButton="0" quotePrefix="0" xfId="0">
      <alignment horizontal="center" vertical="center" wrapText="1"/>
    </xf>
    <xf numFmtId="2" fontId="3" fillId="0" borderId="20" applyAlignment="1" pivotButton="0" quotePrefix="0" xfId="0">
      <alignment horizontal="center" vertical="center" wrapText="1"/>
    </xf>
    <xf numFmtId="2" fontId="3" fillId="0" borderId="21" applyAlignment="1" pivotButton="0" quotePrefix="0" xfId="0">
      <alignment horizontal="center" vertical="center" wrapText="1"/>
    </xf>
    <xf numFmtId="2" fontId="2" fillId="4" borderId="22" applyAlignment="1" pivotButton="0" quotePrefix="0" xfId="0">
      <alignment horizontal="center" vertical="center" wrapText="1"/>
    </xf>
    <xf numFmtId="0" fontId="2" fillId="4" borderId="2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2" fontId="3" fillId="5" borderId="14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0" fontId="3" fillId="5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2" fontId="3" fillId="5" borderId="16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4" borderId="16" applyAlignment="1" pivotButton="0" quotePrefix="0" xfId="0">
      <alignment horizontal="center" vertical="center" wrapText="1"/>
    </xf>
    <xf numFmtId="0" fontId="3" fillId="5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3" borderId="19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3" borderId="21" applyAlignment="1" pivotButton="0" quotePrefix="0" xfId="0">
      <alignment horizontal="center" vertical="center" wrapText="1"/>
    </xf>
    <xf numFmtId="0" fontId="0" fillId="0" borderId="25" pivotButton="0" quotePrefix="0" xfId="0"/>
    <xf numFmtId="0" fontId="2" fillId="4" borderId="21" applyAlignment="1" pivotButton="0" quotePrefix="0" xfId="0">
      <alignment horizontal="center" vertical="center" wrapText="1"/>
    </xf>
    <xf numFmtId="0" fontId="3" fillId="5" borderId="21" applyAlignment="1" pivotButton="0" quotePrefix="0" xfId="0">
      <alignment horizontal="center" vertical="center" wrapText="1"/>
    </xf>
    <xf numFmtId="0" fontId="3" fillId="3" borderId="22" applyAlignment="1" pivotButton="0" quotePrefix="0" xfId="0">
      <alignment horizontal="center" vertical="center" wrapText="1"/>
    </xf>
    <xf numFmtId="2" fontId="3" fillId="0" borderId="15" applyAlignment="1" pivotButton="0" quotePrefix="0" xfId="0">
      <alignment horizontal="center" vertical="center" wrapText="1"/>
    </xf>
    <xf numFmtId="2" fontId="3" fillId="0" borderId="16" applyAlignment="1" pivotButton="0" quotePrefix="0" xfId="0">
      <alignment horizontal="center" vertical="center" wrapText="1"/>
    </xf>
    <xf numFmtId="2" fontId="3" fillId="0" borderId="1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 wrapText="1"/>
    </xf>
    <xf numFmtId="2" fontId="3" fillId="4" borderId="22" applyAlignment="1" pivotButton="0" quotePrefix="0" xfId="0">
      <alignment horizontal="center" vertical="center" wrapText="1"/>
    </xf>
    <xf numFmtId="2" fontId="3" fillId="23" borderId="15" applyAlignment="1" pivotButton="0" quotePrefix="0" xfId="0">
      <alignment horizontal="center" vertical="center" wrapText="1"/>
    </xf>
    <xf numFmtId="0" fontId="2" fillId="23" borderId="24" applyAlignment="1" pivotButton="0" quotePrefix="0" xfId="0">
      <alignment horizontal="center" vertical="center" wrapText="1"/>
    </xf>
    <xf numFmtId="2" fontId="3" fillId="24" borderId="16" applyAlignment="1" pivotButton="0" quotePrefix="0" xfId="0">
      <alignment horizontal="center" vertical="center" wrapText="1"/>
    </xf>
    <xf numFmtId="2" fontId="3" fillId="23" borderId="16" applyAlignment="1" pivotButton="0" quotePrefix="0" xfId="0">
      <alignment horizontal="center" vertical="center" wrapText="1"/>
    </xf>
    <xf numFmtId="2" fontId="3" fillId="23" borderId="17" applyAlignment="1" pivotButton="0" quotePrefix="0" xfId="0">
      <alignment horizontal="center" vertical="center" wrapText="1"/>
    </xf>
    <xf numFmtId="2" fontId="3" fillId="23" borderId="18" applyAlignment="1" pivotButton="0" quotePrefix="0" xfId="0">
      <alignment horizontal="center" vertical="center" wrapText="1"/>
    </xf>
    <xf numFmtId="0" fontId="2" fillId="23" borderId="0" applyAlignment="1" pivotButton="0" quotePrefix="0" xfId="0">
      <alignment horizontal="center" vertical="center" wrapText="1"/>
    </xf>
    <xf numFmtId="2" fontId="3" fillId="23" borderId="1" applyAlignment="1" pivotButton="0" quotePrefix="0" xfId="0">
      <alignment horizontal="center" vertical="center" wrapText="1"/>
    </xf>
    <xf numFmtId="2" fontId="3" fillId="24" borderId="1" applyAlignment="1" pivotButton="0" quotePrefix="0" xfId="0">
      <alignment horizontal="center" vertical="center" wrapText="1"/>
    </xf>
    <xf numFmtId="2" fontId="3" fillId="23" borderId="19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 wrapText="1"/>
    </xf>
    <xf numFmtId="164" fontId="3" fillId="0" borderId="14" applyAlignment="1" pivotButton="0" quotePrefix="0" xfId="0">
      <alignment horizontal="center" vertical="center" wrapText="1"/>
    </xf>
    <xf numFmtId="164" fontId="3" fillId="0" borderId="16" applyAlignment="1" pivotButton="0" quotePrefix="0" xfId="0">
      <alignment horizontal="center" vertical="center" wrapText="1"/>
    </xf>
    <xf numFmtId="164" fontId="3" fillId="0" borderId="17" applyAlignment="1" pivotButton="0" quotePrefix="0" xfId="0">
      <alignment horizontal="center" vertical="center" wrapText="1"/>
    </xf>
    <xf numFmtId="164" fontId="3" fillId="0" borderId="19" applyAlignment="1" pivotButton="0" quotePrefix="0" xfId="0">
      <alignment horizontal="center" vertical="center" wrapText="1"/>
    </xf>
    <xf numFmtId="164" fontId="3" fillId="0" borderId="21" applyAlignment="1" pivotButton="0" quotePrefix="0" xfId="0">
      <alignment horizontal="center" vertical="center" wrapText="1"/>
    </xf>
    <xf numFmtId="164" fontId="3" fillId="0" borderId="22" applyAlignment="1" pivotButton="0" quotePrefix="0" xfId="0">
      <alignment horizontal="center" vertical="center" wrapText="1"/>
    </xf>
    <xf numFmtId="2" fontId="3" fillId="0" borderId="22" applyAlignment="1" pivotButton="0" quotePrefix="0" xfId="0">
      <alignment horizontal="center" vertical="center" wrapText="1"/>
    </xf>
    <xf numFmtId="0" fontId="11" fillId="14" borderId="3" applyAlignment="1" pivotButton="0" quotePrefix="0" xfId="0">
      <alignment horizontal="center" vertical="center" wrapText="1"/>
    </xf>
    <xf numFmtId="2" fontId="11" fillId="10" borderId="3" applyAlignment="1" pivotButton="0" quotePrefix="0" xfId="0">
      <alignment horizontal="center" vertical="center" wrapText="1"/>
    </xf>
    <xf numFmtId="0" fontId="11" fillId="15" borderId="3" applyAlignment="1" pivotButton="0" quotePrefix="0" xfId="0">
      <alignment horizontal="center" vertical="center" wrapText="1"/>
    </xf>
    <xf numFmtId="2" fontId="11" fillId="12" borderId="3" applyAlignment="1" pivotButton="0" quotePrefix="0" xfId="0">
      <alignment horizontal="center" vertical="center" wrapText="1"/>
    </xf>
    <xf numFmtId="2" fontId="12" fillId="15" borderId="3" applyAlignment="1" pivotButton="0" quotePrefix="0" xfId="0">
      <alignment horizontal="center" vertical="center" wrapText="1"/>
    </xf>
    <xf numFmtId="0" fontId="11" fillId="13" borderId="3" applyAlignment="1" pivotButton="0" quotePrefix="0" xfId="0">
      <alignment horizontal="center" vertical="center" wrapText="1"/>
    </xf>
    <xf numFmtId="167" fontId="11" fillId="12" borderId="3" applyAlignment="1" pivotButton="0" quotePrefix="0" xfId="0">
      <alignment horizontal="center" vertical="center" wrapText="1"/>
    </xf>
    <xf numFmtId="167" fontId="12" fillId="15" borderId="3" applyAlignment="1" pivotButton="0" quotePrefix="0" xfId="0">
      <alignment horizontal="center" vertical="center" wrapText="1"/>
    </xf>
    <xf numFmtId="0" fontId="13" fillId="14" borderId="3" applyAlignment="1" pivotButton="0" quotePrefix="0" xfId="0">
      <alignment horizontal="center" vertical="center" wrapText="1"/>
    </xf>
    <xf numFmtId="0" fontId="13" fillId="10" borderId="3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168" fontId="13" fillId="12" borderId="3" applyAlignment="1" pivotButton="0" quotePrefix="0" xfId="0">
      <alignment horizontal="center" vertical="center" wrapText="1"/>
    </xf>
    <xf numFmtId="0" fontId="14" fillId="11" borderId="3" applyAlignment="1" pivotButton="0" quotePrefix="0" xfId="0">
      <alignment horizontal="center" vertical="center" wrapText="1"/>
    </xf>
    <xf numFmtId="0" fontId="11" fillId="15" borderId="29" applyAlignment="1" pivotButton="0" quotePrefix="0" xfId="0">
      <alignment horizontal="center" vertical="center" wrapText="1"/>
    </xf>
    <xf numFmtId="167" fontId="11" fillId="12" borderId="30" applyAlignment="1" pivotButton="0" quotePrefix="0" xfId="0">
      <alignment horizontal="center" vertical="center" wrapText="1"/>
    </xf>
    <xf numFmtId="167" fontId="12" fillId="15" borderId="31" applyAlignment="1" pivotButton="0" quotePrefix="0" xfId="0">
      <alignment horizontal="center" vertical="center" wrapText="1"/>
    </xf>
    <xf numFmtId="167" fontId="12" fillId="15" borderId="32" applyAlignment="1" pivotButton="0" quotePrefix="0" xfId="0">
      <alignment horizontal="center" vertical="center" wrapText="1"/>
    </xf>
    <xf numFmtId="167" fontId="12" fillId="15" borderId="33" applyAlignment="1" pivotButton="0" quotePrefix="0" xfId="0">
      <alignment horizontal="center" vertical="center" wrapText="1"/>
    </xf>
    <xf numFmtId="167" fontId="12" fillId="15" borderId="34" applyAlignment="1" pivotButton="0" quotePrefix="0" xfId="0">
      <alignment horizontal="center" vertical="center" wrapText="1"/>
    </xf>
    <xf numFmtId="167" fontId="12" fillId="15" borderId="35" applyAlignment="1" pivotButton="0" quotePrefix="0" xfId="0">
      <alignment horizontal="center" vertical="center" wrapText="1"/>
    </xf>
    <xf numFmtId="167" fontId="12" fillId="15" borderId="36" applyAlignment="1" pivotButton="0" quotePrefix="0" xfId="0">
      <alignment horizontal="center" vertical="center" wrapText="1"/>
    </xf>
    <xf numFmtId="167" fontId="11" fillId="12" borderId="37" applyAlignment="1" pivotButton="0" quotePrefix="0" xfId="0">
      <alignment horizontal="center" vertical="center" wrapText="1"/>
    </xf>
    <xf numFmtId="0" fontId="11" fillId="25" borderId="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2" fontId="12" fillId="15" borderId="30" applyAlignment="1" pivotButton="0" quotePrefix="0" xfId="0">
      <alignment horizontal="center" vertical="center" wrapText="1"/>
    </xf>
    <xf numFmtId="2" fontId="12" fillId="15" borderId="31" applyAlignment="1" pivotButton="0" quotePrefix="0" xfId="0">
      <alignment horizontal="center" vertical="center" wrapText="1"/>
    </xf>
    <xf numFmtId="2" fontId="12" fillId="15" borderId="32" applyAlignment="1" pivotButton="0" quotePrefix="0" xfId="0">
      <alignment horizontal="center" vertical="center" wrapText="1"/>
    </xf>
    <xf numFmtId="2" fontId="12" fillId="15" borderId="33" applyAlignment="1" pivotButton="0" quotePrefix="0" xfId="0">
      <alignment horizontal="center" vertical="center" wrapText="1"/>
    </xf>
    <xf numFmtId="2" fontId="12" fillId="15" borderId="34" applyAlignment="1" pivotButton="0" quotePrefix="0" xfId="0">
      <alignment horizontal="center" vertical="center" wrapText="1"/>
    </xf>
    <xf numFmtId="2" fontId="12" fillId="15" borderId="35" applyAlignment="1" pivotButton="0" quotePrefix="0" xfId="0">
      <alignment horizontal="center" vertical="center" wrapText="1"/>
    </xf>
    <xf numFmtId="2" fontId="12" fillId="15" borderId="36" applyAlignment="1" pivotButton="0" quotePrefix="0" xfId="0">
      <alignment horizontal="center" vertical="center" wrapText="1"/>
    </xf>
    <xf numFmtId="2" fontId="12" fillId="15" borderId="37" applyAlignment="1" pivotButton="0" quotePrefix="0" xfId="0">
      <alignment horizontal="center" vertical="center" wrapText="1"/>
    </xf>
    <xf numFmtId="0" fontId="14" fillId="15" borderId="29" applyAlignment="1" pivotButton="0" quotePrefix="0" xfId="0">
      <alignment horizontal="center" vertical="center" wrapText="1"/>
    </xf>
    <xf numFmtId="166" fontId="14" fillId="16" borderId="38" applyAlignment="1" pivotButton="0" quotePrefix="0" xfId="0">
      <alignment horizontal="center" vertical="center" wrapText="1"/>
    </xf>
    <xf numFmtId="168" fontId="13" fillId="22" borderId="3" applyAlignment="1" pivotButton="0" quotePrefix="0" xfId="0">
      <alignment horizontal="center" vertical="center" wrapText="1"/>
    </xf>
    <xf numFmtId="166" fontId="13" fillId="22" borderId="39" applyAlignment="1" pivotButton="0" quotePrefix="0" xfId="0">
      <alignment horizontal="center" vertical="center" wrapText="1"/>
    </xf>
    <xf numFmtId="166" fontId="13" fillId="22" borderId="40" applyAlignment="1" pivotButton="0" quotePrefix="0" xfId="0">
      <alignment horizontal="center" vertical="center" wrapText="1"/>
    </xf>
    <xf numFmtId="166" fontId="13" fillId="22" borderId="41" applyAlignment="1" pivotButton="0" quotePrefix="0" xfId="0">
      <alignment horizontal="center" vertical="center" wrapText="1"/>
    </xf>
    <xf numFmtId="166" fontId="13" fillId="22" borderId="3" applyAlignment="1" pivotButton="0" quotePrefix="0" xfId="0">
      <alignment horizontal="center" vertical="center" wrapText="1"/>
    </xf>
    <xf numFmtId="166" fontId="0" fillId="0" borderId="0" pivotButton="0" quotePrefix="0" xfId="0"/>
    <xf numFmtId="2" fontId="0" fillId="22" borderId="26" applyAlignment="1" pivotButton="0" quotePrefix="0" xfId="0">
      <alignment horizontal="center" vertical="center"/>
    </xf>
    <xf numFmtId="168" fontId="3" fillId="5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12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9</col>
      <colOff>449580</colOff>
      <row>19</row>
      <rowOff>98672</rowOff>
    </from>
    <to>
      <col>17</col>
      <colOff>735265</colOff>
      <row>39</row>
      <rowOff>176809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36280" y="5417432"/>
          <a:ext cx="8496300" cy="3888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03"/>
  <sheetViews>
    <sheetView topLeftCell="A18" workbookViewId="0">
      <selection activeCell="J24" sqref="J24"/>
    </sheetView>
  </sheetViews>
  <sheetFormatPr baseColWidth="10" defaultColWidth="8.88671875" defaultRowHeight="14.4"/>
  <cols>
    <col width="11" customWidth="1" style="183" min="1" max="1"/>
    <col width="13" customWidth="1" style="183" min="2" max="34"/>
    <col width="10" customWidth="1" style="183" min="35" max="35"/>
    <col width="4" customWidth="1" style="183" min="36" max="36"/>
    <col width="15" customWidth="1" style="183" min="37" max="59"/>
  </cols>
  <sheetData>
    <row r="1">
      <c r="B1" s="55" t="inlineStr">
        <is>
          <t>PROPIEDADES DEL MATERIAL Y SECCIÓN (10 TRAMOS)</t>
        </is>
      </c>
      <c r="C1" s="190" t="n"/>
      <c r="D1" s="191" t="n"/>
      <c r="AK1" s="56" t="inlineStr">
        <is>
          <t>HERRAMIENTA 1: DESCOMPOSICIÓN ORTOGONAL DE CARGAS PUNTUALES (CARTESIANAS X - Y)</t>
        </is>
      </c>
    </row>
    <row r="2" ht="39.6" customHeight="1" s="183">
      <c r="B2" s="1" t="inlineStr">
        <is>
          <t>E (Elasticidad) =</t>
        </is>
      </c>
      <c r="C2" s="189" t="n">
        <v>150000</v>
      </c>
      <c r="D2" s="187" t="inlineStr">
        <is>
          <t>kgf/cm²</t>
        </is>
      </c>
      <c r="AK2" s="58" t="inlineStr">
        <is>
          <t>Carga / Nudo</t>
        </is>
      </c>
      <c r="AL2" s="58" t="inlineStr">
        <is>
          <t>Magnitud P (Kgf)</t>
        </is>
      </c>
      <c r="AM2" s="58" t="inlineStr">
        <is>
          <t>Ángulo α (°)</t>
        </is>
      </c>
      <c r="AN2" s="58" t="inlineStr">
        <is>
          <t>α (rad)</t>
        </is>
      </c>
      <c r="AO2" s="58" t="inlineStr">
        <is>
          <t>Px = P*COS(α) (Kgf)</t>
        </is>
      </c>
      <c r="AP2" s="58" t="inlineStr">
        <is>
          <t>Py = -P*SEN(α) (Kgf)</t>
        </is>
      </c>
      <c r="AQ2" s="58" t="inlineStr">
        <is>
          <t>Momento M (Kgf.cm)</t>
        </is>
      </c>
      <c r="AR2" s="58" t="inlineStr">
        <is>
          <t>M en Kgf.m</t>
        </is>
      </c>
    </row>
    <row r="3" ht="26.4" customHeight="1" s="183">
      <c r="B3" s="1" t="inlineStr">
        <is>
          <t>b (Base) =</t>
        </is>
      </c>
      <c r="C3" s="189" t="n">
        <v>5</v>
      </c>
      <c r="D3" s="187" t="inlineStr">
        <is>
          <t>cm</t>
        </is>
      </c>
      <c r="F3" s="5" t="inlineStr">
        <is>
          <t>Tramos Utilizados =</t>
        </is>
      </c>
      <c r="G3" s="186">
        <f>COUNT(I9:I18)</f>
        <v/>
      </c>
      <c r="AK3" s="187" t="inlineStr">
        <is>
          <t>Carga 1 (Nudo 1)</t>
        </is>
      </c>
      <c r="AL3" s="187" t="n"/>
      <c r="AM3" s="187" t="n"/>
      <c r="AN3" s="187">
        <f>IF(AM3="","", RADIANS(AM3))</f>
        <v/>
      </c>
      <c r="AO3" s="187">
        <f>IF(AL3="","", ROUND(AL3*COS(AN3), 4))</f>
        <v/>
      </c>
      <c r="AP3" s="187">
        <f>IF(AL3="","", -ROUND(AL3*SIN(AN3), 4))</f>
        <v/>
      </c>
      <c r="AQ3" s="187" t="n"/>
      <c r="AR3" s="187">
        <f>IF(AQ3="","", AQ3/100)</f>
        <v/>
      </c>
    </row>
    <row r="4" ht="26.4" customHeight="1" s="183">
      <c r="B4" s="1" t="inlineStr">
        <is>
          <t>h (Altura) =</t>
        </is>
      </c>
      <c r="C4" s="189" t="n">
        <v>10</v>
      </c>
      <c r="D4" s="187" t="inlineStr">
        <is>
          <t>cm</t>
        </is>
      </c>
      <c r="F4" s="5" t="inlineStr">
        <is>
          <t>Nodos Utilizados =</t>
        </is>
      </c>
      <c r="G4" s="186">
        <f>IF(G3&gt;0, G3+1, 0)</f>
        <v/>
      </c>
      <c r="AK4" s="187" t="inlineStr">
        <is>
          <t>Carga 2 (Nudo 2)</t>
        </is>
      </c>
      <c r="AL4" s="187" t="n"/>
      <c r="AM4" s="187" t="n"/>
      <c r="AN4" s="187">
        <f>IF(AM4="","", RADIANS(AM4))</f>
        <v/>
      </c>
      <c r="AO4" s="187">
        <f>IF(AL4="","", ROUND(AL4*COS(AN4), 4))</f>
        <v/>
      </c>
      <c r="AP4" s="187">
        <f>IF(AL4="","", -ROUND(AL4*SIN(AN4), 4))</f>
        <v/>
      </c>
      <c r="AQ4" s="187" t="n"/>
      <c r="AR4" s="187">
        <f>IF(AQ4="","", AQ4/100)</f>
        <v/>
      </c>
    </row>
    <row r="5" ht="26.4" customHeight="1" s="183">
      <c r="B5" s="1" t="inlineStr">
        <is>
          <t>Área =</t>
        </is>
      </c>
      <c r="C5" s="187">
        <f>C3*C4</f>
        <v/>
      </c>
      <c r="D5" s="187" t="inlineStr">
        <is>
          <t>cm²</t>
        </is>
      </c>
      <c r="E5" s="1" t="inlineStr">
        <is>
          <t>Inercia =</t>
        </is>
      </c>
      <c r="F5" s="189">
        <f>(C3*(C4^3))/12</f>
        <v/>
      </c>
      <c r="G5" s="187" t="inlineStr">
        <is>
          <t>cm⁴</t>
        </is>
      </c>
      <c r="AK5" s="187" t="inlineStr">
        <is>
          <t>Carga 3 (Nudo 3)</t>
        </is>
      </c>
      <c r="AL5" s="187" t="n"/>
      <c r="AM5" s="187" t="n"/>
      <c r="AN5" s="187">
        <f>IF(AM5="","", RADIANS(AM5))</f>
        <v/>
      </c>
      <c r="AO5" s="187">
        <f>IF(AL5="","", ROUND(AL5*COS(AN5), 4))</f>
        <v/>
      </c>
      <c r="AP5" s="187">
        <f>IF(AL5="","", -ROUND(AL5*SIN(AN5), 4))</f>
        <v/>
      </c>
      <c r="AQ5" s="187" t="n"/>
      <c r="AR5" s="187">
        <f>IF(AQ5="","", AQ5/100)</f>
        <v/>
      </c>
    </row>
    <row r="6" ht="26.4" customHeight="1" s="183">
      <c r="AK6" s="187" t="inlineStr">
        <is>
          <t>Carga 4 (Nudo 4)</t>
        </is>
      </c>
      <c r="AL6" s="187" t="n"/>
      <c r="AM6" s="187" t="n"/>
      <c r="AN6" s="187">
        <f>IF(AM6="","", RADIANS(AM6))</f>
        <v/>
      </c>
      <c r="AO6" s="187">
        <f>IF(AL6="","", ROUND(AL6*COS(AN6), 4))</f>
        <v/>
      </c>
      <c r="AP6" s="187">
        <f>IF(AL6="","", -ROUND(AL6*SIN(AN6), 4))</f>
        <v/>
      </c>
      <c r="AQ6" s="187" t="n"/>
      <c r="AR6" s="187">
        <f>IF(AQ6="","", AQ6/100)</f>
        <v/>
      </c>
    </row>
    <row r="7" ht="26.4" customHeight="1" s="183">
      <c r="B7" s="51" t="inlineStr">
        <is>
          <t>Barra</t>
        </is>
      </c>
      <c r="C7" s="51" t="inlineStr">
        <is>
          <t>INICIO</t>
        </is>
      </c>
      <c r="D7" s="191" t="n"/>
      <c r="E7" s="51" t="inlineStr">
        <is>
          <t>FIN</t>
        </is>
      </c>
      <c r="F7" s="191" t="n"/>
      <c r="G7" s="51" t="inlineStr">
        <is>
          <t>ΔX</t>
        </is>
      </c>
      <c r="H7" s="51" t="inlineStr">
        <is>
          <t>ΔY</t>
        </is>
      </c>
      <c r="I7" s="51" t="inlineStr">
        <is>
          <t>L (cm)</t>
        </is>
      </c>
      <c r="J7" s="51" t="inlineStr">
        <is>
          <t>Cosx</t>
        </is>
      </c>
      <c r="K7" s="51" t="inlineStr">
        <is>
          <t>Cosy</t>
        </is>
      </c>
      <c r="L7" s="51" t="inlineStr">
        <is>
          <t>E</t>
        </is>
      </c>
      <c r="M7" s="51" t="inlineStr">
        <is>
          <t>A</t>
        </is>
      </c>
      <c r="N7" s="51" t="inlineStr">
        <is>
          <t>I</t>
        </is>
      </c>
      <c r="O7" s="51" t="inlineStr">
        <is>
          <t>EA/L</t>
        </is>
      </c>
      <c r="P7" s="51" t="inlineStr">
        <is>
          <t>12EI/L³</t>
        </is>
      </c>
      <c r="Q7" s="51" t="inlineStr">
        <is>
          <t>6EI/L²</t>
        </is>
      </c>
      <c r="R7" s="51" t="inlineStr">
        <is>
          <t>4EI/L</t>
        </is>
      </c>
      <c r="S7" s="51" t="inlineStr">
        <is>
          <t>2EI/L</t>
        </is>
      </c>
      <c r="AK7" s="187" t="inlineStr">
        <is>
          <t>Carga 5 (Nudo 5)</t>
        </is>
      </c>
      <c r="AL7" s="187" t="n"/>
      <c r="AM7" s="187" t="n"/>
      <c r="AN7" s="187">
        <f>IF(AM7="","", RADIANS(AM7))</f>
        <v/>
      </c>
      <c r="AO7" s="187">
        <f>IF(AL7="","", ROUND(AL7*COS(AN7), 4))</f>
        <v/>
      </c>
      <c r="AP7" s="187">
        <f>IF(AL7="","", -ROUND(AL7*SIN(AN7), 4))</f>
        <v/>
      </c>
      <c r="AQ7" s="187" t="n"/>
      <c r="AR7" s="187">
        <f>IF(AQ7="","", AQ7/100)</f>
        <v/>
      </c>
    </row>
    <row r="8" ht="26.4" customHeight="1" s="183">
      <c r="B8" s="192" t="n"/>
      <c r="C8" s="51" t="inlineStr">
        <is>
          <t>Xi</t>
        </is>
      </c>
      <c r="D8" s="51" t="inlineStr">
        <is>
          <t>Yi</t>
        </is>
      </c>
      <c r="E8" s="51" t="inlineStr">
        <is>
          <t>Xf</t>
        </is>
      </c>
      <c r="F8" s="51" t="inlineStr">
        <is>
          <t>Yf</t>
        </is>
      </c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AK8" s="187" t="inlineStr">
        <is>
          <t>Carga 6 (Nudo 6)</t>
        </is>
      </c>
      <c r="AL8" s="187" t="n"/>
      <c r="AM8" s="187" t="n"/>
      <c r="AN8" s="187">
        <f>IF(AM8="","", RADIANS(AM8))</f>
        <v/>
      </c>
      <c r="AO8" s="187">
        <f>IF(AL8="","", ROUND(AL8*COS(AN8), 4))</f>
        <v/>
      </c>
      <c r="AP8" s="187">
        <f>IF(AL8="","", -ROUND(AL8*SIN(AN8), 4))</f>
        <v/>
      </c>
      <c r="AQ8" s="187" t="n"/>
      <c r="AR8" s="187">
        <f>IF(AQ8="","", AQ8/100)</f>
        <v/>
      </c>
    </row>
    <row r="9" ht="26.4" customHeight="1" s="183">
      <c r="B9" s="187" t="n">
        <v>1</v>
      </c>
      <c r="C9" s="187" t="n">
        <v>0</v>
      </c>
      <c r="D9" s="187" t="n">
        <v>0</v>
      </c>
      <c r="E9" s="187" t="n">
        <v>100</v>
      </c>
      <c r="F9" s="187" t="n">
        <v>0</v>
      </c>
      <c r="G9" s="187">
        <f>IF(OR(C9="",E9=""),"", E9-C9)</f>
        <v/>
      </c>
      <c r="H9" s="187">
        <f>IF(OR(D9="",F9=""),"", F9-D9)</f>
        <v/>
      </c>
      <c r="I9" s="187">
        <f>IF(OR(G9="",H9=""),"", SQRT(G9*G9+H9*H9))</f>
        <v/>
      </c>
      <c r="J9" s="187">
        <f>IF(OR(I9="",I9=0),"", G9/I9)</f>
        <v/>
      </c>
      <c r="K9" s="187">
        <f>IF(OR(I9="",I9=0),"", H9/I9)</f>
        <v/>
      </c>
      <c r="L9" s="187">
        <f>IF(I9="","", $C$2)</f>
        <v/>
      </c>
      <c r="M9" s="187">
        <f>IF(I9="","", $C$5)</f>
        <v/>
      </c>
      <c r="N9" s="187">
        <f>IF(I9="","", $F$5)</f>
        <v/>
      </c>
      <c r="O9" s="187">
        <f>IF(OR(I9="",I9=0),"", L9*M9/I9)</f>
        <v/>
      </c>
      <c r="P9" s="187">
        <f>IF(OR(I9="",I9=0),"", 12*L9*N9/(I9^3))</f>
        <v/>
      </c>
      <c r="Q9" s="187">
        <f>IF(OR(I9="",I9=0),"", 6*L9*N9/(I9^2))</f>
        <v/>
      </c>
      <c r="R9" s="187">
        <f>IF(OR(I9="",I9=0),"", 4*L9*N9/I9)</f>
        <v/>
      </c>
      <c r="S9" s="187">
        <f>IF(OR(I9="",I9=0),"", 2*L9*N9/I9)</f>
        <v/>
      </c>
      <c r="AK9" s="187" t="inlineStr">
        <is>
          <t>Carga 7 (Nudo 7)</t>
        </is>
      </c>
      <c r="AL9" s="187" t="n"/>
      <c r="AM9" s="187" t="n"/>
      <c r="AN9" s="187">
        <f>IF(AM9="","", RADIANS(AM9))</f>
        <v/>
      </c>
      <c r="AO9" s="187">
        <f>IF(AL9="","", ROUND(AL9*COS(AN9), 4))</f>
        <v/>
      </c>
      <c r="AP9" s="187">
        <f>IF(AL9="","", -ROUND(AL9*SIN(AN9), 4))</f>
        <v/>
      </c>
      <c r="AQ9" s="187" t="n"/>
      <c r="AR9" s="187">
        <f>IF(AQ9="","", AQ9/100)</f>
        <v/>
      </c>
    </row>
    <row r="10" ht="26.4" customHeight="1" s="183">
      <c r="B10" s="187" t="n">
        <v>2</v>
      </c>
      <c r="C10" s="187" t="n">
        <v>100</v>
      </c>
      <c r="D10" s="187" t="n">
        <v>0</v>
      </c>
      <c r="E10" s="187" t="n">
        <v>200</v>
      </c>
      <c r="F10" s="187" t="n">
        <v>0</v>
      </c>
      <c r="G10" s="187">
        <f>IF(OR(C10="",E10=""),"", E10-C10)</f>
        <v/>
      </c>
      <c r="H10" s="187">
        <f>IF(OR(D10="",F10=""),"", F10-D10)</f>
        <v/>
      </c>
      <c r="I10" s="187">
        <f>IF(OR(G10="",H10=""),"", SQRT(G10*G10+H10*H10))</f>
        <v/>
      </c>
      <c r="J10" s="187">
        <f>IF(OR(I10="",I10=0),"", G10/I10)</f>
        <v/>
      </c>
      <c r="K10" s="187">
        <f>IF(OR(I10="",I10=0),"", H10/I10)</f>
        <v/>
      </c>
      <c r="L10" s="187">
        <f>IF(I10="","", $C$2)</f>
        <v/>
      </c>
      <c r="M10" s="187">
        <f>IF(I10="","", $C$5)</f>
        <v/>
      </c>
      <c r="N10" s="187">
        <f>IF(I10="","", $F$5)</f>
        <v/>
      </c>
      <c r="O10" s="187">
        <f>IF(OR(I10="",I10=0),"", L10*M10/I10)</f>
        <v/>
      </c>
      <c r="P10" s="187">
        <f>IF(OR(I10="",I10=0),"", 12*L10*N10/(I10^3))</f>
        <v/>
      </c>
      <c r="Q10" s="187">
        <f>IF(OR(I10="",I10=0),"", 6*L10*N10/(I10^2))</f>
        <v/>
      </c>
      <c r="R10" s="187">
        <f>IF(OR(I10="",I10=0),"", 4*L10*N10/I10)</f>
        <v/>
      </c>
      <c r="S10" s="187">
        <f>IF(OR(I10="",I10=0),"", 2*L10*N10/I10)</f>
        <v/>
      </c>
      <c r="AK10" s="187" t="inlineStr">
        <is>
          <t>Carga 8 (Nudo 8)</t>
        </is>
      </c>
      <c r="AL10" s="187" t="n"/>
      <c r="AM10" s="187" t="n"/>
      <c r="AN10" s="187">
        <f>IF(AM10="","", RADIANS(AM10))</f>
        <v/>
      </c>
      <c r="AO10" s="187">
        <f>IF(AL10="","", ROUND(AL10*COS(AN10), 4))</f>
        <v/>
      </c>
      <c r="AP10" s="187">
        <f>IF(AL10="","", -ROUND(AL10*SIN(AN10), 4))</f>
        <v/>
      </c>
      <c r="AQ10" s="187" t="n"/>
      <c r="AR10" s="187">
        <f>IF(AQ10="","", AQ10/100)</f>
        <v/>
      </c>
    </row>
    <row r="11" ht="26.4" customHeight="1" s="183">
      <c r="B11" s="187" t="n">
        <v>3</v>
      </c>
      <c r="C11" s="187" t="n"/>
      <c r="D11" s="187" t="n"/>
      <c r="E11" s="187" t="n"/>
      <c r="F11" s="187" t="n"/>
      <c r="G11" s="187">
        <f>IF(OR(C11="",E11=""),"", E11-C11)</f>
        <v/>
      </c>
      <c r="H11" s="187">
        <f>IF(OR(D11="",F11=""),"", F11-D11)</f>
        <v/>
      </c>
      <c r="I11" s="187">
        <f>IF(OR(G11="",H11=""),"", SQRT(G11*G11+H11*H11))</f>
        <v/>
      </c>
      <c r="J11" s="187">
        <f>IF(OR(I11="",I11=0),"", G11/I11)</f>
        <v/>
      </c>
      <c r="K11" s="187">
        <f>IF(OR(I11="",I11=0),"", H11/I11)</f>
        <v/>
      </c>
      <c r="L11" s="187">
        <f>IF(I11="","", $C$2)</f>
        <v/>
      </c>
      <c r="M11" s="187">
        <f>IF(I11="","", $C$5)</f>
        <v/>
      </c>
      <c r="N11" s="187">
        <f>IF(I11="","", $F$5)</f>
        <v/>
      </c>
      <c r="O11" s="187">
        <f>IF(OR(I11="",I11=0),"", L11*M11/I11)</f>
        <v/>
      </c>
      <c r="P11" s="187">
        <f>IF(OR(I11="",I11=0),"", 12*L11*N11/(I11^3))</f>
        <v/>
      </c>
      <c r="Q11" s="187">
        <f>IF(OR(I11="",I11=0),"", 6*L11*N11/(I11^2))</f>
        <v/>
      </c>
      <c r="R11" s="187">
        <f>IF(OR(I11="",I11=0),"", 4*L11*N11/I11)</f>
        <v/>
      </c>
      <c r="S11" s="187">
        <f>IF(OR(I11="",I11=0),"", 2*L11*N11/I11)</f>
        <v/>
      </c>
      <c r="AK11" s="187" t="inlineStr">
        <is>
          <t>Carga 9 (Nudo 9)</t>
        </is>
      </c>
      <c r="AL11" s="187" t="n"/>
      <c r="AM11" s="187" t="n"/>
      <c r="AN11" s="187">
        <f>IF(AM11="","", RADIANS(AM11))</f>
        <v/>
      </c>
      <c r="AO11" s="187">
        <f>IF(AL11="","", ROUND(AL11*COS(AN11), 4))</f>
        <v/>
      </c>
      <c r="AP11" s="187">
        <f>IF(AL11="","", -ROUND(AL11*SIN(AN11), 4))</f>
        <v/>
      </c>
      <c r="AQ11" s="187" t="n"/>
      <c r="AR11" s="187">
        <f>IF(AQ11="","", AQ11/100)</f>
        <v/>
      </c>
    </row>
    <row r="12" ht="26.4" customHeight="1" s="183">
      <c r="B12" s="187" t="n">
        <v>4</v>
      </c>
      <c r="C12" s="187" t="n"/>
      <c r="D12" s="187" t="n"/>
      <c r="E12" s="187" t="n"/>
      <c r="F12" s="187" t="n"/>
      <c r="G12" s="187">
        <f>IF(OR(C12="",E12=""),"", E12-C12)</f>
        <v/>
      </c>
      <c r="H12" s="187">
        <f>IF(OR(D12="",F12=""),"", F12-D12)</f>
        <v/>
      </c>
      <c r="I12" s="187">
        <f>IF(OR(G12="",H12=""),"", SQRT(G12*G12+H12*H12))</f>
        <v/>
      </c>
      <c r="J12" s="187">
        <f>IF(OR(I12="",I12=0),"", G12/I12)</f>
        <v/>
      </c>
      <c r="K12" s="187">
        <f>IF(OR(I12="",I12=0),"", H12/I12)</f>
        <v/>
      </c>
      <c r="L12" s="187">
        <f>IF(I12="","", $C$2)</f>
        <v/>
      </c>
      <c r="M12" s="187">
        <f>IF(I12="","", $C$5)</f>
        <v/>
      </c>
      <c r="N12" s="187">
        <f>IF(I12="","", $F$5)</f>
        <v/>
      </c>
      <c r="O12" s="187">
        <f>IF(OR(I12="",I12=0),"", L12*M12/I12)</f>
        <v/>
      </c>
      <c r="P12" s="187">
        <f>IF(OR(I12="",I12=0),"", 12*L12*N12/(I12^3))</f>
        <v/>
      </c>
      <c r="Q12" s="187">
        <f>IF(OR(I12="",I12=0),"", 6*L12*N12/(I12^2))</f>
        <v/>
      </c>
      <c r="R12" s="187">
        <f>IF(OR(I12="",I12=0),"", 4*L12*N12/I12)</f>
        <v/>
      </c>
      <c r="S12" s="187">
        <f>IF(OR(I12="",I12=0),"", 2*L12*N12/I12)</f>
        <v/>
      </c>
      <c r="AK12" s="187" t="inlineStr">
        <is>
          <t>Carga 10 (Nudo 10)</t>
        </is>
      </c>
      <c r="AL12" s="187" t="n"/>
      <c r="AM12" s="187" t="n"/>
      <c r="AN12" s="187">
        <f>IF(AM12="","", RADIANS(AM12))</f>
        <v/>
      </c>
      <c r="AO12" s="187">
        <f>IF(AL12="","", ROUND(AL12*COS(AN12), 4))</f>
        <v/>
      </c>
      <c r="AP12" s="187">
        <f>IF(AL12="","", -ROUND(AL12*SIN(AN12), 4))</f>
        <v/>
      </c>
      <c r="AQ12" s="187" t="n"/>
      <c r="AR12" s="187">
        <f>IF(AQ12="","", AQ12/100)</f>
        <v/>
      </c>
    </row>
    <row r="13">
      <c r="B13" s="187" t="n">
        <v>5</v>
      </c>
      <c r="C13" s="187" t="n"/>
      <c r="D13" s="187" t="n"/>
      <c r="E13" s="187" t="n"/>
      <c r="F13" s="187" t="n"/>
      <c r="G13" s="187">
        <f>IF(OR(C13="",E13=""),"", E13-C13)</f>
        <v/>
      </c>
      <c r="H13" s="187">
        <f>IF(OR(D13="",F13=""),"", F13-D13)</f>
        <v/>
      </c>
      <c r="I13" s="187">
        <f>IF(OR(G13="",H13=""),"", SQRT(G13*G13+H13*H13))</f>
        <v/>
      </c>
      <c r="J13" s="187">
        <f>IF(OR(I13="",I13=0),"", G13/I13)</f>
        <v/>
      </c>
      <c r="K13" s="187">
        <f>IF(OR(I13="",I13=0),"", H13/I13)</f>
        <v/>
      </c>
      <c r="L13" s="187">
        <f>IF(I13="","", $C$2)</f>
        <v/>
      </c>
      <c r="M13" s="187">
        <f>IF(I13="","", $C$5)</f>
        <v/>
      </c>
      <c r="N13" s="187">
        <f>IF(I13="","", $F$5)</f>
        <v/>
      </c>
      <c r="O13" s="187">
        <f>IF(OR(I13="",I13=0),"", L13*M13/I13)</f>
        <v/>
      </c>
      <c r="P13" s="187">
        <f>IF(OR(I13="",I13=0),"", 12*L13*N13/(I13^3))</f>
        <v/>
      </c>
      <c r="Q13" s="187">
        <f>IF(OR(I13="",I13=0),"", 6*L13*N13/(I13^2))</f>
        <v/>
      </c>
      <c r="R13" s="187">
        <f>IF(OR(I13="",I13=0),"", 4*L13*N13/I13)</f>
        <v/>
      </c>
      <c r="S13" s="187">
        <f>IF(OR(I13="",I13=0),"", 2*L13*N13/I13)</f>
        <v/>
      </c>
    </row>
    <row r="14">
      <c r="B14" s="187" t="n">
        <v>6</v>
      </c>
      <c r="C14" s="187" t="n"/>
      <c r="D14" s="187" t="n"/>
      <c r="E14" s="187" t="n"/>
      <c r="F14" s="187" t="n"/>
      <c r="G14" s="187">
        <f>IF(OR(C14="",E14=""),"", E14-C14)</f>
        <v/>
      </c>
      <c r="H14" s="187">
        <f>IF(OR(D14="",F14=""),"", F14-D14)</f>
        <v/>
      </c>
      <c r="I14" s="187">
        <f>IF(OR(G14="",H14=""),"", SQRT(G14*G14+H14*H14))</f>
        <v/>
      </c>
      <c r="J14" s="187">
        <f>IF(OR(I14="",I14=0),"", G14/I14)</f>
        <v/>
      </c>
      <c r="K14" s="187">
        <f>IF(OR(I14="",I14=0),"", H14/I14)</f>
        <v/>
      </c>
      <c r="L14" s="187">
        <f>IF(I14="","", $C$2)</f>
        <v/>
      </c>
      <c r="M14" s="187">
        <f>IF(I14="","", $C$5)</f>
        <v/>
      </c>
      <c r="N14" s="187">
        <f>IF(I14="","", $F$5)</f>
        <v/>
      </c>
      <c r="O14" s="187">
        <f>IF(OR(I14="",I14=0),"", L14*M14/I14)</f>
        <v/>
      </c>
      <c r="P14" s="187">
        <f>IF(OR(I14="",I14=0),"", 12*L14*N14/(I14^3))</f>
        <v/>
      </c>
      <c r="Q14" s="187">
        <f>IF(OR(I14="",I14=0),"", 6*L14*N14/(I14^2))</f>
        <v/>
      </c>
      <c r="R14" s="187">
        <f>IF(OR(I14="",I14=0),"", 4*L14*N14/I14)</f>
        <v/>
      </c>
      <c r="S14" s="187">
        <f>IF(OR(I14="",I14=0),"", 2*L14*N14/I14)</f>
        <v/>
      </c>
      <c r="AK14" s="56" t="inlineStr">
        <is>
          <t>HERRAMIENTA 2: CARGAS PUNTUALES EN EL TRAMO (ACCIONES DE EMPOTRAMIENTO PERFECTO)</t>
        </is>
      </c>
    </row>
    <row r="15">
      <c r="B15" s="187" t="n">
        <v>7</v>
      </c>
      <c r="C15" s="187" t="n"/>
      <c r="D15" s="187" t="n"/>
      <c r="E15" s="187" t="n"/>
      <c r="F15" s="187" t="n"/>
      <c r="G15" s="187">
        <f>IF(OR(C15="",E15=""),"", E15-C15)</f>
        <v/>
      </c>
      <c r="H15" s="187">
        <f>IF(OR(D15="",F15=""),"", F15-D15)</f>
        <v/>
      </c>
      <c r="I15" s="187">
        <f>IF(OR(G15="",H15=""),"", SQRT(G15*G15+H15*H15))</f>
        <v/>
      </c>
      <c r="J15" s="187">
        <f>IF(OR(I15="",I15=0),"", G15/I15)</f>
        <v/>
      </c>
      <c r="K15" s="187">
        <f>IF(OR(I15="",I15=0),"", H15/I15)</f>
        <v/>
      </c>
      <c r="L15" s="187">
        <f>IF(I15="","", $C$2)</f>
        <v/>
      </c>
      <c r="M15" s="187">
        <f>IF(I15="","", $C$5)</f>
        <v/>
      </c>
      <c r="N15" s="187">
        <f>IF(I15="","", $F$5)</f>
        <v/>
      </c>
      <c r="O15" s="187">
        <f>IF(OR(I15="",I15=0),"", L15*M15/I15)</f>
        <v/>
      </c>
      <c r="P15" s="187">
        <f>IF(OR(I15="",I15=0),"", 12*L15*N15/(I15^3))</f>
        <v/>
      </c>
      <c r="Q15" s="187">
        <f>IF(OR(I15="",I15=0),"", 6*L15*N15/(I15^2))</f>
        <v/>
      </c>
      <c r="R15" s="187">
        <f>IF(OR(I15="",I15=0),"", 4*L15*N15/I15)</f>
        <v/>
      </c>
      <c r="S15" s="187">
        <f>IF(OR(I15="",I15=0),"", 2*L15*N15/I15)</f>
        <v/>
      </c>
      <c r="AK15" s="58" t="inlineStr">
        <is>
          <t>Barra</t>
        </is>
      </c>
      <c r="AL15" s="58" t="inlineStr">
        <is>
          <t>P (Kgf)</t>
        </is>
      </c>
      <c r="AM15" s="58" t="inlineStr">
        <is>
          <t>a (cm)</t>
        </is>
      </c>
      <c r="AN15" s="58" t="inlineStr">
        <is>
          <t>b (cm)</t>
        </is>
      </c>
      <c r="AO15" s="58" t="inlineStr">
        <is>
          <t>L = a+b (cm)</t>
        </is>
      </c>
      <c r="AP15" s="58" t="inlineStr">
        <is>
          <t>Vi Izq (Kgf)</t>
        </is>
      </c>
      <c r="AQ15" s="58" t="inlineStr">
        <is>
          <t>Mi Izq (Kgf.cm)</t>
        </is>
      </c>
      <c r="AR15" s="58" t="inlineStr">
        <is>
          <t>Vj Der (Kgf)</t>
        </is>
      </c>
      <c r="AS15" s="58" t="inlineStr">
        <is>
          <t>Mj Der (Kgf.cm)</t>
        </is>
      </c>
    </row>
    <row r="16">
      <c r="B16" s="187" t="n">
        <v>8</v>
      </c>
      <c r="C16" s="187" t="n"/>
      <c r="D16" s="187" t="n"/>
      <c r="E16" s="187" t="n"/>
      <c r="F16" s="187" t="n"/>
      <c r="G16" s="187">
        <f>IF(OR(C16="",E16=""),"", E16-C16)</f>
        <v/>
      </c>
      <c r="H16" s="187">
        <f>IF(OR(D16="",F16=""),"", F16-D16)</f>
        <v/>
      </c>
      <c r="I16" s="187">
        <f>IF(OR(G16="",H16=""),"", SQRT(G16*G16+H16*H16))</f>
        <v/>
      </c>
      <c r="J16" s="187">
        <f>IF(OR(I16="",I16=0),"", G16/I16)</f>
        <v/>
      </c>
      <c r="K16" s="187">
        <f>IF(OR(I16="",I16=0),"", H16/I16)</f>
        <v/>
      </c>
      <c r="L16" s="187">
        <f>IF(I16="","", $C$2)</f>
        <v/>
      </c>
      <c r="M16" s="187">
        <f>IF(I16="","", $C$5)</f>
        <v/>
      </c>
      <c r="N16" s="187">
        <f>IF(I16="","", $F$5)</f>
        <v/>
      </c>
      <c r="O16" s="187">
        <f>IF(OR(I16="",I16=0),"", L16*M16/I16)</f>
        <v/>
      </c>
      <c r="P16" s="187">
        <f>IF(OR(I16="",I16=0),"", 12*L16*N16/(I16^3))</f>
        <v/>
      </c>
      <c r="Q16" s="187">
        <f>IF(OR(I16="",I16=0),"", 6*L16*N16/(I16^2))</f>
        <v/>
      </c>
      <c r="R16" s="187">
        <f>IF(OR(I16="",I16=0),"", 4*L16*N16/I16)</f>
        <v/>
      </c>
      <c r="S16" s="187">
        <f>IF(OR(I16="",I16=0),"", 2*L16*N16/I16)</f>
        <v/>
      </c>
      <c r="AK16" s="187" t="n">
        <v>1</v>
      </c>
      <c r="AL16" s="187" t="n"/>
      <c r="AM16" s="187" t="n"/>
      <c r="AN16" s="187" t="n"/>
      <c r="AO16" s="187">
        <f>IF(AL16="","", AM16+AN16)</f>
        <v/>
      </c>
      <c r="AP16" s="187">
        <f>IF(AL16="","", (AL16*(AN16^2)*(3*AM16+AN16))/(AO16^3))</f>
        <v/>
      </c>
      <c r="AQ16" s="187">
        <f>IF(AL16="","", +(AL16*AM16*(AN16^2))/(AO16^2))</f>
        <v/>
      </c>
      <c r="AR16" s="187">
        <f>IF(AL16="","", (AL16*(AM16^2)*(AM16+3*AN16))/(AO16^3))</f>
        <v/>
      </c>
      <c r="AS16" s="187">
        <f>IF(AL16="","", -(AL16*(AM16^2)*AN16)/(AO16^2))</f>
        <v/>
      </c>
    </row>
    <row r="17">
      <c r="B17" s="187" t="n">
        <v>9</v>
      </c>
      <c r="C17" s="187" t="n"/>
      <c r="D17" s="187" t="n"/>
      <c r="E17" s="187" t="n"/>
      <c r="F17" s="187" t="n"/>
      <c r="G17" s="187">
        <f>IF(OR(C17="",E17=""),"", E17-C17)</f>
        <v/>
      </c>
      <c r="H17" s="187">
        <f>IF(OR(D17="",F17=""),"", F17-D17)</f>
        <v/>
      </c>
      <c r="I17" s="187">
        <f>IF(OR(G17="",H17=""),"", SQRT(G17*G17+H17*H17))</f>
        <v/>
      </c>
      <c r="J17" s="187">
        <f>IF(OR(I17="",I17=0),"", G17/I17)</f>
        <v/>
      </c>
      <c r="K17" s="187">
        <f>IF(OR(I17="",I17=0),"", H17/I17)</f>
        <v/>
      </c>
      <c r="L17" s="187">
        <f>IF(I17="","", $C$2)</f>
        <v/>
      </c>
      <c r="M17" s="187">
        <f>IF(I17="","", $C$5)</f>
        <v/>
      </c>
      <c r="N17" s="187">
        <f>IF(I17="","", $F$5)</f>
        <v/>
      </c>
      <c r="O17" s="187">
        <f>IF(OR(I17="",I17=0),"", L17*M17/I17)</f>
        <v/>
      </c>
      <c r="P17" s="187">
        <f>IF(OR(I17="",I17=0),"", 12*L17*N17/(I17^3))</f>
        <v/>
      </c>
      <c r="Q17" s="187">
        <f>IF(OR(I17="",I17=0),"", 6*L17*N17/(I17^2))</f>
        <v/>
      </c>
      <c r="R17" s="187">
        <f>IF(OR(I17="",I17=0),"", 4*L17*N17/I17)</f>
        <v/>
      </c>
      <c r="S17" s="187">
        <f>IF(OR(I17="",I17=0),"", 2*L17*N17/I17)</f>
        <v/>
      </c>
      <c r="AK17" s="187" t="n">
        <v>2</v>
      </c>
      <c r="AL17" s="187" t="n"/>
      <c r="AM17" s="187" t="n"/>
      <c r="AN17" s="187" t="n"/>
      <c r="AO17" s="187">
        <f>IF(AL17="","", AM17+AN17)</f>
        <v/>
      </c>
      <c r="AP17" s="187">
        <f>IF(AL17="","", (AL17*(AN17^2)*(3*AM17+AN17))/(AO17^3))</f>
        <v/>
      </c>
      <c r="AQ17" s="187">
        <f>IF(AL17="","", +(AL17*AM17*(AN17^2))/(AO17^2))</f>
        <v/>
      </c>
      <c r="AR17" s="187">
        <f>IF(AL17="","", (AL17*(AM17^2)*(AM17+3*AN17))/(AO17^3))</f>
        <v/>
      </c>
      <c r="AS17" s="187">
        <f>IF(AL17="","", -(AL17*(AM17^2)*AN17)/(AO17^2))</f>
        <v/>
      </c>
    </row>
    <row r="18">
      <c r="B18" s="187" t="n">
        <v>10</v>
      </c>
      <c r="C18" s="187" t="n"/>
      <c r="D18" s="187" t="n"/>
      <c r="E18" s="187" t="n"/>
      <c r="F18" s="187" t="n"/>
      <c r="G18" s="187">
        <f>IF(OR(C18="",E18=""),"", E18-C18)</f>
        <v/>
      </c>
      <c r="H18" s="187">
        <f>IF(OR(D18="",F18=""),"", F18-D18)</f>
        <v/>
      </c>
      <c r="I18" s="187">
        <f>IF(OR(G18="",H18=""),"", SQRT(G18*G18+H18*H18))</f>
        <v/>
      </c>
      <c r="J18" s="187">
        <f>IF(OR(I18="",I18=0),"", G18/I18)</f>
        <v/>
      </c>
      <c r="K18" s="187">
        <f>IF(OR(I18="",I18=0),"", H18/I18)</f>
        <v/>
      </c>
      <c r="L18" s="187">
        <f>IF(I18="","", $C$2)</f>
        <v/>
      </c>
      <c r="M18" s="187">
        <f>IF(I18="","", $C$5)</f>
        <v/>
      </c>
      <c r="N18" s="187">
        <f>IF(I18="","", $F$5)</f>
        <v/>
      </c>
      <c r="O18" s="187">
        <f>IF(OR(I18="",I18=0),"", L18*M18/I18)</f>
        <v/>
      </c>
      <c r="P18" s="187">
        <f>IF(OR(I18="",I18=0),"", 12*L18*N18/(I18^3))</f>
        <v/>
      </c>
      <c r="Q18" s="187">
        <f>IF(OR(I18="",I18=0),"", 6*L18*N18/(I18^2))</f>
        <v/>
      </c>
      <c r="R18" s="187">
        <f>IF(OR(I18="",I18=0),"", 4*L18*N18/I18)</f>
        <v/>
      </c>
      <c r="S18" s="187">
        <f>IF(OR(I18="",I18=0),"", 2*L18*N18/I18)</f>
        <v/>
      </c>
      <c r="AK18" s="187" t="n">
        <v>3</v>
      </c>
      <c r="AL18" s="187" t="n"/>
      <c r="AM18" s="187" t="n"/>
      <c r="AN18" s="187" t="n"/>
      <c r="AO18" s="187">
        <f>IF(AL18="","", AM18+AN18)</f>
        <v/>
      </c>
      <c r="AP18" s="187">
        <f>IF(AL18="","", (AL18*(AN18^2)*(3*AM18+AN18))/(AO18^3))</f>
        <v/>
      </c>
      <c r="AQ18" s="187">
        <f>IF(AL18="","", +(AL18*AM18*(AN18^2))/(AO18^2))</f>
        <v/>
      </c>
      <c r="AR18" s="187">
        <f>IF(AL18="","", (AL18*(AM18^2)*(AM18+3*AN18))/(AO18^3))</f>
        <v/>
      </c>
      <c r="AS18" s="187">
        <f>IF(AL18="","", -(AL18*(AM18^2)*AN18)/(AO18^2))</f>
        <v/>
      </c>
    </row>
    <row r="19">
      <c r="AK19" s="187" t="n">
        <v>4</v>
      </c>
      <c r="AL19" s="187" t="n"/>
      <c r="AM19" s="187" t="n"/>
      <c r="AN19" s="187" t="n"/>
      <c r="AO19" s="187">
        <f>IF(AL19="","", AM19+AN19)</f>
        <v/>
      </c>
      <c r="AP19" s="187">
        <f>IF(AL19="","", (AL19*(AN19^2)*(3*AM19+AN19))/(AO19^3))</f>
        <v/>
      </c>
      <c r="AQ19" s="187">
        <f>IF(AL19="","", +(AL19*AM19*(AN19^2))/(AO19^2))</f>
        <v/>
      </c>
      <c r="AR19" s="187">
        <f>IF(AL19="","", (AL19*(AM19^2)*(AM19+3*AN19))/(AO19^3))</f>
        <v/>
      </c>
      <c r="AS19" s="187">
        <f>IF(AL19="","", -(AL19*(AM19^2)*AN19)/(AO19^2))</f>
        <v/>
      </c>
    </row>
    <row r="20">
      <c r="B20" s="51" t="inlineStr">
        <is>
          <t>Barra</t>
        </is>
      </c>
      <c r="C20" s="51" t="inlineStr">
        <is>
          <t>INICIO</t>
        </is>
      </c>
      <c r="D20" s="190" t="n"/>
      <c r="E20" s="191" t="n"/>
      <c r="F20" s="51" t="inlineStr">
        <is>
          <t>FIN</t>
        </is>
      </c>
      <c r="G20" s="190" t="n"/>
      <c r="H20" s="191" t="n"/>
      <c r="AK20" s="187" t="n">
        <v>5</v>
      </c>
      <c r="AL20" s="187" t="n"/>
      <c r="AM20" s="187" t="n"/>
      <c r="AN20" s="187" t="n"/>
      <c r="AO20" s="187">
        <f>IF(AL20="","", AM20+AN20)</f>
        <v/>
      </c>
      <c r="AP20" s="187">
        <f>IF(AL20="","", (AL20*(AN20^2)*(3*AM20+AN20))/(AO20^3))</f>
        <v/>
      </c>
      <c r="AQ20" s="187">
        <f>IF(AL20="","", +(AL20*AM20*(AN20^2))/(AO20^2))</f>
        <v/>
      </c>
      <c r="AR20" s="187">
        <f>IF(AL20="","", (AL20*(AM20^2)*(AM20+3*AN20))/(AO20^3))</f>
        <v/>
      </c>
      <c r="AS20" s="187">
        <f>IF(AL20="","", -(AL20*(AM20^2)*AN20)/(AO20^2))</f>
        <v/>
      </c>
    </row>
    <row r="21">
      <c r="B21" s="192" t="n"/>
      <c r="C21" s="51" t="inlineStr">
        <is>
          <t>X</t>
        </is>
      </c>
      <c r="D21" s="51" t="inlineStr">
        <is>
          <t>Y</t>
        </is>
      </c>
      <c r="E21" s="51" t="inlineStr">
        <is>
          <t>θ</t>
        </is>
      </c>
      <c r="F21" s="51" t="inlineStr">
        <is>
          <t>X</t>
        </is>
      </c>
      <c r="G21" s="51" t="inlineStr">
        <is>
          <t>Y</t>
        </is>
      </c>
      <c r="H21" s="51" t="inlineStr">
        <is>
          <t>θ</t>
        </is>
      </c>
      <c r="AK21" s="187" t="n">
        <v>6</v>
      </c>
      <c r="AL21" s="187" t="n"/>
      <c r="AM21" s="187" t="n"/>
      <c r="AN21" s="187" t="n"/>
      <c r="AO21" s="187">
        <f>IF(AL21="","", AM21+AN21)</f>
        <v/>
      </c>
      <c r="AP21" s="187">
        <f>IF(AL21="","", (AL21*(AN21^2)*(3*AM21+AN21))/(AO21^3))</f>
        <v/>
      </c>
      <c r="AQ21" s="187">
        <f>IF(AL21="","", +(AL21*AM21*(AN21^2))/(AO21^2))</f>
        <v/>
      </c>
      <c r="AR21" s="187">
        <f>IF(AL21="","", (AL21*(AM21^2)*(AM21+3*AN21))/(AO21^3))</f>
        <v/>
      </c>
      <c r="AS21" s="187">
        <f>IF(AL21="","", -(AL21*(AM21^2)*AN21)/(AO21^2))</f>
        <v/>
      </c>
    </row>
    <row r="22">
      <c r="B22" s="187" t="n">
        <v>1</v>
      </c>
      <c r="C22" s="187">
        <f>IF(I9="","", 1)</f>
        <v/>
      </c>
      <c r="D22" s="187">
        <f>IF(I9="","", 1)</f>
        <v/>
      </c>
      <c r="E22" s="187">
        <f>IF(I9="","", 1)</f>
        <v/>
      </c>
      <c r="F22" s="187">
        <f>IF(I9="","", 2)</f>
        <v/>
      </c>
      <c r="G22" s="187">
        <f>IF(I9="","", 2)</f>
        <v/>
      </c>
      <c r="H22" s="187">
        <f>IF(I9="","", 2)</f>
        <v/>
      </c>
      <c r="AK22" s="187" t="n">
        <v>7</v>
      </c>
      <c r="AL22" s="187" t="n"/>
      <c r="AM22" s="187" t="n"/>
      <c r="AN22" s="187" t="n"/>
      <c r="AO22" s="187">
        <f>IF(AL22="","", AM22+AN22)</f>
        <v/>
      </c>
      <c r="AP22" s="187">
        <f>IF(AL22="","", (AL22*(AN22^2)*(3*AM22+AN22))/(AO22^3))</f>
        <v/>
      </c>
      <c r="AQ22" s="187">
        <f>IF(AL22="","", +(AL22*AM22*(AN22^2))/(AO22^2))</f>
        <v/>
      </c>
      <c r="AR22" s="187">
        <f>IF(AL22="","", (AL22*(AM22^2)*(AM22+3*AN22))/(AO22^3))</f>
        <v/>
      </c>
      <c r="AS22" s="187">
        <f>IF(AL22="","", -(AL22*(AM22^2)*AN22)/(AO22^2))</f>
        <v/>
      </c>
    </row>
    <row r="23">
      <c r="B23" s="187" t="n">
        <v>2</v>
      </c>
      <c r="C23" s="187">
        <f>IF(I10="","", 2)</f>
        <v/>
      </c>
      <c r="D23" s="187">
        <f>IF(I10="","", 2)</f>
        <v/>
      </c>
      <c r="E23" s="187">
        <f>IF(I10="","", 2)</f>
        <v/>
      </c>
      <c r="F23" s="187">
        <f>IF(I10="","", 3)</f>
        <v/>
      </c>
      <c r="G23" s="187">
        <f>IF(I10="","", 3)</f>
        <v/>
      </c>
      <c r="H23" s="187">
        <f>IF(I10="","", 3)</f>
        <v/>
      </c>
      <c r="AK23" s="187" t="n">
        <v>8</v>
      </c>
      <c r="AL23" s="187" t="n"/>
      <c r="AM23" s="187" t="n"/>
      <c r="AN23" s="187" t="n"/>
      <c r="AO23" s="187">
        <f>IF(AL23="","", AM23+AN23)</f>
        <v/>
      </c>
      <c r="AP23" s="187">
        <f>IF(AL23="","", (AL23*(AN23^2)*(3*AM23+AN23))/(AO23^3))</f>
        <v/>
      </c>
      <c r="AQ23" s="187">
        <f>IF(AL23="","", +(AL23*AM23*(AN23^2))/(AO23^2))</f>
        <v/>
      </c>
      <c r="AR23" s="187">
        <f>IF(AL23="","", (AL23*(AM23^2)*(AM23+3*AN23))/(AO23^3))</f>
        <v/>
      </c>
      <c r="AS23" s="187">
        <f>IF(AL23="","", -(AL23*(AM23^2)*AN23)/(AO23^2))</f>
        <v/>
      </c>
    </row>
    <row r="24">
      <c r="B24" s="187" t="n">
        <v>3</v>
      </c>
      <c r="C24" s="187">
        <f>IF(I11="","", 3)</f>
        <v/>
      </c>
      <c r="D24" s="187">
        <f>IF(I11="","", 3)</f>
        <v/>
      </c>
      <c r="E24" s="187">
        <f>IF(I11="","", 3)</f>
        <v/>
      </c>
      <c r="F24" s="187">
        <f>IF(I11="","", 4)</f>
        <v/>
      </c>
      <c r="G24" s="187">
        <f>IF(I11="","", 4)</f>
        <v/>
      </c>
      <c r="H24" s="187">
        <f>IF(I11="","", 4)</f>
        <v/>
      </c>
      <c r="AK24" s="187" t="n">
        <v>9</v>
      </c>
      <c r="AL24" s="187" t="n"/>
      <c r="AM24" s="187" t="n"/>
      <c r="AN24" s="187" t="n"/>
      <c r="AO24" s="187">
        <f>IF(AL24="","", AM24+AN24)</f>
        <v/>
      </c>
      <c r="AP24" s="187">
        <f>IF(AL24="","", (AL24*(AN24^2)*(3*AM24+AN24))/(AO24^3))</f>
        <v/>
      </c>
      <c r="AQ24" s="187">
        <f>IF(AL24="","", +(AL24*AM24*(AN24^2))/(AO24^2))</f>
        <v/>
      </c>
      <c r="AR24" s="187">
        <f>IF(AL24="","", (AL24*(AM24^2)*(AM24+3*AN24))/(AO24^3))</f>
        <v/>
      </c>
      <c r="AS24" s="187">
        <f>IF(AL24="","", -(AL24*(AM24^2)*AN24)/(AO24^2))</f>
        <v/>
      </c>
    </row>
    <row r="25">
      <c r="B25" s="187" t="n">
        <v>4</v>
      </c>
      <c r="C25" s="187">
        <f>IF(I12="","", 4)</f>
        <v/>
      </c>
      <c r="D25" s="187">
        <f>IF(I12="","", 4)</f>
        <v/>
      </c>
      <c r="E25" s="187">
        <f>IF(I12="","", 4)</f>
        <v/>
      </c>
      <c r="F25" s="187">
        <f>IF(I12="","", 5)</f>
        <v/>
      </c>
      <c r="G25" s="187">
        <f>IF(I12="","", 5)</f>
        <v/>
      </c>
      <c r="H25" s="187">
        <f>IF(I12="","", 5)</f>
        <v/>
      </c>
      <c r="AK25" s="187" t="n">
        <v>10</v>
      </c>
      <c r="AL25" s="187" t="n"/>
      <c r="AM25" s="187" t="n"/>
      <c r="AN25" s="187" t="n"/>
      <c r="AO25" s="187">
        <f>IF(AL25="","", AM25+AN25)</f>
        <v/>
      </c>
      <c r="AP25" s="187">
        <f>IF(AL25="","", (AL25*(AN25^2)*(3*AM25+AN25))/(AO25^3))</f>
        <v/>
      </c>
      <c r="AQ25" s="187">
        <f>IF(AL25="","", +(AL25*AM25*(AN25^2))/(AO25^2))</f>
        <v/>
      </c>
      <c r="AR25" s="187">
        <f>IF(AL25="","", (AL25*(AM25^2)*(AM25+3*AN25))/(AO25^3))</f>
        <v/>
      </c>
      <c r="AS25" s="187">
        <f>IF(AL25="","", -(AL25*(AM25^2)*AN25)/(AO25^2))</f>
        <v/>
      </c>
    </row>
    <row r="26">
      <c r="B26" s="187" t="n">
        <v>5</v>
      </c>
      <c r="C26" s="187">
        <f>IF(I13="","", 5)</f>
        <v/>
      </c>
      <c r="D26" s="187">
        <f>IF(I13="","", 5)</f>
        <v/>
      </c>
      <c r="E26" s="187">
        <f>IF(I13="","", 5)</f>
        <v/>
      </c>
      <c r="F26" s="187">
        <f>IF(I13="","", 6)</f>
        <v/>
      </c>
      <c r="G26" s="187">
        <f>IF(I13="","", 6)</f>
        <v/>
      </c>
      <c r="H26" s="187">
        <f>IF(I13="","", 6)</f>
        <v/>
      </c>
    </row>
    <row r="27">
      <c r="B27" s="187" t="n">
        <v>6</v>
      </c>
      <c r="C27" s="187">
        <f>IF(I14="","", 6)</f>
        <v/>
      </c>
      <c r="D27" s="187">
        <f>IF(I14="","", 6)</f>
        <v/>
      </c>
      <c r="E27" s="187">
        <f>IF(I14="","", 6)</f>
        <v/>
      </c>
      <c r="F27" s="187">
        <f>IF(I14="","", 7)</f>
        <v/>
      </c>
      <c r="G27" s="187">
        <f>IF(I14="","", 7)</f>
        <v/>
      </c>
      <c r="H27" s="187">
        <f>IF(I14="","", 7)</f>
        <v/>
      </c>
    </row>
    <row r="28">
      <c r="B28" s="187" t="n">
        <v>7</v>
      </c>
      <c r="C28" s="187">
        <f>IF(I15="","", 7)</f>
        <v/>
      </c>
      <c r="D28" s="187">
        <f>IF(I15="","", 7)</f>
        <v/>
      </c>
      <c r="E28" s="187">
        <f>IF(I15="","", 7)</f>
        <v/>
      </c>
      <c r="F28" s="187">
        <f>IF(I15="","", 8)</f>
        <v/>
      </c>
      <c r="G28" s="187">
        <f>IF(I15="","", 8)</f>
        <v/>
      </c>
      <c r="H28" s="187">
        <f>IF(I15="","", 8)</f>
        <v/>
      </c>
    </row>
    <row r="29">
      <c r="B29" s="187" t="n">
        <v>8</v>
      </c>
      <c r="C29" s="187">
        <f>IF(I16="","", 8)</f>
        <v/>
      </c>
      <c r="D29" s="187">
        <f>IF(I16="","", 8)</f>
        <v/>
      </c>
      <c r="E29" s="187">
        <f>IF(I16="","", 8)</f>
        <v/>
      </c>
      <c r="F29" s="187">
        <f>IF(I16="","", 9)</f>
        <v/>
      </c>
      <c r="G29" s="187">
        <f>IF(I16="","", 9)</f>
        <v/>
      </c>
      <c r="H29" s="187">
        <f>IF(I16="","", 9)</f>
        <v/>
      </c>
    </row>
    <row r="30">
      <c r="B30" s="187" t="n">
        <v>9</v>
      </c>
      <c r="C30" s="187">
        <f>IF(I17="","", 9)</f>
        <v/>
      </c>
      <c r="D30" s="187">
        <f>IF(I17="","", 9)</f>
        <v/>
      </c>
      <c r="E30" s="187">
        <f>IF(I17="","", 9)</f>
        <v/>
      </c>
      <c r="F30" s="187">
        <f>IF(I17="","", 10)</f>
        <v/>
      </c>
      <c r="G30" s="187">
        <f>IF(I17="","", 10)</f>
        <v/>
      </c>
      <c r="H30" s="187">
        <f>IF(I17="","", 10)</f>
        <v/>
      </c>
    </row>
    <row r="31">
      <c r="B31" s="187" t="n">
        <v>10</v>
      </c>
      <c r="C31" s="187">
        <f>IF(I18="","", 10)</f>
        <v/>
      </c>
      <c r="D31" s="187">
        <f>IF(I18="","", 10)</f>
        <v/>
      </c>
      <c r="E31" s="187">
        <f>IF(I18="","", 10)</f>
        <v/>
      </c>
      <c r="F31" s="187">
        <f>IF(I18="","", 11)</f>
        <v/>
      </c>
      <c r="G31" s="187">
        <f>IF(I18="","", 11)</f>
        <v/>
      </c>
      <c r="H31" s="187">
        <f>IF(I18="","", 11)</f>
        <v/>
      </c>
    </row>
    <row r="34">
      <c r="B34" s="51">
        <f>IF(C22="","", CONCATENATE("U",C22,C$21))</f>
        <v/>
      </c>
      <c r="C34" s="51">
        <f>IF(D22="","", CONCATENATE("U",D22,D$21))</f>
        <v/>
      </c>
      <c r="D34" s="51">
        <f>IF(E22="","", CONCATENATE("U",E22,E$21))</f>
        <v/>
      </c>
      <c r="E34" s="51">
        <f>IF(F22="","", CONCATENATE("U",F22,F$21))</f>
        <v/>
      </c>
      <c r="F34" s="51">
        <f>IF(G22="","", CONCATENATE("U",G22,G$21))</f>
        <v/>
      </c>
      <c r="G34" s="51">
        <f>IF(H22="","", CONCATENATE("U",H22,H$21))</f>
        <v/>
      </c>
    </row>
    <row r="35">
      <c r="B35" s="8">
        <f>IF(I9="", 0, O9*J9*J9+P9*K9*K9)</f>
        <v/>
      </c>
      <c r="C35" s="189">
        <f>IF(I9="", 0, (O9-P9)*(J9*K9))</f>
        <v/>
      </c>
      <c r="D35" s="189">
        <f>IF(I9="", 0, -Q9*K9)</f>
        <v/>
      </c>
      <c r="E35" s="189">
        <f>-B35</f>
        <v/>
      </c>
      <c r="F35" s="189">
        <f>-C35</f>
        <v/>
      </c>
      <c r="G35" s="189">
        <f>D35</f>
        <v/>
      </c>
      <c r="H35" s="51">
        <f>B34</f>
        <v/>
      </c>
    </row>
    <row r="36">
      <c r="B36" s="189">
        <f>C35</f>
        <v/>
      </c>
      <c r="C36" s="8">
        <f>IF(I9="", 0, O9*K9*K9+P9*J9*J9)</f>
        <v/>
      </c>
      <c r="D36" s="189">
        <f>IF(I9="", 0, Q9*J9)</f>
        <v/>
      </c>
      <c r="E36" s="189">
        <f>-B36</f>
        <v/>
      </c>
      <c r="F36" s="189">
        <f>-C36</f>
        <v/>
      </c>
      <c r="G36" s="189">
        <f>D36</f>
        <v/>
      </c>
      <c r="H36" s="51">
        <f>C34</f>
        <v/>
      </c>
    </row>
    <row r="37">
      <c r="A37" s="118" t="inlineStr">
        <is>
          <t>K1 =</t>
        </is>
      </c>
      <c r="B37" s="189">
        <f>D35</f>
        <v/>
      </c>
      <c r="C37" s="189">
        <f>D36</f>
        <v/>
      </c>
      <c r="D37" s="8">
        <f>IF(I9="", 0, R9)</f>
        <v/>
      </c>
      <c r="E37" s="189">
        <f>-B37</f>
        <v/>
      </c>
      <c r="F37" s="189">
        <f>-C37</f>
        <v/>
      </c>
      <c r="G37" s="189">
        <f>IF(I9="", 0, S9)</f>
        <v/>
      </c>
      <c r="H37" s="51">
        <f>D34</f>
        <v/>
      </c>
    </row>
    <row r="38">
      <c r="B38" s="189">
        <f>E35</f>
        <v/>
      </c>
      <c r="C38" s="189">
        <f>E36</f>
        <v/>
      </c>
      <c r="D38" s="189">
        <f>E37</f>
        <v/>
      </c>
      <c r="E38" s="8">
        <f>B35</f>
        <v/>
      </c>
      <c r="F38" s="189">
        <f>C35</f>
        <v/>
      </c>
      <c r="G38" s="189">
        <f>-D35</f>
        <v/>
      </c>
      <c r="H38" s="51">
        <f>E34</f>
        <v/>
      </c>
    </row>
    <row r="39">
      <c r="B39" s="189">
        <f>F35</f>
        <v/>
      </c>
      <c r="C39" s="189">
        <f>F36</f>
        <v/>
      </c>
      <c r="D39" s="189">
        <f>F37</f>
        <v/>
      </c>
      <c r="E39" s="189">
        <f>F38</f>
        <v/>
      </c>
      <c r="F39" s="8">
        <f>C36</f>
        <v/>
      </c>
      <c r="G39" s="189">
        <f>-D36</f>
        <v/>
      </c>
      <c r="H39" s="51">
        <f>F34</f>
        <v/>
      </c>
    </row>
    <row r="40">
      <c r="B40" s="189">
        <f>G35</f>
        <v/>
      </c>
      <c r="C40" s="189">
        <f>G36</f>
        <v/>
      </c>
      <c r="D40" s="189">
        <f>G37</f>
        <v/>
      </c>
      <c r="E40" s="189">
        <f>G38</f>
        <v/>
      </c>
      <c r="F40" s="189">
        <f>G39</f>
        <v/>
      </c>
      <c r="G40" s="8">
        <f>D37</f>
        <v/>
      </c>
      <c r="H40" s="51">
        <f>G34</f>
        <v/>
      </c>
    </row>
    <row r="42">
      <c r="B42" s="51" t="inlineStr">
        <is>
          <t>U1X</t>
        </is>
      </c>
      <c r="C42" s="51" t="inlineStr">
        <is>
          <t>U1Y</t>
        </is>
      </c>
      <c r="D42" s="51" t="inlineStr">
        <is>
          <t>U1θ</t>
        </is>
      </c>
      <c r="E42" s="51" t="inlineStr">
        <is>
          <t>U2X</t>
        </is>
      </c>
      <c r="F42" s="51" t="inlineStr">
        <is>
          <t>U2Y</t>
        </is>
      </c>
      <c r="G42" s="51" t="inlineStr">
        <is>
          <t>U2θ</t>
        </is>
      </c>
      <c r="H42" s="51" t="inlineStr">
        <is>
          <t>U3X</t>
        </is>
      </c>
      <c r="I42" s="51" t="inlineStr">
        <is>
          <t>U3Y</t>
        </is>
      </c>
      <c r="J42" s="51" t="inlineStr">
        <is>
          <t>U3θ</t>
        </is>
      </c>
      <c r="K42" s="51" t="inlineStr">
        <is>
          <t>U4X</t>
        </is>
      </c>
      <c r="L42" s="51" t="inlineStr">
        <is>
          <t>U4Y</t>
        </is>
      </c>
      <c r="M42" s="51" t="inlineStr">
        <is>
          <t>U4θ</t>
        </is>
      </c>
      <c r="N42" s="51" t="inlineStr">
        <is>
          <t>U5X</t>
        </is>
      </c>
      <c r="O42" s="51" t="inlineStr">
        <is>
          <t>U5Y</t>
        </is>
      </c>
      <c r="P42" s="51" t="inlineStr">
        <is>
          <t>U5θ</t>
        </is>
      </c>
      <c r="Q42" s="51" t="inlineStr">
        <is>
          <t>U6X</t>
        </is>
      </c>
      <c r="R42" s="51" t="inlineStr">
        <is>
          <t>U6Y</t>
        </is>
      </c>
      <c r="S42" s="51" t="inlineStr">
        <is>
          <t>U6θ</t>
        </is>
      </c>
      <c r="T42" s="51" t="inlineStr">
        <is>
          <t>U7X</t>
        </is>
      </c>
      <c r="U42" s="51" t="inlineStr">
        <is>
          <t>U7Y</t>
        </is>
      </c>
      <c r="V42" s="51" t="inlineStr">
        <is>
          <t>U7θ</t>
        </is>
      </c>
      <c r="W42" s="51" t="inlineStr">
        <is>
          <t>U8X</t>
        </is>
      </c>
      <c r="X42" s="51" t="inlineStr">
        <is>
          <t>U8Y</t>
        </is>
      </c>
      <c r="Y42" s="51" t="inlineStr">
        <is>
          <t>U8θ</t>
        </is>
      </c>
      <c r="Z42" s="51" t="inlineStr">
        <is>
          <t>U9X</t>
        </is>
      </c>
      <c r="AA42" s="51" t="inlineStr">
        <is>
          <t>U9Y</t>
        </is>
      </c>
      <c r="AB42" s="51" t="inlineStr">
        <is>
          <t>U9θ</t>
        </is>
      </c>
      <c r="AC42" s="51" t="inlineStr">
        <is>
          <t>U10X</t>
        </is>
      </c>
      <c r="AD42" s="51" t="inlineStr">
        <is>
          <t>U10Y</t>
        </is>
      </c>
      <c r="AE42" s="51" t="inlineStr">
        <is>
          <t>U10θ</t>
        </is>
      </c>
      <c r="AF42" s="51" t="inlineStr">
        <is>
          <t>U11X</t>
        </is>
      </c>
      <c r="AG42" s="51" t="inlineStr">
        <is>
          <t>U11Y</t>
        </is>
      </c>
      <c r="AH42" s="51" t="inlineStr">
        <is>
          <t>U11θ</t>
        </is>
      </c>
    </row>
    <row r="43">
      <c r="B43" s="189">
        <f>B35</f>
        <v/>
      </c>
      <c r="C43" s="189">
        <f>C35</f>
        <v/>
      </c>
      <c r="D43" s="189">
        <f>D35</f>
        <v/>
      </c>
      <c r="E43" s="189">
        <f>E35</f>
        <v/>
      </c>
      <c r="F43" s="189">
        <f>F35</f>
        <v/>
      </c>
      <c r="G43" s="189">
        <f>G35</f>
        <v/>
      </c>
      <c r="H43" s="189" t="n"/>
      <c r="I43" s="189" t="n"/>
      <c r="J43" s="189" t="n"/>
      <c r="K43" s="189" t="n"/>
      <c r="L43" s="189" t="n"/>
      <c r="M43" s="189" t="n"/>
      <c r="N43" s="189" t="n"/>
      <c r="O43" s="189" t="n"/>
      <c r="P43" s="189" t="n"/>
      <c r="Q43" s="189" t="n"/>
      <c r="R43" s="189" t="n"/>
      <c r="S43" s="189" t="n"/>
      <c r="T43" s="189" t="n"/>
      <c r="U43" s="189" t="n"/>
      <c r="V43" s="189" t="n"/>
      <c r="W43" s="189" t="n"/>
      <c r="X43" s="189" t="n"/>
      <c r="Y43" s="189" t="n"/>
      <c r="Z43" s="189" t="n"/>
      <c r="AA43" s="189" t="n"/>
      <c r="AB43" s="189" t="n"/>
      <c r="AC43" s="189" t="n"/>
      <c r="AD43" s="189" t="n"/>
      <c r="AE43" s="189" t="n"/>
      <c r="AF43" s="189" t="n"/>
      <c r="AG43" s="189" t="n"/>
      <c r="AH43" s="189" t="n"/>
      <c r="AI43" s="51" t="inlineStr">
        <is>
          <t>U1X</t>
        </is>
      </c>
    </row>
    <row r="44">
      <c r="B44" s="189">
        <f>B36</f>
        <v/>
      </c>
      <c r="C44" s="189">
        <f>C36</f>
        <v/>
      </c>
      <c r="D44" s="189">
        <f>D36</f>
        <v/>
      </c>
      <c r="E44" s="189">
        <f>E36</f>
        <v/>
      </c>
      <c r="F44" s="189">
        <f>F36</f>
        <v/>
      </c>
      <c r="G44" s="189">
        <f>G36</f>
        <v/>
      </c>
      <c r="H44" s="189" t="n"/>
      <c r="I44" s="189" t="n"/>
      <c r="J44" s="189" t="n"/>
      <c r="K44" s="189" t="n"/>
      <c r="L44" s="189" t="n"/>
      <c r="M44" s="189" t="n"/>
      <c r="N44" s="189" t="n"/>
      <c r="O44" s="189" t="n"/>
      <c r="P44" s="189" t="n"/>
      <c r="Q44" s="189" t="n"/>
      <c r="R44" s="189" t="n"/>
      <c r="S44" s="189" t="n"/>
      <c r="T44" s="189" t="n"/>
      <c r="U44" s="189" t="n"/>
      <c r="V44" s="189" t="n"/>
      <c r="W44" s="189" t="n"/>
      <c r="X44" s="189" t="n"/>
      <c r="Y44" s="189" t="n"/>
      <c r="Z44" s="189" t="n"/>
      <c r="AA44" s="189" t="n"/>
      <c r="AB44" s="189" t="n"/>
      <c r="AC44" s="189" t="n"/>
      <c r="AD44" s="189" t="n"/>
      <c r="AE44" s="189" t="n"/>
      <c r="AF44" s="189" t="n"/>
      <c r="AG44" s="189" t="n"/>
      <c r="AH44" s="189" t="n"/>
      <c r="AI44" s="51" t="inlineStr">
        <is>
          <t>U1Y</t>
        </is>
      </c>
    </row>
    <row r="45">
      <c r="B45" s="189">
        <f>B37</f>
        <v/>
      </c>
      <c r="C45" s="189">
        <f>C37</f>
        <v/>
      </c>
      <c r="D45" s="189">
        <f>D37</f>
        <v/>
      </c>
      <c r="E45" s="189">
        <f>E37</f>
        <v/>
      </c>
      <c r="F45" s="189">
        <f>F37</f>
        <v/>
      </c>
      <c r="G45" s="189">
        <f>G37</f>
        <v/>
      </c>
      <c r="H45" s="189" t="n"/>
      <c r="I45" s="189" t="n"/>
      <c r="J45" s="189" t="n"/>
      <c r="K45" s="189" t="n"/>
      <c r="L45" s="189" t="n"/>
      <c r="M45" s="189" t="n"/>
      <c r="N45" s="189" t="n"/>
      <c r="O45" s="189" t="n"/>
      <c r="P45" s="189" t="n"/>
      <c r="Q45" s="189" t="n"/>
      <c r="R45" s="189" t="n"/>
      <c r="S45" s="189" t="n"/>
      <c r="T45" s="189" t="n"/>
      <c r="U45" s="189" t="n"/>
      <c r="V45" s="189" t="n"/>
      <c r="W45" s="189" t="n"/>
      <c r="X45" s="189" t="n"/>
      <c r="Y45" s="189" t="n"/>
      <c r="Z45" s="189" t="n"/>
      <c r="AA45" s="189" t="n"/>
      <c r="AB45" s="189" t="n"/>
      <c r="AC45" s="189" t="n"/>
      <c r="AD45" s="189" t="n"/>
      <c r="AE45" s="189" t="n"/>
      <c r="AF45" s="189" t="n"/>
      <c r="AG45" s="189" t="n"/>
      <c r="AH45" s="189" t="n"/>
      <c r="AI45" s="51" t="inlineStr">
        <is>
          <t>U1θ</t>
        </is>
      </c>
    </row>
    <row r="46">
      <c r="B46" s="189">
        <f>B38</f>
        <v/>
      </c>
      <c r="C46" s="189">
        <f>C38</f>
        <v/>
      </c>
      <c r="D46" s="189">
        <f>D38</f>
        <v/>
      </c>
      <c r="E46" s="189">
        <f>E38</f>
        <v/>
      </c>
      <c r="F46" s="189">
        <f>F38</f>
        <v/>
      </c>
      <c r="G46" s="189">
        <f>G38</f>
        <v/>
      </c>
      <c r="H46" s="189" t="n"/>
      <c r="I46" s="189" t="n"/>
      <c r="J46" s="189" t="n"/>
      <c r="K46" s="189" t="n"/>
      <c r="L46" s="189" t="n"/>
      <c r="M46" s="189" t="n"/>
      <c r="N46" s="189" t="n"/>
      <c r="O46" s="189" t="n"/>
      <c r="P46" s="189" t="n"/>
      <c r="Q46" s="189" t="n"/>
      <c r="R46" s="189" t="n"/>
      <c r="S46" s="189" t="n"/>
      <c r="T46" s="189" t="n"/>
      <c r="U46" s="189" t="n"/>
      <c r="V46" s="189" t="n"/>
      <c r="W46" s="189" t="n"/>
      <c r="X46" s="189" t="n"/>
      <c r="Y46" s="189" t="n"/>
      <c r="Z46" s="189" t="n"/>
      <c r="AA46" s="189" t="n"/>
      <c r="AB46" s="189" t="n"/>
      <c r="AC46" s="189" t="n"/>
      <c r="AD46" s="189" t="n"/>
      <c r="AE46" s="189" t="n"/>
      <c r="AF46" s="189" t="n"/>
      <c r="AG46" s="189" t="n"/>
      <c r="AH46" s="189" t="n"/>
      <c r="AI46" s="51" t="inlineStr">
        <is>
          <t>U2X</t>
        </is>
      </c>
    </row>
    <row r="47">
      <c r="B47" s="189">
        <f>B39</f>
        <v/>
      </c>
      <c r="C47" s="189">
        <f>C39</f>
        <v/>
      </c>
      <c r="D47" s="189">
        <f>D39</f>
        <v/>
      </c>
      <c r="E47" s="189">
        <f>E39</f>
        <v/>
      </c>
      <c r="F47" s="189">
        <f>F39</f>
        <v/>
      </c>
      <c r="G47" s="189">
        <f>G39</f>
        <v/>
      </c>
      <c r="H47" s="189" t="n"/>
      <c r="I47" s="189" t="n"/>
      <c r="J47" s="189" t="n"/>
      <c r="K47" s="189" t="n"/>
      <c r="L47" s="189" t="n"/>
      <c r="M47" s="189" t="n"/>
      <c r="N47" s="189" t="n"/>
      <c r="O47" s="189" t="n"/>
      <c r="P47" s="189" t="n"/>
      <c r="Q47" s="189" t="n"/>
      <c r="R47" s="189" t="n"/>
      <c r="S47" s="189" t="n"/>
      <c r="T47" s="189" t="n"/>
      <c r="U47" s="189" t="n"/>
      <c r="V47" s="189" t="n"/>
      <c r="W47" s="189" t="n"/>
      <c r="X47" s="189" t="n"/>
      <c r="Y47" s="189" t="n"/>
      <c r="Z47" s="189" t="n"/>
      <c r="AA47" s="189" t="n"/>
      <c r="AB47" s="189" t="n"/>
      <c r="AC47" s="189" t="n"/>
      <c r="AD47" s="189" t="n"/>
      <c r="AE47" s="189" t="n"/>
      <c r="AF47" s="189" t="n"/>
      <c r="AG47" s="189" t="n"/>
      <c r="AH47" s="189" t="n"/>
      <c r="AI47" s="51" t="inlineStr">
        <is>
          <t>U2Y</t>
        </is>
      </c>
    </row>
    <row r="48">
      <c r="B48" s="189">
        <f>B40</f>
        <v/>
      </c>
      <c r="C48" s="189">
        <f>C40</f>
        <v/>
      </c>
      <c r="D48" s="189">
        <f>D40</f>
        <v/>
      </c>
      <c r="E48" s="189">
        <f>E40</f>
        <v/>
      </c>
      <c r="F48" s="189">
        <f>F40</f>
        <v/>
      </c>
      <c r="G48" s="189">
        <f>G40</f>
        <v/>
      </c>
      <c r="H48" s="189" t="n"/>
      <c r="I48" s="189" t="n"/>
      <c r="J48" s="189" t="n"/>
      <c r="K48" s="189" t="n"/>
      <c r="L48" s="189" t="n"/>
      <c r="M48" s="189" t="n"/>
      <c r="N48" s="189" t="n"/>
      <c r="O48" s="189" t="n"/>
      <c r="P48" s="189" t="n"/>
      <c r="Q48" s="189" t="n"/>
      <c r="R48" s="189" t="n"/>
      <c r="S48" s="189" t="n"/>
      <c r="T48" s="189" t="n"/>
      <c r="U48" s="189" t="n"/>
      <c r="V48" s="189" t="n"/>
      <c r="W48" s="189" t="n"/>
      <c r="X48" s="189" t="n"/>
      <c r="Y48" s="189" t="n"/>
      <c r="Z48" s="189" t="n"/>
      <c r="AA48" s="189" t="n"/>
      <c r="AB48" s="189" t="n"/>
      <c r="AC48" s="189" t="n"/>
      <c r="AD48" s="189" t="n"/>
      <c r="AE48" s="189" t="n"/>
      <c r="AF48" s="189" t="n"/>
      <c r="AG48" s="189" t="n"/>
      <c r="AH48" s="189" t="n"/>
      <c r="AI48" s="51" t="inlineStr">
        <is>
          <t>U2θ</t>
        </is>
      </c>
    </row>
    <row r="49">
      <c r="B49" s="189" t="n"/>
      <c r="C49" s="189" t="n"/>
      <c r="D49" s="189" t="n"/>
      <c r="E49" s="189" t="n"/>
      <c r="F49" s="189" t="n"/>
      <c r="G49" s="189" t="n"/>
      <c r="H49" s="189" t="n"/>
      <c r="I49" s="189" t="n"/>
      <c r="J49" s="189" t="n"/>
      <c r="K49" s="189" t="n"/>
      <c r="L49" s="189" t="n"/>
      <c r="M49" s="189" t="n"/>
      <c r="N49" s="189" t="n"/>
      <c r="O49" s="189" t="n"/>
      <c r="P49" s="189" t="n"/>
      <c r="Q49" s="189" t="n"/>
      <c r="R49" s="189" t="n"/>
      <c r="S49" s="189" t="n"/>
      <c r="T49" s="189" t="n"/>
      <c r="U49" s="189" t="n"/>
      <c r="V49" s="189" t="n"/>
      <c r="W49" s="189" t="n"/>
      <c r="X49" s="189" t="n"/>
      <c r="Y49" s="189" t="n"/>
      <c r="Z49" s="189" t="n"/>
      <c r="AA49" s="189" t="n"/>
      <c r="AB49" s="189" t="n"/>
      <c r="AC49" s="189" t="n"/>
      <c r="AD49" s="189" t="n"/>
      <c r="AE49" s="189" t="n"/>
      <c r="AF49" s="189" t="n"/>
      <c r="AG49" s="189" t="n"/>
      <c r="AH49" s="189" t="n"/>
      <c r="AI49" s="51" t="inlineStr">
        <is>
          <t>U3X</t>
        </is>
      </c>
    </row>
    <row r="50">
      <c r="B50" s="189" t="n"/>
      <c r="C50" s="189" t="n"/>
      <c r="D50" s="189" t="n"/>
      <c r="E50" s="189" t="n"/>
      <c r="F50" s="189" t="n"/>
      <c r="G50" s="189" t="n"/>
      <c r="H50" s="189" t="n"/>
      <c r="I50" s="189" t="n"/>
      <c r="J50" s="189" t="n"/>
      <c r="K50" s="189" t="n"/>
      <c r="L50" s="189" t="n"/>
      <c r="M50" s="189" t="n"/>
      <c r="N50" s="189" t="n"/>
      <c r="O50" s="189" t="n"/>
      <c r="P50" s="189" t="n"/>
      <c r="Q50" s="189" t="n"/>
      <c r="R50" s="189" t="n"/>
      <c r="S50" s="189" t="n"/>
      <c r="T50" s="189" t="n"/>
      <c r="U50" s="189" t="n"/>
      <c r="V50" s="189" t="n"/>
      <c r="W50" s="189" t="n"/>
      <c r="X50" s="189" t="n"/>
      <c r="Y50" s="189" t="n"/>
      <c r="Z50" s="189" t="n"/>
      <c r="AA50" s="189" t="n"/>
      <c r="AB50" s="189" t="n"/>
      <c r="AC50" s="189" t="n"/>
      <c r="AD50" s="189" t="n"/>
      <c r="AE50" s="189" t="n"/>
      <c r="AF50" s="189" t="n"/>
      <c r="AG50" s="189" t="n"/>
      <c r="AH50" s="189" t="n"/>
      <c r="AI50" s="51" t="inlineStr">
        <is>
          <t>U3Y</t>
        </is>
      </c>
    </row>
    <row r="51">
      <c r="B51" s="189" t="n"/>
      <c r="C51" s="189" t="n"/>
      <c r="D51" s="189" t="n"/>
      <c r="E51" s="189" t="n"/>
      <c r="F51" s="189" t="n"/>
      <c r="G51" s="189" t="n"/>
      <c r="H51" s="189" t="n"/>
      <c r="I51" s="189" t="n"/>
      <c r="J51" s="189" t="n"/>
      <c r="K51" s="189" t="n"/>
      <c r="L51" s="189" t="n"/>
      <c r="M51" s="189" t="n"/>
      <c r="N51" s="189" t="n"/>
      <c r="O51" s="189" t="n"/>
      <c r="P51" s="189" t="n"/>
      <c r="Q51" s="189" t="n"/>
      <c r="R51" s="189" t="n"/>
      <c r="S51" s="189" t="n"/>
      <c r="T51" s="189" t="n"/>
      <c r="U51" s="189" t="n"/>
      <c r="V51" s="189" t="n"/>
      <c r="W51" s="189" t="n"/>
      <c r="X51" s="189" t="n"/>
      <c r="Y51" s="189" t="n"/>
      <c r="Z51" s="189" t="n"/>
      <c r="AA51" s="189" t="n"/>
      <c r="AB51" s="189" t="n"/>
      <c r="AC51" s="189" t="n"/>
      <c r="AD51" s="189" t="n"/>
      <c r="AE51" s="189" t="n"/>
      <c r="AF51" s="189" t="n"/>
      <c r="AG51" s="189" t="n"/>
      <c r="AH51" s="189" t="n"/>
      <c r="AI51" s="51" t="inlineStr">
        <is>
          <t>U3θ</t>
        </is>
      </c>
    </row>
    <row r="52">
      <c r="B52" s="189" t="n"/>
      <c r="C52" s="189" t="n"/>
      <c r="D52" s="189" t="n"/>
      <c r="E52" s="189" t="n"/>
      <c r="F52" s="189" t="n"/>
      <c r="G52" s="189" t="n"/>
      <c r="H52" s="189" t="n"/>
      <c r="I52" s="189" t="n"/>
      <c r="J52" s="189" t="n"/>
      <c r="K52" s="189" t="n"/>
      <c r="L52" s="189" t="n"/>
      <c r="M52" s="189" t="n"/>
      <c r="N52" s="189" t="n"/>
      <c r="O52" s="189" t="n"/>
      <c r="P52" s="189" t="n"/>
      <c r="Q52" s="189" t="n"/>
      <c r="R52" s="189" t="n"/>
      <c r="S52" s="189" t="n"/>
      <c r="T52" s="189" t="n"/>
      <c r="U52" s="189" t="n"/>
      <c r="V52" s="189" t="n"/>
      <c r="W52" s="189" t="n"/>
      <c r="X52" s="189" t="n"/>
      <c r="Y52" s="189" t="n"/>
      <c r="Z52" s="189" t="n"/>
      <c r="AA52" s="189" t="n"/>
      <c r="AB52" s="189" t="n"/>
      <c r="AC52" s="189" t="n"/>
      <c r="AD52" s="189" t="n"/>
      <c r="AE52" s="189" t="n"/>
      <c r="AF52" s="189" t="n"/>
      <c r="AG52" s="189" t="n"/>
      <c r="AH52" s="189" t="n"/>
      <c r="AI52" s="51" t="inlineStr">
        <is>
          <t>U4X</t>
        </is>
      </c>
    </row>
    <row r="53">
      <c r="B53" s="189" t="n"/>
      <c r="C53" s="189" t="n"/>
      <c r="D53" s="189" t="n"/>
      <c r="E53" s="189" t="n"/>
      <c r="F53" s="189" t="n"/>
      <c r="G53" s="189" t="n"/>
      <c r="H53" s="189" t="n"/>
      <c r="I53" s="189" t="n"/>
      <c r="J53" s="189" t="n"/>
      <c r="K53" s="189" t="n"/>
      <c r="L53" s="189" t="n"/>
      <c r="M53" s="189" t="n"/>
      <c r="N53" s="189" t="n"/>
      <c r="O53" s="189" t="n"/>
      <c r="P53" s="189" t="n"/>
      <c r="Q53" s="189" t="n"/>
      <c r="R53" s="189" t="n"/>
      <c r="S53" s="189" t="n"/>
      <c r="T53" s="189" t="n"/>
      <c r="U53" s="189" t="n"/>
      <c r="V53" s="189" t="n"/>
      <c r="W53" s="189" t="n"/>
      <c r="X53" s="189" t="n"/>
      <c r="Y53" s="189" t="n"/>
      <c r="Z53" s="189" t="n"/>
      <c r="AA53" s="189" t="n"/>
      <c r="AB53" s="189" t="n"/>
      <c r="AC53" s="189" t="n"/>
      <c r="AD53" s="189" t="n"/>
      <c r="AE53" s="189" t="n"/>
      <c r="AF53" s="189" t="n"/>
      <c r="AG53" s="189" t="n"/>
      <c r="AH53" s="189" t="n"/>
      <c r="AI53" s="51" t="inlineStr">
        <is>
          <t>U4Y</t>
        </is>
      </c>
    </row>
    <row r="54">
      <c r="B54" s="189" t="n"/>
      <c r="C54" s="189" t="n"/>
      <c r="D54" s="189" t="n"/>
      <c r="E54" s="189" t="n"/>
      <c r="F54" s="189" t="n"/>
      <c r="G54" s="189" t="n"/>
      <c r="H54" s="189" t="n"/>
      <c r="I54" s="189" t="n"/>
      <c r="J54" s="189" t="n"/>
      <c r="K54" s="189" t="n"/>
      <c r="L54" s="189" t="n"/>
      <c r="M54" s="189" t="n"/>
      <c r="N54" s="189" t="n"/>
      <c r="O54" s="189" t="n"/>
      <c r="P54" s="189" t="n"/>
      <c r="Q54" s="189" t="n"/>
      <c r="R54" s="189" t="n"/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51" t="inlineStr">
        <is>
          <t>U4θ</t>
        </is>
      </c>
    </row>
    <row r="55">
      <c r="B55" s="189" t="n"/>
      <c r="C55" s="189" t="n"/>
      <c r="D55" s="189" t="n"/>
      <c r="E55" s="189" t="n"/>
      <c r="F55" s="189" t="n"/>
      <c r="G55" s="189" t="n"/>
      <c r="H55" s="189" t="n"/>
      <c r="I55" s="189" t="n"/>
      <c r="J55" s="189" t="n"/>
      <c r="K55" s="189" t="n"/>
      <c r="L55" s="189" t="n"/>
      <c r="M55" s="189" t="n"/>
      <c r="N55" s="189" t="n"/>
      <c r="O55" s="189" t="n"/>
      <c r="P55" s="189" t="n"/>
      <c r="Q55" s="189" t="n"/>
      <c r="R55" s="189" t="n"/>
      <c r="S55" s="189" t="n"/>
      <c r="T55" s="189" t="n"/>
      <c r="U55" s="189" t="n"/>
      <c r="V55" s="189" t="n"/>
      <c r="W55" s="189" t="n"/>
      <c r="X55" s="189" t="n"/>
      <c r="Y55" s="189" t="n"/>
      <c r="Z55" s="189" t="n"/>
      <c r="AA55" s="189" t="n"/>
      <c r="AB55" s="189" t="n"/>
      <c r="AC55" s="189" t="n"/>
      <c r="AD55" s="189" t="n"/>
      <c r="AE55" s="189" t="n"/>
      <c r="AF55" s="189" t="n"/>
      <c r="AG55" s="189" t="n"/>
      <c r="AH55" s="189" t="n"/>
      <c r="AI55" s="51" t="inlineStr">
        <is>
          <t>U5X</t>
        </is>
      </c>
    </row>
    <row r="56">
      <c r="B56" s="189" t="n"/>
      <c r="C56" s="189" t="n"/>
      <c r="D56" s="189" t="n"/>
      <c r="E56" s="189" t="n"/>
      <c r="F56" s="189" t="n"/>
      <c r="G56" s="189" t="n"/>
      <c r="H56" s="189" t="n"/>
      <c r="I56" s="189" t="n"/>
      <c r="J56" s="189" t="n"/>
      <c r="K56" s="189" t="n"/>
      <c r="L56" s="189" t="n"/>
      <c r="M56" s="189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51" t="inlineStr">
        <is>
          <t>U5Y</t>
        </is>
      </c>
    </row>
    <row r="57">
      <c r="B57" s="189" t="n"/>
      <c r="C57" s="189" t="n"/>
      <c r="D57" s="189" t="n"/>
      <c r="E57" s="189" t="n"/>
      <c r="F57" s="189" t="n"/>
      <c r="G57" s="189" t="n"/>
      <c r="H57" s="189" t="n"/>
      <c r="I57" s="189" t="n"/>
      <c r="J57" s="189" t="n"/>
      <c r="K57" s="189" t="n"/>
      <c r="L57" s="189" t="n"/>
      <c r="M57" s="189" t="n"/>
      <c r="N57" s="189" t="n"/>
      <c r="O57" s="189" t="n"/>
      <c r="P57" s="189" t="n"/>
      <c r="Q57" s="189" t="n"/>
      <c r="R57" s="189" t="n"/>
      <c r="S57" s="189" t="n"/>
      <c r="T57" s="189" t="n"/>
      <c r="U57" s="189" t="n"/>
      <c r="V57" s="189" t="n"/>
      <c r="W57" s="189" t="n"/>
      <c r="X57" s="189" t="n"/>
      <c r="Y57" s="189" t="n"/>
      <c r="Z57" s="189" t="n"/>
      <c r="AA57" s="189" t="n"/>
      <c r="AB57" s="189" t="n"/>
      <c r="AC57" s="189" t="n"/>
      <c r="AD57" s="189" t="n"/>
      <c r="AE57" s="189" t="n"/>
      <c r="AF57" s="189" t="n"/>
      <c r="AG57" s="189" t="n"/>
      <c r="AH57" s="189" t="n"/>
      <c r="AI57" s="51" t="inlineStr">
        <is>
          <t>U5θ</t>
        </is>
      </c>
    </row>
    <row r="58">
      <c r="A58" s="118" t="inlineStr">
        <is>
          <t>K1 =</t>
        </is>
      </c>
      <c r="B58" s="189" t="n"/>
      <c r="C58" s="189" t="n"/>
      <c r="D58" s="189" t="n"/>
      <c r="E58" s="189" t="n"/>
      <c r="F58" s="189" t="n"/>
      <c r="G58" s="189" t="n"/>
      <c r="H58" s="189" t="n"/>
      <c r="I58" s="189" t="n"/>
      <c r="J58" s="189" t="n"/>
      <c r="K58" s="189" t="n"/>
      <c r="L58" s="189" t="n"/>
      <c r="M58" s="189" t="n"/>
      <c r="N58" s="189" t="n"/>
      <c r="O58" s="189" t="n"/>
      <c r="P58" s="189" t="n"/>
      <c r="Q58" s="189" t="n"/>
      <c r="R58" s="189" t="n"/>
      <c r="S58" s="189" t="n"/>
      <c r="T58" s="189" t="n"/>
      <c r="U58" s="189" t="n"/>
      <c r="V58" s="189" t="n"/>
      <c r="W58" s="189" t="n"/>
      <c r="X58" s="189" t="n"/>
      <c r="Y58" s="189" t="n"/>
      <c r="Z58" s="189" t="n"/>
      <c r="AA58" s="189" t="n"/>
      <c r="AB58" s="189" t="n"/>
      <c r="AC58" s="189" t="n"/>
      <c r="AD58" s="189" t="n"/>
      <c r="AE58" s="189" t="n"/>
      <c r="AF58" s="189" t="n"/>
      <c r="AG58" s="189" t="n"/>
      <c r="AH58" s="189" t="n"/>
      <c r="AI58" s="51" t="inlineStr">
        <is>
          <t>U6X</t>
        </is>
      </c>
    </row>
    <row r="59">
      <c r="B59" s="189" t="n"/>
      <c r="C59" s="189" t="n"/>
      <c r="D59" s="189" t="n"/>
      <c r="E59" s="189" t="n"/>
      <c r="F59" s="189" t="n"/>
      <c r="G59" s="189" t="n"/>
      <c r="H59" s="189" t="n"/>
      <c r="I59" s="189" t="n"/>
      <c r="J59" s="189" t="n"/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89" t="n"/>
      <c r="U59" s="189" t="n"/>
      <c r="V59" s="189" t="n"/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51" t="inlineStr">
        <is>
          <t>U6Y</t>
        </is>
      </c>
    </row>
    <row r="60">
      <c r="B60" s="189" t="n"/>
      <c r="C60" s="189" t="n"/>
      <c r="D60" s="189" t="n"/>
      <c r="E60" s="189" t="n"/>
      <c r="F60" s="189" t="n"/>
      <c r="G60" s="189" t="n"/>
      <c r="H60" s="189" t="n"/>
      <c r="I60" s="189" t="n"/>
      <c r="J60" s="189" t="n"/>
      <c r="K60" s="189" t="n"/>
      <c r="L60" s="189" t="n"/>
      <c r="M60" s="189" t="n"/>
      <c r="N60" s="189" t="n"/>
      <c r="O60" s="189" t="n"/>
      <c r="P60" s="189" t="n"/>
      <c r="Q60" s="189" t="n"/>
      <c r="R60" s="189" t="n"/>
      <c r="S60" s="189" t="n"/>
      <c r="T60" s="189" t="n"/>
      <c r="U60" s="189" t="n"/>
      <c r="V60" s="189" t="n"/>
      <c r="W60" s="189" t="n"/>
      <c r="X60" s="189" t="n"/>
      <c r="Y60" s="189" t="n"/>
      <c r="Z60" s="189" t="n"/>
      <c r="AA60" s="189" t="n"/>
      <c r="AB60" s="189" t="n"/>
      <c r="AC60" s="189" t="n"/>
      <c r="AD60" s="189" t="n"/>
      <c r="AE60" s="189" t="n"/>
      <c r="AF60" s="189" t="n"/>
      <c r="AG60" s="189" t="n"/>
      <c r="AH60" s="189" t="n"/>
      <c r="AI60" s="51" t="inlineStr">
        <is>
          <t>U6θ</t>
        </is>
      </c>
    </row>
    <row r="61">
      <c r="B61" s="189" t="n"/>
      <c r="C61" s="189" t="n"/>
      <c r="D61" s="189" t="n"/>
      <c r="E61" s="189" t="n"/>
      <c r="F61" s="189" t="n"/>
      <c r="G61" s="189" t="n"/>
      <c r="H61" s="189" t="n"/>
      <c r="I61" s="189" t="n"/>
      <c r="J61" s="189" t="n"/>
      <c r="K61" s="189" t="n"/>
      <c r="L61" s="189" t="n"/>
      <c r="M61" s="189" t="n"/>
      <c r="N61" s="189" t="n"/>
      <c r="O61" s="189" t="n"/>
      <c r="P61" s="189" t="n"/>
      <c r="Q61" s="189" t="n"/>
      <c r="R61" s="189" t="n"/>
      <c r="S61" s="189" t="n"/>
      <c r="T61" s="189" t="n"/>
      <c r="U61" s="189" t="n"/>
      <c r="V61" s="189" t="n"/>
      <c r="W61" s="189" t="n"/>
      <c r="X61" s="189" t="n"/>
      <c r="Y61" s="189" t="n"/>
      <c r="Z61" s="189" t="n"/>
      <c r="AA61" s="189" t="n"/>
      <c r="AB61" s="189" t="n"/>
      <c r="AC61" s="189" t="n"/>
      <c r="AD61" s="189" t="n"/>
      <c r="AE61" s="189" t="n"/>
      <c r="AF61" s="189" t="n"/>
      <c r="AG61" s="189" t="n"/>
      <c r="AH61" s="189" t="n"/>
      <c r="AI61" s="51" t="inlineStr">
        <is>
          <t>U7X</t>
        </is>
      </c>
    </row>
    <row r="62">
      <c r="B62" s="189" t="n"/>
      <c r="C62" s="189" t="n"/>
      <c r="D62" s="189" t="n"/>
      <c r="E62" s="189" t="n"/>
      <c r="F62" s="189" t="n"/>
      <c r="G62" s="189" t="n"/>
      <c r="H62" s="189" t="n"/>
      <c r="I62" s="189" t="n"/>
      <c r="J62" s="189" t="n"/>
      <c r="K62" s="189" t="n"/>
      <c r="L62" s="189" t="n"/>
      <c r="M62" s="189" t="n"/>
      <c r="N62" s="189" t="n"/>
      <c r="O62" s="189" t="n"/>
      <c r="P62" s="189" t="n"/>
      <c r="Q62" s="189" t="n"/>
      <c r="R62" s="189" t="n"/>
      <c r="S62" s="189" t="n"/>
      <c r="T62" s="189" t="n"/>
      <c r="U62" s="189" t="n"/>
      <c r="V62" s="189" t="n"/>
      <c r="W62" s="189" t="n"/>
      <c r="X62" s="189" t="n"/>
      <c r="Y62" s="189" t="n"/>
      <c r="Z62" s="189" t="n"/>
      <c r="AA62" s="189" t="n"/>
      <c r="AB62" s="189" t="n"/>
      <c r="AC62" s="189" t="n"/>
      <c r="AD62" s="189" t="n"/>
      <c r="AE62" s="189" t="n"/>
      <c r="AF62" s="189" t="n"/>
      <c r="AG62" s="189" t="n"/>
      <c r="AH62" s="189" t="n"/>
      <c r="AI62" s="51" t="inlineStr">
        <is>
          <t>U7Y</t>
        </is>
      </c>
    </row>
    <row r="63">
      <c r="B63" s="189" t="n"/>
      <c r="C63" s="189" t="n"/>
      <c r="D63" s="189" t="n"/>
      <c r="E63" s="189" t="n"/>
      <c r="F63" s="189" t="n"/>
      <c r="G63" s="189" t="n"/>
      <c r="H63" s="189" t="n"/>
      <c r="I63" s="189" t="n"/>
      <c r="J63" s="189" t="n"/>
      <c r="K63" s="189" t="n"/>
      <c r="L63" s="189" t="n"/>
      <c r="M63" s="189" t="n"/>
      <c r="N63" s="189" t="n"/>
      <c r="O63" s="189" t="n"/>
      <c r="P63" s="189" t="n"/>
      <c r="Q63" s="189" t="n"/>
      <c r="R63" s="189" t="n"/>
      <c r="S63" s="189" t="n"/>
      <c r="T63" s="189" t="n"/>
      <c r="U63" s="189" t="n"/>
      <c r="V63" s="189" t="n"/>
      <c r="W63" s="189" t="n"/>
      <c r="X63" s="189" t="n"/>
      <c r="Y63" s="189" t="n"/>
      <c r="Z63" s="189" t="n"/>
      <c r="AA63" s="189" t="n"/>
      <c r="AB63" s="189" t="n"/>
      <c r="AC63" s="189" t="n"/>
      <c r="AD63" s="189" t="n"/>
      <c r="AE63" s="189" t="n"/>
      <c r="AF63" s="189" t="n"/>
      <c r="AG63" s="189" t="n"/>
      <c r="AH63" s="189" t="n"/>
      <c r="AI63" s="51" t="inlineStr">
        <is>
          <t>U7θ</t>
        </is>
      </c>
    </row>
    <row r="64">
      <c r="B64" s="189" t="n"/>
      <c r="C64" s="189" t="n"/>
      <c r="D64" s="189" t="n"/>
      <c r="E64" s="189" t="n"/>
      <c r="F64" s="189" t="n"/>
      <c r="G64" s="189" t="n"/>
      <c r="H64" s="189" t="n"/>
      <c r="I64" s="189" t="n"/>
      <c r="J64" s="189" t="n"/>
      <c r="K64" s="189" t="n"/>
      <c r="L64" s="189" t="n"/>
      <c r="M64" s="189" t="n"/>
      <c r="N64" s="189" t="n"/>
      <c r="O64" s="189" t="n"/>
      <c r="P64" s="189" t="n"/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51" t="inlineStr">
        <is>
          <t>U8X</t>
        </is>
      </c>
    </row>
    <row r="65">
      <c r="B65" s="189" t="n"/>
      <c r="C65" s="189" t="n"/>
      <c r="D65" s="189" t="n"/>
      <c r="E65" s="189" t="n"/>
      <c r="F65" s="189" t="n"/>
      <c r="G65" s="189" t="n"/>
      <c r="H65" s="189" t="n"/>
      <c r="I65" s="189" t="n"/>
      <c r="J65" s="189" t="n"/>
      <c r="K65" s="189" t="n"/>
      <c r="L65" s="189" t="n"/>
      <c r="M65" s="189" t="n"/>
      <c r="N65" s="189" t="n"/>
      <c r="O65" s="189" t="n"/>
      <c r="P65" s="189" t="n"/>
      <c r="Q65" s="189" t="n"/>
      <c r="R65" s="189" t="n"/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51" t="inlineStr">
        <is>
          <t>U8Y</t>
        </is>
      </c>
    </row>
    <row r="66">
      <c r="B66" s="189" t="n"/>
      <c r="C66" s="189" t="n"/>
      <c r="D66" s="189" t="n"/>
      <c r="E66" s="189" t="n"/>
      <c r="F66" s="189" t="n"/>
      <c r="G66" s="189" t="n"/>
      <c r="H66" s="189" t="n"/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89" t="n"/>
      <c r="S66" s="189" t="n"/>
      <c r="T66" s="189" t="n"/>
      <c r="U66" s="189" t="n"/>
      <c r="V66" s="189" t="n"/>
      <c r="W66" s="189" t="n"/>
      <c r="X66" s="189" t="n"/>
      <c r="Y66" s="189" t="n"/>
      <c r="Z66" s="189" t="n"/>
      <c r="AA66" s="189" t="n"/>
      <c r="AB66" s="189" t="n"/>
      <c r="AC66" s="189" t="n"/>
      <c r="AD66" s="189" t="n"/>
      <c r="AE66" s="189" t="n"/>
      <c r="AF66" s="189" t="n"/>
      <c r="AG66" s="189" t="n"/>
      <c r="AH66" s="189" t="n"/>
      <c r="AI66" s="51" t="inlineStr">
        <is>
          <t>U8θ</t>
        </is>
      </c>
    </row>
    <row r="67">
      <c r="B67" s="189" t="n"/>
      <c r="C67" s="189" t="n"/>
      <c r="D67" s="189" t="n"/>
      <c r="E67" s="189" t="n"/>
      <c r="F67" s="189" t="n"/>
      <c r="G67" s="189" t="n"/>
      <c r="H67" s="189" t="n"/>
      <c r="I67" s="189" t="n"/>
      <c r="J67" s="189" t="n"/>
      <c r="K67" s="189" t="n"/>
      <c r="L67" s="189" t="n"/>
      <c r="M67" s="189" t="n"/>
      <c r="N67" s="189" t="n"/>
      <c r="O67" s="189" t="n"/>
      <c r="P67" s="189" t="n"/>
      <c r="Q67" s="189" t="n"/>
      <c r="R67" s="189" t="n"/>
      <c r="S67" s="189" t="n"/>
      <c r="T67" s="189" t="n"/>
      <c r="U67" s="189" t="n"/>
      <c r="V67" s="189" t="n"/>
      <c r="W67" s="189" t="n"/>
      <c r="X67" s="189" t="n"/>
      <c r="Y67" s="189" t="n"/>
      <c r="Z67" s="189" t="n"/>
      <c r="AA67" s="189" t="n"/>
      <c r="AB67" s="189" t="n"/>
      <c r="AC67" s="189" t="n"/>
      <c r="AD67" s="189" t="n"/>
      <c r="AE67" s="189" t="n"/>
      <c r="AF67" s="189" t="n"/>
      <c r="AG67" s="189" t="n"/>
      <c r="AH67" s="189" t="n"/>
      <c r="AI67" s="51" t="inlineStr">
        <is>
          <t>U9X</t>
        </is>
      </c>
    </row>
    <row r="68">
      <c r="B68" s="189" t="n"/>
      <c r="C68" s="189" t="n"/>
      <c r="D68" s="189" t="n"/>
      <c r="E68" s="189" t="n"/>
      <c r="F68" s="189" t="n"/>
      <c r="G68" s="189" t="n"/>
      <c r="H68" s="189" t="n"/>
      <c r="I68" s="189" t="n"/>
      <c r="J68" s="189" t="n"/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51" t="inlineStr">
        <is>
          <t>U9Y</t>
        </is>
      </c>
    </row>
    <row r="69">
      <c r="B69" s="189" t="n"/>
      <c r="C69" s="189" t="n"/>
      <c r="D69" s="189" t="n"/>
      <c r="E69" s="189" t="n"/>
      <c r="F69" s="189" t="n"/>
      <c r="G69" s="189" t="n"/>
      <c r="H69" s="189" t="n"/>
      <c r="I69" s="189" t="n"/>
      <c r="J69" s="189" t="n"/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51" t="inlineStr">
        <is>
          <t>U9θ</t>
        </is>
      </c>
    </row>
    <row r="70">
      <c r="B70" s="189" t="n"/>
      <c r="C70" s="189" t="n"/>
      <c r="D70" s="189" t="n"/>
      <c r="E70" s="189" t="n"/>
      <c r="F70" s="189" t="n"/>
      <c r="G70" s="189" t="n"/>
      <c r="H70" s="189" t="n"/>
      <c r="I70" s="189" t="n"/>
      <c r="J70" s="189" t="n"/>
      <c r="K70" s="189" t="n"/>
      <c r="L70" s="189" t="n"/>
      <c r="M70" s="189" t="n"/>
      <c r="N70" s="189" t="n"/>
      <c r="O70" s="189" t="n"/>
      <c r="P70" s="189" t="n"/>
      <c r="Q70" s="189" t="n"/>
      <c r="R70" s="189" t="n"/>
      <c r="S70" s="189" t="n"/>
      <c r="T70" s="189" t="n"/>
      <c r="U70" s="189" t="n"/>
      <c r="V70" s="189" t="n"/>
      <c r="W70" s="189" t="n"/>
      <c r="X70" s="189" t="n"/>
      <c r="Y70" s="189" t="n"/>
      <c r="Z70" s="189" t="n"/>
      <c r="AA70" s="189" t="n"/>
      <c r="AB70" s="189" t="n"/>
      <c r="AC70" s="189" t="n"/>
      <c r="AD70" s="189" t="n"/>
      <c r="AE70" s="189" t="n"/>
      <c r="AF70" s="189" t="n"/>
      <c r="AG70" s="189" t="n"/>
      <c r="AH70" s="189" t="n"/>
      <c r="AI70" s="51" t="inlineStr">
        <is>
          <t>U10X</t>
        </is>
      </c>
    </row>
    <row r="71">
      <c r="B71" s="189" t="n"/>
      <c r="C71" s="189" t="n"/>
      <c r="D71" s="189" t="n"/>
      <c r="E71" s="189" t="n"/>
      <c r="F71" s="189" t="n"/>
      <c r="G71" s="189" t="n"/>
      <c r="H71" s="189" t="n"/>
      <c r="I71" s="189" t="n"/>
      <c r="J71" s="189" t="n"/>
      <c r="K71" s="189" t="n"/>
      <c r="L71" s="189" t="n"/>
      <c r="M71" s="189" t="n"/>
      <c r="N71" s="189" t="n"/>
      <c r="O71" s="189" t="n"/>
      <c r="P71" s="189" t="n"/>
      <c r="Q71" s="189" t="n"/>
      <c r="R71" s="189" t="n"/>
      <c r="S71" s="189" t="n"/>
      <c r="T71" s="189" t="n"/>
      <c r="U71" s="189" t="n"/>
      <c r="V71" s="189" t="n"/>
      <c r="W71" s="189" t="n"/>
      <c r="X71" s="189" t="n"/>
      <c r="Y71" s="189" t="n"/>
      <c r="Z71" s="189" t="n"/>
      <c r="AA71" s="189" t="n"/>
      <c r="AB71" s="189" t="n"/>
      <c r="AC71" s="189" t="n"/>
      <c r="AD71" s="189" t="n"/>
      <c r="AE71" s="189" t="n"/>
      <c r="AF71" s="189" t="n"/>
      <c r="AG71" s="189" t="n"/>
      <c r="AH71" s="189" t="n"/>
      <c r="AI71" s="51" t="inlineStr">
        <is>
          <t>U10Y</t>
        </is>
      </c>
    </row>
    <row r="72">
      <c r="B72" s="189" t="n"/>
      <c r="C72" s="189" t="n"/>
      <c r="D72" s="189" t="n"/>
      <c r="E72" s="189" t="n"/>
      <c r="F72" s="189" t="n"/>
      <c r="G72" s="189" t="n"/>
      <c r="H72" s="189" t="n"/>
      <c r="I72" s="189" t="n"/>
      <c r="J72" s="189" t="n"/>
      <c r="K72" s="189" t="n"/>
      <c r="L72" s="189" t="n"/>
      <c r="M72" s="189" t="n"/>
      <c r="N72" s="189" t="n"/>
      <c r="O72" s="189" t="n"/>
      <c r="P72" s="189" t="n"/>
      <c r="Q72" s="189" t="n"/>
      <c r="R72" s="189" t="n"/>
      <c r="S72" s="189" t="n"/>
      <c r="T72" s="189" t="n"/>
      <c r="U72" s="189" t="n"/>
      <c r="V72" s="189" t="n"/>
      <c r="W72" s="189" t="n"/>
      <c r="X72" s="189" t="n"/>
      <c r="Y72" s="189" t="n"/>
      <c r="Z72" s="189" t="n"/>
      <c r="AA72" s="189" t="n"/>
      <c r="AB72" s="189" t="n"/>
      <c r="AC72" s="189" t="n"/>
      <c r="AD72" s="189" t="n"/>
      <c r="AE72" s="189" t="n"/>
      <c r="AF72" s="189" t="n"/>
      <c r="AG72" s="189" t="n"/>
      <c r="AH72" s="189" t="n"/>
      <c r="AI72" s="51" t="inlineStr">
        <is>
          <t>U10θ</t>
        </is>
      </c>
    </row>
    <row r="73">
      <c r="B73" s="189" t="n"/>
      <c r="C73" s="189" t="n"/>
      <c r="D73" s="189" t="n"/>
      <c r="E73" s="189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51" t="inlineStr">
        <is>
          <t>U11X</t>
        </is>
      </c>
    </row>
    <row r="74">
      <c r="B74" s="189" t="n"/>
      <c r="C74" s="189" t="n"/>
      <c r="D74" s="189" t="n"/>
      <c r="E74" s="189" t="n"/>
      <c r="F74" s="189" t="n"/>
      <c r="G74" s="189" t="n"/>
      <c r="H74" s="189" t="n"/>
      <c r="I74" s="189" t="n"/>
      <c r="J74" s="189" t="n"/>
      <c r="K74" s="189" t="n"/>
      <c r="L74" s="189" t="n"/>
      <c r="M74" s="189" t="n"/>
      <c r="N74" s="189" t="n"/>
      <c r="O74" s="189" t="n"/>
      <c r="P74" s="189" t="n"/>
      <c r="Q74" s="189" t="n"/>
      <c r="R74" s="189" t="n"/>
      <c r="S74" s="189" t="n"/>
      <c r="T74" s="189" t="n"/>
      <c r="U74" s="189" t="n"/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51" t="inlineStr">
        <is>
          <t>U11Y</t>
        </is>
      </c>
    </row>
    <row r="75">
      <c r="B75" s="189" t="n"/>
      <c r="C75" s="189" t="n"/>
      <c r="D75" s="189" t="n"/>
      <c r="E75" s="189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9" t="n"/>
      <c r="Y75" s="189" t="n"/>
      <c r="Z75" s="189" t="n"/>
      <c r="AA75" s="189" t="n"/>
      <c r="AB75" s="189" t="n"/>
      <c r="AC75" s="189" t="n"/>
      <c r="AD75" s="189" t="n"/>
      <c r="AE75" s="189" t="n"/>
      <c r="AF75" s="189" t="n"/>
      <c r="AG75" s="189" t="n"/>
      <c r="AH75" s="189" t="n"/>
      <c r="AI75" s="51" t="inlineStr">
        <is>
          <t>U11θ</t>
        </is>
      </c>
    </row>
    <row r="77">
      <c r="B77" s="51">
        <f>IF(C23="","", CONCATENATE("U",C23,C$21))</f>
        <v/>
      </c>
      <c r="C77" s="51">
        <f>IF(D23="","", CONCATENATE("U",D23,D$21))</f>
        <v/>
      </c>
      <c r="D77" s="51">
        <f>IF(E23="","", CONCATENATE("U",E23,E$21))</f>
        <v/>
      </c>
      <c r="E77" s="51">
        <f>IF(F23="","", CONCATENATE("U",F23,F$21))</f>
        <v/>
      </c>
      <c r="F77" s="51">
        <f>IF(G23="","", CONCATENATE("U",G23,G$21))</f>
        <v/>
      </c>
      <c r="G77" s="51">
        <f>IF(H23="","", CONCATENATE("U",H23,H$21))</f>
        <v/>
      </c>
    </row>
    <row r="78">
      <c r="B78" s="8">
        <f>IF(I10="", 0, O10*J10*J10+P10*K10*K10)</f>
        <v/>
      </c>
      <c r="C78" s="189">
        <f>IF(I10="", 0, (O10-P10)*(J10*K10))</f>
        <v/>
      </c>
      <c r="D78" s="189">
        <f>IF(I10="", 0, -Q10*K10)</f>
        <v/>
      </c>
      <c r="E78" s="189">
        <f>-B78</f>
        <v/>
      </c>
      <c r="F78" s="189">
        <f>-C78</f>
        <v/>
      </c>
      <c r="G78" s="189">
        <f>D78</f>
        <v/>
      </c>
      <c r="H78" s="51">
        <f>B77</f>
        <v/>
      </c>
    </row>
    <row r="79">
      <c r="B79" s="189">
        <f>C78</f>
        <v/>
      </c>
      <c r="C79" s="8">
        <f>IF(I10="", 0, O10*K10*K10+P10*J10*J10)</f>
        <v/>
      </c>
      <c r="D79" s="189">
        <f>IF(I10="", 0, Q10*J10)</f>
        <v/>
      </c>
      <c r="E79" s="189">
        <f>-B79</f>
        <v/>
      </c>
      <c r="F79" s="189">
        <f>-C79</f>
        <v/>
      </c>
      <c r="G79" s="189">
        <f>D79</f>
        <v/>
      </c>
      <c r="H79" s="51">
        <f>C77</f>
        <v/>
      </c>
    </row>
    <row r="80">
      <c r="A80" s="118" t="inlineStr">
        <is>
          <t>K2 =</t>
        </is>
      </c>
      <c r="B80" s="189">
        <f>D78</f>
        <v/>
      </c>
      <c r="C80" s="189">
        <f>D79</f>
        <v/>
      </c>
      <c r="D80" s="8">
        <f>IF(I10="", 0, R10)</f>
        <v/>
      </c>
      <c r="E80" s="189">
        <f>-B80</f>
        <v/>
      </c>
      <c r="F80" s="189">
        <f>-C80</f>
        <v/>
      </c>
      <c r="G80" s="189">
        <f>IF(I10="", 0, S10)</f>
        <v/>
      </c>
      <c r="H80" s="51">
        <f>D77</f>
        <v/>
      </c>
    </row>
    <row r="81">
      <c r="B81" s="189">
        <f>E78</f>
        <v/>
      </c>
      <c r="C81" s="189">
        <f>E79</f>
        <v/>
      </c>
      <c r="D81" s="189">
        <f>E80</f>
        <v/>
      </c>
      <c r="E81" s="8">
        <f>B78</f>
        <v/>
      </c>
      <c r="F81" s="189">
        <f>C78</f>
        <v/>
      </c>
      <c r="G81" s="189">
        <f>-D78</f>
        <v/>
      </c>
      <c r="H81" s="51">
        <f>E77</f>
        <v/>
      </c>
    </row>
    <row r="82">
      <c r="B82" s="189">
        <f>F78</f>
        <v/>
      </c>
      <c r="C82" s="189">
        <f>F79</f>
        <v/>
      </c>
      <c r="D82" s="189">
        <f>F80</f>
        <v/>
      </c>
      <c r="E82" s="189">
        <f>F81</f>
        <v/>
      </c>
      <c r="F82" s="8">
        <f>C79</f>
        <v/>
      </c>
      <c r="G82" s="189">
        <f>-D79</f>
        <v/>
      </c>
      <c r="H82" s="51">
        <f>F77</f>
        <v/>
      </c>
    </row>
    <row r="83">
      <c r="B83" s="189">
        <f>G78</f>
        <v/>
      </c>
      <c r="C83" s="189">
        <f>G79</f>
        <v/>
      </c>
      <c r="D83" s="189">
        <f>G80</f>
        <v/>
      </c>
      <c r="E83" s="189">
        <f>G81</f>
        <v/>
      </c>
      <c r="F83" s="189">
        <f>G82</f>
        <v/>
      </c>
      <c r="G83" s="8">
        <f>D80</f>
        <v/>
      </c>
      <c r="H83" s="51">
        <f>G77</f>
        <v/>
      </c>
    </row>
    <row r="85">
      <c r="B85" s="51" t="inlineStr">
        <is>
          <t>U1X</t>
        </is>
      </c>
      <c r="C85" s="51" t="inlineStr">
        <is>
          <t>U1Y</t>
        </is>
      </c>
      <c r="D85" s="51" t="inlineStr">
        <is>
          <t>U1θ</t>
        </is>
      </c>
      <c r="E85" s="51" t="inlineStr">
        <is>
          <t>U2X</t>
        </is>
      </c>
      <c r="F85" s="51" t="inlineStr">
        <is>
          <t>U2Y</t>
        </is>
      </c>
      <c r="G85" s="51" t="inlineStr">
        <is>
          <t>U2θ</t>
        </is>
      </c>
      <c r="H85" s="51" t="inlineStr">
        <is>
          <t>U3X</t>
        </is>
      </c>
      <c r="I85" s="51" t="inlineStr">
        <is>
          <t>U3Y</t>
        </is>
      </c>
      <c r="J85" s="51" t="inlineStr">
        <is>
          <t>U3θ</t>
        </is>
      </c>
      <c r="K85" s="51" t="inlineStr">
        <is>
          <t>U4X</t>
        </is>
      </c>
      <c r="L85" s="51" t="inlineStr">
        <is>
          <t>U4Y</t>
        </is>
      </c>
      <c r="M85" s="51" t="inlineStr">
        <is>
          <t>U4θ</t>
        </is>
      </c>
      <c r="N85" s="51" t="inlineStr">
        <is>
          <t>U5X</t>
        </is>
      </c>
      <c r="O85" s="51" t="inlineStr">
        <is>
          <t>U5Y</t>
        </is>
      </c>
      <c r="P85" s="51" t="inlineStr">
        <is>
          <t>U5θ</t>
        </is>
      </c>
      <c r="Q85" s="51" t="inlineStr">
        <is>
          <t>U6X</t>
        </is>
      </c>
      <c r="R85" s="51" t="inlineStr">
        <is>
          <t>U6Y</t>
        </is>
      </c>
      <c r="S85" s="51" t="inlineStr">
        <is>
          <t>U6θ</t>
        </is>
      </c>
      <c r="T85" s="51" t="inlineStr">
        <is>
          <t>U7X</t>
        </is>
      </c>
      <c r="U85" s="51" t="inlineStr">
        <is>
          <t>U7Y</t>
        </is>
      </c>
      <c r="V85" s="51" t="inlineStr">
        <is>
          <t>U7θ</t>
        </is>
      </c>
      <c r="W85" s="51" t="inlineStr">
        <is>
          <t>U8X</t>
        </is>
      </c>
      <c r="X85" s="51" t="inlineStr">
        <is>
          <t>U8Y</t>
        </is>
      </c>
      <c r="Y85" s="51" t="inlineStr">
        <is>
          <t>U8θ</t>
        </is>
      </c>
      <c r="Z85" s="51" t="inlineStr">
        <is>
          <t>U9X</t>
        </is>
      </c>
      <c r="AA85" s="51" t="inlineStr">
        <is>
          <t>U9Y</t>
        </is>
      </c>
      <c r="AB85" s="51" t="inlineStr">
        <is>
          <t>U9θ</t>
        </is>
      </c>
      <c r="AC85" s="51" t="inlineStr">
        <is>
          <t>U10X</t>
        </is>
      </c>
      <c r="AD85" s="51" t="inlineStr">
        <is>
          <t>U10Y</t>
        </is>
      </c>
      <c r="AE85" s="51" t="inlineStr">
        <is>
          <t>U10θ</t>
        </is>
      </c>
      <c r="AF85" s="51" t="inlineStr">
        <is>
          <t>U11X</t>
        </is>
      </c>
      <c r="AG85" s="51" t="inlineStr">
        <is>
          <t>U11Y</t>
        </is>
      </c>
      <c r="AH85" s="51" t="inlineStr">
        <is>
          <t>U11θ</t>
        </is>
      </c>
    </row>
    <row r="86">
      <c r="B86" s="189" t="n"/>
      <c r="C86" s="189" t="n"/>
      <c r="D86" s="189" t="n"/>
      <c r="E86" s="189" t="n"/>
      <c r="F86" s="189" t="n"/>
      <c r="G86" s="189" t="n"/>
      <c r="H86" s="189" t="n"/>
      <c r="I86" s="189" t="n"/>
      <c r="J86" s="189" t="n"/>
      <c r="K86" s="189" t="n"/>
      <c r="L86" s="189" t="n"/>
      <c r="M86" s="189" t="n"/>
      <c r="N86" s="189" t="n"/>
      <c r="O86" s="189" t="n"/>
      <c r="P86" s="189" t="n"/>
      <c r="Q86" s="189" t="n"/>
      <c r="R86" s="189" t="n"/>
      <c r="S86" s="189" t="n"/>
      <c r="T86" s="189" t="n"/>
      <c r="U86" s="189" t="n"/>
      <c r="V86" s="189" t="n"/>
      <c r="W86" s="189" t="n"/>
      <c r="X86" s="189" t="n"/>
      <c r="Y86" s="189" t="n"/>
      <c r="Z86" s="189" t="n"/>
      <c r="AA86" s="189" t="n"/>
      <c r="AB86" s="189" t="n"/>
      <c r="AC86" s="189" t="n"/>
      <c r="AD86" s="189" t="n"/>
      <c r="AE86" s="189" t="n"/>
      <c r="AF86" s="189" t="n"/>
      <c r="AG86" s="189" t="n"/>
      <c r="AH86" s="189" t="n"/>
      <c r="AI86" s="51" t="inlineStr">
        <is>
          <t>U1X</t>
        </is>
      </c>
    </row>
    <row r="87">
      <c r="B87" s="189" t="n"/>
      <c r="C87" s="189" t="n"/>
      <c r="D87" s="189" t="n"/>
      <c r="E87" s="189" t="n"/>
      <c r="F87" s="189" t="n"/>
      <c r="G87" s="189" t="n"/>
      <c r="H87" s="189" t="n"/>
      <c r="I87" s="189" t="n"/>
      <c r="J87" s="189" t="n"/>
      <c r="K87" s="189" t="n"/>
      <c r="L87" s="189" t="n"/>
      <c r="M87" s="189" t="n"/>
      <c r="N87" s="189" t="n"/>
      <c r="O87" s="189" t="n"/>
      <c r="P87" s="189" t="n"/>
      <c r="Q87" s="189" t="n"/>
      <c r="R87" s="189" t="n"/>
      <c r="S87" s="189" t="n"/>
      <c r="T87" s="189" t="n"/>
      <c r="U87" s="189" t="n"/>
      <c r="V87" s="189" t="n"/>
      <c r="W87" s="189" t="n"/>
      <c r="X87" s="189" t="n"/>
      <c r="Y87" s="189" t="n"/>
      <c r="Z87" s="189" t="n"/>
      <c r="AA87" s="189" t="n"/>
      <c r="AB87" s="189" t="n"/>
      <c r="AC87" s="189" t="n"/>
      <c r="AD87" s="189" t="n"/>
      <c r="AE87" s="189" t="n"/>
      <c r="AF87" s="189" t="n"/>
      <c r="AG87" s="189" t="n"/>
      <c r="AH87" s="189" t="n"/>
      <c r="AI87" s="51" t="inlineStr">
        <is>
          <t>U1Y</t>
        </is>
      </c>
    </row>
    <row r="88">
      <c r="B88" s="189" t="n"/>
      <c r="C88" s="189" t="n"/>
      <c r="D88" s="189" t="n"/>
      <c r="E88" s="189" t="n"/>
      <c r="F88" s="189" t="n"/>
      <c r="G88" s="189" t="n"/>
      <c r="H88" s="189" t="n"/>
      <c r="I88" s="189" t="n"/>
      <c r="J88" s="189" t="n"/>
      <c r="K88" s="189" t="n"/>
      <c r="L88" s="189" t="n"/>
      <c r="M88" s="189" t="n"/>
      <c r="N88" s="189" t="n"/>
      <c r="O88" s="189" t="n"/>
      <c r="P88" s="189" t="n"/>
      <c r="Q88" s="189" t="n"/>
      <c r="R88" s="189" t="n"/>
      <c r="S88" s="189" t="n"/>
      <c r="T88" s="189" t="n"/>
      <c r="U88" s="189" t="n"/>
      <c r="V88" s="189" t="n"/>
      <c r="W88" s="189" t="n"/>
      <c r="X88" s="189" t="n"/>
      <c r="Y88" s="189" t="n"/>
      <c r="Z88" s="189" t="n"/>
      <c r="AA88" s="189" t="n"/>
      <c r="AB88" s="189" t="n"/>
      <c r="AC88" s="189" t="n"/>
      <c r="AD88" s="189" t="n"/>
      <c r="AE88" s="189" t="n"/>
      <c r="AF88" s="189" t="n"/>
      <c r="AG88" s="189" t="n"/>
      <c r="AH88" s="189" t="n"/>
      <c r="AI88" s="51" t="inlineStr">
        <is>
          <t>U1θ</t>
        </is>
      </c>
    </row>
    <row r="89">
      <c r="B89" s="189" t="n"/>
      <c r="C89" s="189" t="n"/>
      <c r="D89" s="189" t="n"/>
      <c r="E89" s="189">
        <f>B78</f>
        <v/>
      </c>
      <c r="F89" s="189">
        <f>C78</f>
        <v/>
      </c>
      <c r="G89" s="189">
        <f>D78</f>
        <v/>
      </c>
      <c r="H89" s="189">
        <f>E78</f>
        <v/>
      </c>
      <c r="I89" s="189">
        <f>F78</f>
        <v/>
      </c>
      <c r="J89" s="189">
        <f>G78</f>
        <v/>
      </c>
      <c r="K89" s="189" t="n"/>
      <c r="L89" s="189" t="n"/>
      <c r="M89" s="189" t="n"/>
      <c r="N89" s="189" t="n"/>
      <c r="O89" s="189" t="n"/>
      <c r="P89" s="189" t="n"/>
      <c r="Q89" s="189" t="n"/>
      <c r="R89" s="189" t="n"/>
      <c r="S89" s="189" t="n"/>
      <c r="T89" s="189" t="n"/>
      <c r="U89" s="189" t="n"/>
      <c r="V89" s="189" t="n"/>
      <c r="W89" s="189" t="n"/>
      <c r="X89" s="189" t="n"/>
      <c r="Y89" s="189" t="n"/>
      <c r="Z89" s="189" t="n"/>
      <c r="AA89" s="189" t="n"/>
      <c r="AB89" s="189" t="n"/>
      <c r="AC89" s="189" t="n"/>
      <c r="AD89" s="189" t="n"/>
      <c r="AE89" s="189" t="n"/>
      <c r="AF89" s="189" t="n"/>
      <c r="AG89" s="189" t="n"/>
      <c r="AH89" s="189" t="n"/>
      <c r="AI89" s="51" t="inlineStr">
        <is>
          <t>U2X</t>
        </is>
      </c>
    </row>
    <row r="90">
      <c r="B90" s="189" t="n"/>
      <c r="C90" s="189" t="n"/>
      <c r="D90" s="189" t="n"/>
      <c r="E90" s="189">
        <f>B79</f>
        <v/>
      </c>
      <c r="F90" s="189">
        <f>C79</f>
        <v/>
      </c>
      <c r="G90" s="189">
        <f>D79</f>
        <v/>
      </c>
      <c r="H90" s="189">
        <f>E79</f>
        <v/>
      </c>
      <c r="I90" s="189">
        <f>F79</f>
        <v/>
      </c>
      <c r="J90" s="189">
        <f>G79</f>
        <v/>
      </c>
      <c r="K90" s="189" t="n"/>
      <c r="L90" s="189" t="n"/>
      <c r="M90" s="189" t="n"/>
      <c r="N90" s="189" t="n"/>
      <c r="O90" s="189" t="n"/>
      <c r="P90" s="189" t="n"/>
      <c r="Q90" s="189" t="n"/>
      <c r="R90" s="189" t="n"/>
      <c r="S90" s="189" t="n"/>
      <c r="T90" s="189" t="n"/>
      <c r="U90" s="189" t="n"/>
      <c r="V90" s="189" t="n"/>
      <c r="W90" s="189" t="n"/>
      <c r="X90" s="189" t="n"/>
      <c r="Y90" s="189" t="n"/>
      <c r="Z90" s="189" t="n"/>
      <c r="AA90" s="189" t="n"/>
      <c r="AB90" s="189" t="n"/>
      <c r="AC90" s="189" t="n"/>
      <c r="AD90" s="189" t="n"/>
      <c r="AE90" s="189" t="n"/>
      <c r="AF90" s="189" t="n"/>
      <c r="AG90" s="189" t="n"/>
      <c r="AH90" s="189" t="n"/>
      <c r="AI90" s="51" t="inlineStr">
        <is>
          <t>U2Y</t>
        </is>
      </c>
    </row>
    <row r="91">
      <c r="B91" s="189" t="n"/>
      <c r="C91" s="189" t="n"/>
      <c r="D91" s="189" t="n"/>
      <c r="E91" s="189">
        <f>B80</f>
        <v/>
      </c>
      <c r="F91" s="189">
        <f>C80</f>
        <v/>
      </c>
      <c r="G91" s="189">
        <f>D80</f>
        <v/>
      </c>
      <c r="H91" s="189">
        <f>E80</f>
        <v/>
      </c>
      <c r="I91" s="189">
        <f>F80</f>
        <v/>
      </c>
      <c r="J91" s="189">
        <f>G80</f>
        <v/>
      </c>
      <c r="K91" s="189" t="n"/>
      <c r="L91" s="189" t="n"/>
      <c r="M91" s="189" t="n"/>
      <c r="N91" s="189" t="n"/>
      <c r="O91" s="189" t="n"/>
      <c r="P91" s="189" t="n"/>
      <c r="Q91" s="189" t="n"/>
      <c r="R91" s="189" t="n"/>
      <c r="S91" s="189" t="n"/>
      <c r="T91" s="189" t="n"/>
      <c r="U91" s="189" t="n"/>
      <c r="V91" s="189" t="n"/>
      <c r="W91" s="189" t="n"/>
      <c r="X91" s="189" t="n"/>
      <c r="Y91" s="189" t="n"/>
      <c r="Z91" s="189" t="n"/>
      <c r="AA91" s="189" t="n"/>
      <c r="AB91" s="189" t="n"/>
      <c r="AC91" s="189" t="n"/>
      <c r="AD91" s="189" t="n"/>
      <c r="AE91" s="189" t="n"/>
      <c r="AF91" s="189" t="n"/>
      <c r="AG91" s="189" t="n"/>
      <c r="AH91" s="189" t="n"/>
      <c r="AI91" s="51" t="inlineStr">
        <is>
          <t>U2θ</t>
        </is>
      </c>
    </row>
    <row r="92">
      <c r="B92" s="189" t="n"/>
      <c r="C92" s="189" t="n"/>
      <c r="D92" s="189" t="n"/>
      <c r="E92" s="189">
        <f>B81</f>
        <v/>
      </c>
      <c r="F92" s="189">
        <f>C81</f>
        <v/>
      </c>
      <c r="G92" s="189">
        <f>D81</f>
        <v/>
      </c>
      <c r="H92" s="189">
        <f>E81</f>
        <v/>
      </c>
      <c r="I92" s="189">
        <f>F81</f>
        <v/>
      </c>
      <c r="J92" s="189">
        <f>G81</f>
        <v/>
      </c>
      <c r="K92" s="189" t="n"/>
      <c r="L92" s="189" t="n"/>
      <c r="M92" s="189" t="n"/>
      <c r="N92" s="189" t="n"/>
      <c r="O92" s="189" t="n"/>
      <c r="P92" s="189" t="n"/>
      <c r="Q92" s="189" t="n"/>
      <c r="R92" s="189" t="n"/>
      <c r="S92" s="189" t="n"/>
      <c r="T92" s="189" t="n"/>
      <c r="U92" s="189" t="n"/>
      <c r="V92" s="189" t="n"/>
      <c r="W92" s="189" t="n"/>
      <c r="X92" s="189" t="n"/>
      <c r="Y92" s="189" t="n"/>
      <c r="Z92" s="189" t="n"/>
      <c r="AA92" s="189" t="n"/>
      <c r="AB92" s="189" t="n"/>
      <c r="AC92" s="189" t="n"/>
      <c r="AD92" s="189" t="n"/>
      <c r="AE92" s="189" t="n"/>
      <c r="AF92" s="189" t="n"/>
      <c r="AG92" s="189" t="n"/>
      <c r="AH92" s="189" t="n"/>
      <c r="AI92" s="51" t="inlineStr">
        <is>
          <t>U3X</t>
        </is>
      </c>
    </row>
    <row r="93">
      <c r="B93" s="189" t="n"/>
      <c r="C93" s="189" t="n"/>
      <c r="D93" s="189" t="n"/>
      <c r="E93" s="189">
        <f>B82</f>
        <v/>
      </c>
      <c r="F93" s="189">
        <f>C82</f>
        <v/>
      </c>
      <c r="G93" s="189">
        <f>D82</f>
        <v/>
      </c>
      <c r="H93" s="189">
        <f>E82</f>
        <v/>
      </c>
      <c r="I93" s="189">
        <f>F82</f>
        <v/>
      </c>
      <c r="J93" s="189">
        <f>G82</f>
        <v/>
      </c>
      <c r="K93" s="189" t="n"/>
      <c r="L93" s="189" t="n"/>
      <c r="M93" s="189" t="n"/>
      <c r="N93" s="189" t="n"/>
      <c r="O93" s="189" t="n"/>
      <c r="P93" s="189" t="n"/>
      <c r="Q93" s="189" t="n"/>
      <c r="R93" s="189" t="n"/>
      <c r="S93" s="189" t="n"/>
      <c r="T93" s="189" t="n"/>
      <c r="U93" s="189" t="n"/>
      <c r="V93" s="189" t="n"/>
      <c r="W93" s="189" t="n"/>
      <c r="X93" s="189" t="n"/>
      <c r="Y93" s="189" t="n"/>
      <c r="Z93" s="189" t="n"/>
      <c r="AA93" s="189" t="n"/>
      <c r="AB93" s="189" t="n"/>
      <c r="AC93" s="189" t="n"/>
      <c r="AD93" s="189" t="n"/>
      <c r="AE93" s="189" t="n"/>
      <c r="AF93" s="189" t="n"/>
      <c r="AG93" s="189" t="n"/>
      <c r="AH93" s="189" t="n"/>
      <c r="AI93" s="51" t="inlineStr">
        <is>
          <t>U3Y</t>
        </is>
      </c>
    </row>
    <row r="94">
      <c r="B94" s="189" t="n"/>
      <c r="C94" s="189" t="n"/>
      <c r="D94" s="189" t="n"/>
      <c r="E94" s="189">
        <f>B83</f>
        <v/>
      </c>
      <c r="F94" s="189">
        <f>C83</f>
        <v/>
      </c>
      <c r="G94" s="189">
        <f>D83</f>
        <v/>
      </c>
      <c r="H94" s="189">
        <f>E83</f>
        <v/>
      </c>
      <c r="I94" s="189">
        <f>F83</f>
        <v/>
      </c>
      <c r="J94" s="189">
        <f>G83</f>
        <v/>
      </c>
      <c r="K94" s="189" t="n"/>
      <c r="L94" s="189" t="n"/>
      <c r="M94" s="189" t="n"/>
      <c r="N94" s="189" t="n"/>
      <c r="O94" s="189" t="n"/>
      <c r="P94" s="189" t="n"/>
      <c r="Q94" s="189" t="n"/>
      <c r="R94" s="189" t="n"/>
      <c r="S94" s="189" t="n"/>
      <c r="T94" s="189" t="n"/>
      <c r="U94" s="189" t="n"/>
      <c r="V94" s="189" t="n"/>
      <c r="W94" s="189" t="n"/>
      <c r="X94" s="189" t="n"/>
      <c r="Y94" s="189" t="n"/>
      <c r="Z94" s="189" t="n"/>
      <c r="AA94" s="189" t="n"/>
      <c r="AB94" s="189" t="n"/>
      <c r="AC94" s="189" t="n"/>
      <c r="AD94" s="189" t="n"/>
      <c r="AE94" s="189" t="n"/>
      <c r="AF94" s="189" t="n"/>
      <c r="AG94" s="189" t="n"/>
      <c r="AH94" s="189" t="n"/>
      <c r="AI94" s="51" t="inlineStr">
        <is>
          <t>U3θ</t>
        </is>
      </c>
    </row>
    <row r="95">
      <c r="B95" s="189" t="n"/>
      <c r="C95" s="189" t="n"/>
      <c r="D95" s="189" t="n"/>
      <c r="E95" s="189" t="n"/>
      <c r="F95" s="189" t="n"/>
      <c r="G95" s="189" t="n"/>
      <c r="H95" s="189" t="n"/>
      <c r="I95" s="189" t="n"/>
      <c r="J95" s="189" t="n"/>
      <c r="K95" s="189" t="n"/>
      <c r="L95" s="189" t="n"/>
      <c r="M95" s="189" t="n"/>
      <c r="N95" s="189" t="n"/>
      <c r="O95" s="189" t="n"/>
      <c r="P95" s="189" t="n"/>
      <c r="Q95" s="189" t="n"/>
      <c r="R95" s="189" t="n"/>
      <c r="S95" s="189" t="n"/>
      <c r="T95" s="189" t="n"/>
      <c r="U95" s="189" t="n"/>
      <c r="V95" s="189" t="n"/>
      <c r="W95" s="189" t="n"/>
      <c r="X95" s="189" t="n"/>
      <c r="Y95" s="189" t="n"/>
      <c r="Z95" s="189" t="n"/>
      <c r="AA95" s="189" t="n"/>
      <c r="AB95" s="189" t="n"/>
      <c r="AC95" s="189" t="n"/>
      <c r="AD95" s="189" t="n"/>
      <c r="AE95" s="189" t="n"/>
      <c r="AF95" s="189" t="n"/>
      <c r="AG95" s="189" t="n"/>
      <c r="AH95" s="189" t="n"/>
      <c r="AI95" s="51" t="inlineStr">
        <is>
          <t>U4X</t>
        </is>
      </c>
    </row>
    <row r="96">
      <c r="B96" s="189" t="n"/>
      <c r="C96" s="189" t="n"/>
      <c r="D96" s="189" t="n"/>
      <c r="E96" s="189" t="n"/>
      <c r="F96" s="189" t="n"/>
      <c r="G96" s="189" t="n"/>
      <c r="H96" s="189" t="n"/>
      <c r="I96" s="189" t="n"/>
      <c r="J96" s="189" t="n"/>
      <c r="K96" s="189" t="n"/>
      <c r="L96" s="189" t="n"/>
      <c r="M96" s="189" t="n"/>
      <c r="N96" s="189" t="n"/>
      <c r="O96" s="189" t="n"/>
      <c r="P96" s="189" t="n"/>
      <c r="Q96" s="189" t="n"/>
      <c r="R96" s="189" t="n"/>
      <c r="S96" s="189" t="n"/>
      <c r="T96" s="189" t="n"/>
      <c r="U96" s="189" t="n"/>
      <c r="V96" s="189" t="n"/>
      <c r="W96" s="189" t="n"/>
      <c r="X96" s="189" t="n"/>
      <c r="Y96" s="189" t="n"/>
      <c r="Z96" s="189" t="n"/>
      <c r="AA96" s="189" t="n"/>
      <c r="AB96" s="189" t="n"/>
      <c r="AC96" s="189" t="n"/>
      <c r="AD96" s="189" t="n"/>
      <c r="AE96" s="189" t="n"/>
      <c r="AF96" s="189" t="n"/>
      <c r="AG96" s="189" t="n"/>
      <c r="AH96" s="189" t="n"/>
      <c r="AI96" s="51" t="inlineStr">
        <is>
          <t>U4Y</t>
        </is>
      </c>
    </row>
    <row r="97">
      <c r="B97" s="189" t="n"/>
      <c r="C97" s="189" t="n"/>
      <c r="D97" s="189" t="n"/>
      <c r="E97" s="189" t="n"/>
      <c r="F97" s="189" t="n"/>
      <c r="G97" s="189" t="n"/>
      <c r="H97" s="189" t="n"/>
      <c r="I97" s="189" t="n"/>
      <c r="J97" s="189" t="n"/>
      <c r="K97" s="189" t="n"/>
      <c r="L97" s="189" t="n"/>
      <c r="M97" s="189" t="n"/>
      <c r="N97" s="189" t="n"/>
      <c r="O97" s="189" t="n"/>
      <c r="P97" s="189" t="n"/>
      <c r="Q97" s="189" t="n"/>
      <c r="R97" s="189" t="n"/>
      <c r="S97" s="189" t="n"/>
      <c r="T97" s="189" t="n"/>
      <c r="U97" s="189" t="n"/>
      <c r="V97" s="189" t="n"/>
      <c r="W97" s="189" t="n"/>
      <c r="X97" s="189" t="n"/>
      <c r="Y97" s="189" t="n"/>
      <c r="Z97" s="189" t="n"/>
      <c r="AA97" s="189" t="n"/>
      <c r="AB97" s="189" t="n"/>
      <c r="AC97" s="189" t="n"/>
      <c r="AD97" s="189" t="n"/>
      <c r="AE97" s="189" t="n"/>
      <c r="AF97" s="189" t="n"/>
      <c r="AG97" s="189" t="n"/>
      <c r="AH97" s="189" t="n"/>
      <c r="AI97" s="51" t="inlineStr">
        <is>
          <t>U4θ</t>
        </is>
      </c>
    </row>
    <row r="98">
      <c r="B98" s="189" t="n"/>
      <c r="C98" s="189" t="n"/>
      <c r="D98" s="189" t="n"/>
      <c r="E98" s="189" t="n"/>
      <c r="F98" s="189" t="n"/>
      <c r="G98" s="189" t="n"/>
      <c r="H98" s="189" t="n"/>
      <c r="I98" s="189" t="n"/>
      <c r="J98" s="189" t="n"/>
      <c r="K98" s="189" t="n"/>
      <c r="L98" s="189" t="n"/>
      <c r="M98" s="189" t="n"/>
      <c r="N98" s="189" t="n"/>
      <c r="O98" s="189" t="n"/>
      <c r="P98" s="189" t="n"/>
      <c r="Q98" s="189" t="n"/>
      <c r="R98" s="189" t="n"/>
      <c r="S98" s="189" t="n"/>
      <c r="T98" s="189" t="n"/>
      <c r="U98" s="189" t="n"/>
      <c r="V98" s="189" t="n"/>
      <c r="W98" s="189" t="n"/>
      <c r="X98" s="189" t="n"/>
      <c r="Y98" s="189" t="n"/>
      <c r="Z98" s="189" t="n"/>
      <c r="AA98" s="189" t="n"/>
      <c r="AB98" s="189" t="n"/>
      <c r="AC98" s="189" t="n"/>
      <c r="AD98" s="189" t="n"/>
      <c r="AE98" s="189" t="n"/>
      <c r="AF98" s="189" t="n"/>
      <c r="AG98" s="189" t="n"/>
      <c r="AH98" s="189" t="n"/>
      <c r="AI98" s="51" t="inlineStr">
        <is>
          <t>U5X</t>
        </is>
      </c>
    </row>
    <row r="99">
      <c r="B99" s="189" t="n"/>
      <c r="C99" s="189" t="n"/>
      <c r="D99" s="189" t="n"/>
      <c r="E99" s="189" t="n"/>
      <c r="F99" s="189" t="n"/>
      <c r="G99" s="189" t="n"/>
      <c r="H99" s="189" t="n"/>
      <c r="I99" s="189" t="n"/>
      <c r="J99" s="189" t="n"/>
      <c r="K99" s="189" t="n"/>
      <c r="L99" s="189" t="n"/>
      <c r="M99" s="189" t="n"/>
      <c r="N99" s="189" t="n"/>
      <c r="O99" s="189" t="n"/>
      <c r="P99" s="189" t="n"/>
      <c r="Q99" s="189" t="n"/>
      <c r="R99" s="189" t="n"/>
      <c r="S99" s="189" t="n"/>
      <c r="T99" s="189" t="n"/>
      <c r="U99" s="189" t="n"/>
      <c r="V99" s="189" t="n"/>
      <c r="W99" s="189" t="n"/>
      <c r="X99" s="189" t="n"/>
      <c r="Y99" s="189" t="n"/>
      <c r="Z99" s="189" t="n"/>
      <c r="AA99" s="189" t="n"/>
      <c r="AB99" s="189" t="n"/>
      <c r="AC99" s="189" t="n"/>
      <c r="AD99" s="189" t="n"/>
      <c r="AE99" s="189" t="n"/>
      <c r="AF99" s="189" t="n"/>
      <c r="AG99" s="189" t="n"/>
      <c r="AH99" s="189" t="n"/>
      <c r="AI99" s="51" t="inlineStr">
        <is>
          <t>U5Y</t>
        </is>
      </c>
    </row>
    <row r="100">
      <c r="B100" s="189" t="n"/>
      <c r="C100" s="189" t="n"/>
      <c r="D100" s="189" t="n"/>
      <c r="E100" s="189" t="n"/>
      <c r="F100" s="189" t="n"/>
      <c r="G100" s="189" t="n"/>
      <c r="H100" s="189" t="n"/>
      <c r="I100" s="189" t="n"/>
      <c r="J100" s="189" t="n"/>
      <c r="K100" s="189" t="n"/>
      <c r="L100" s="189" t="n"/>
      <c r="M100" s="189" t="n"/>
      <c r="N100" s="189" t="n"/>
      <c r="O100" s="189" t="n"/>
      <c r="P100" s="189" t="n"/>
      <c r="Q100" s="189" t="n"/>
      <c r="R100" s="189" t="n"/>
      <c r="S100" s="189" t="n"/>
      <c r="T100" s="189" t="n"/>
      <c r="U100" s="189" t="n"/>
      <c r="V100" s="189" t="n"/>
      <c r="W100" s="189" t="n"/>
      <c r="X100" s="189" t="n"/>
      <c r="Y100" s="189" t="n"/>
      <c r="Z100" s="189" t="n"/>
      <c r="AA100" s="189" t="n"/>
      <c r="AB100" s="189" t="n"/>
      <c r="AC100" s="189" t="n"/>
      <c r="AD100" s="189" t="n"/>
      <c r="AE100" s="189" t="n"/>
      <c r="AF100" s="189" t="n"/>
      <c r="AG100" s="189" t="n"/>
      <c r="AH100" s="189" t="n"/>
      <c r="AI100" s="51" t="inlineStr">
        <is>
          <t>U5θ</t>
        </is>
      </c>
    </row>
    <row r="101">
      <c r="A101" s="118" t="inlineStr">
        <is>
          <t>K2 =</t>
        </is>
      </c>
      <c r="B101" s="189" t="n"/>
      <c r="C101" s="189" t="n"/>
      <c r="D101" s="189" t="n"/>
      <c r="E101" s="189" t="n"/>
      <c r="F101" s="189" t="n"/>
      <c r="G101" s="189" t="n"/>
      <c r="H101" s="189" t="n"/>
      <c r="I101" s="189" t="n"/>
      <c r="J101" s="189" t="n"/>
      <c r="K101" s="189" t="n"/>
      <c r="L101" s="189" t="n"/>
      <c r="M101" s="189" t="n"/>
      <c r="N101" s="189" t="n"/>
      <c r="O101" s="189" t="n"/>
      <c r="P101" s="189" t="n"/>
      <c r="Q101" s="189" t="n"/>
      <c r="R101" s="189" t="n"/>
      <c r="S101" s="189" t="n"/>
      <c r="T101" s="189" t="n"/>
      <c r="U101" s="189" t="n"/>
      <c r="V101" s="189" t="n"/>
      <c r="W101" s="189" t="n"/>
      <c r="X101" s="189" t="n"/>
      <c r="Y101" s="189" t="n"/>
      <c r="Z101" s="189" t="n"/>
      <c r="AA101" s="189" t="n"/>
      <c r="AB101" s="189" t="n"/>
      <c r="AC101" s="189" t="n"/>
      <c r="AD101" s="189" t="n"/>
      <c r="AE101" s="189" t="n"/>
      <c r="AF101" s="189" t="n"/>
      <c r="AG101" s="189" t="n"/>
      <c r="AH101" s="189" t="n"/>
      <c r="AI101" s="51" t="inlineStr">
        <is>
          <t>U6X</t>
        </is>
      </c>
    </row>
    <row r="102">
      <c r="B102" s="189" t="n"/>
      <c r="C102" s="189" t="n"/>
      <c r="D102" s="189" t="n"/>
      <c r="E102" s="189" t="n"/>
      <c r="F102" s="189" t="n"/>
      <c r="G102" s="189" t="n"/>
      <c r="H102" s="189" t="n"/>
      <c r="I102" s="189" t="n"/>
      <c r="J102" s="189" t="n"/>
      <c r="K102" s="189" t="n"/>
      <c r="L102" s="189" t="n"/>
      <c r="M102" s="189" t="n"/>
      <c r="N102" s="189" t="n"/>
      <c r="O102" s="189" t="n"/>
      <c r="P102" s="189" t="n"/>
      <c r="Q102" s="189" t="n"/>
      <c r="R102" s="189" t="n"/>
      <c r="S102" s="189" t="n"/>
      <c r="T102" s="189" t="n"/>
      <c r="U102" s="189" t="n"/>
      <c r="V102" s="189" t="n"/>
      <c r="W102" s="189" t="n"/>
      <c r="X102" s="189" t="n"/>
      <c r="Y102" s="189" t="n"/>
      <c r="Z102" s="189" t="n"/>
      <c r="AA102" s="189" t="n"/>
      <c r="AB102" s="189" t="n"/>
      <c r="AC102" s="189" t="n"/>
      <c r="AD102" s="189" t="n"/>
      <c r="AE102" s="189" t="n"/>
      <c r="AF102" s="189" t="n"/>
      <c r="AG102" s="189" t="n"/>
      <c r="AH102" s="189" t="n"/>
      <c r="AI102" s="51" t="inlineStr">
        <is>
          <t>U6Y</t>
        </is>
      </c>
    </row>
    <row r="103">
      <c r="B103" s="189" t="n"/>
      <c r="C103" s="189" t="n"/>
      <c r="D103" s="189" t="n"/>
      <c r="E103" s="189" t="n"/>
      <c r="F103" s="189" t="n"/>
      <c r="G103" s="189" t="n"/>
      <c r="H103" s="189" t="n"/>
      <c r="I103" s="189" t="n"/>
      <c r="J103" s="189" t="n"/>
      <c r="K103" s="189" t="n"/>
      <c r="L103" s="189" t="n"/>
      <c r="M103" s="189" t="n"/>
      <c r="N103" s="189" t="n"/>
      <c r="O103" s="189" t="n"/>
      <c r="P103" s="189" t="n"/>
      <c r="Q103" s="189" t="n"/>
      <c r="R103" s="189" t="n"/>
      <c r="S103" s="189" t="n"/>
      <c r="T103" s="189" t="n"/>
      <c r="U103" s="189" t="n"/>
      <c r="V103" s="189" t="n"/>
      <c r="W103" s="189" t="n"/>
      <c r="X103" s="189" t="n"/>
      <c r="Y103" s="189" t="n"/>
      <c r="Z103" s="189" t="n"/>
      <c r="AA103" s="189" t="n"/>
      <c r="AB103" s="189" t="n"/>
      <c r="AC103" s="189" t="n"/>
      <c r="AD103" s="189" t="n"/>
      <c r="AE103" s="189" t="n"/>
      <c r="AF103" s="189" t="n"/>
      <c r="AG103" s="189" t="n"/>
      <c r="AH103" s="189" t="n"/>
      <c r="AI103" s="51" t="inlineStr">
        <is>
          <t>U6θ</t>
        </is>
      </c>
    </row>
    <row r="104">
      <c r="B104" s="189" t="n"/>
      <c r="C104" s="189" t="n"/>
      <c r="D104" s="189" t="n"/>
      <c r="E104" s="189" t="n"/>
      <c r="F104" s="189" t="n"/>
      <c r="G104" s="189" t="n"/>
      <c r="H104" s="189" t="n"/>
      <c r="I104" s="189" t="n"/>
      <c r="J104" s="189" t="n"/>
      <c r="K104" s="189" t="n"/>
      <c r="L104" s="189" t="n"/>
      <c r="M104" s="189" t="n"/>
      <c r="N104" s="189" t="n"/>
      <c r="O104" s="189" t="n"/>
      <c r="P104" s="189" t="n"/>
      <c r="Q104" s="189" t="n"/>
      <c r="R104" s="189" t="n"/>
      <c r="S104" s="189" t="n"/>
      <c r="T104" s="189" t="n"/>
      <c r="U104" s="189" t="n"/>
      <c r="V104" s="189" t="n"/>
      <c r="W104" s="189" t="n"/>
      <c r="X104" s="189" t="n"/>
      <c r="Y104" s="189" t="n"/>
      <c r="Z104" s="189" t="n"/>
      <c r="AA104" s="189" t="n"/>
      <c r="AB104" s="189" t="n"/>
      <c r="AC104" s="189" t="n"/>
      <c r="AD104" s="189" t="n"/>
      <c r="AE104" s="189" t="n"/>
      <c r="AF104" s="189" t="n"/>
      <c r="AG104" s="189" t="n"/>
      <c r="AH104" s="189" t="n"/>
      <c r="AI104" s="51" t="inlineStr">
        <is>
          <t>U7X</t>
        </is>
      </c>
    </row>
    <row r="105">
      <c r="B105" s="189" t="n"/>
      <c r="C105" s="189" t="n"/>
      <c r="D105" s="189" t="n"/>
      <c r="E105" s="189" t="n"/>
      <c r="F105" s="189" t="n"/>
      <c r="G105" s="189" t="n"/>
      <c r="H105" s="189" t="n"/>
      <c r="I105" s="189" t="n"/>
      <c r="J105" s="189" t="n"/>
      <c r="K105" s="189" t="n"/>
      <c r="L105" s="189" t="n"/>
      <c r="M105" s="189" t="n"/>
      <c r="N105" s="189" t="n"/>
      <c r="O105" s="189" t="n"/>
      <c r="P105" s="189" t="n"/>
      <c r="Q105" s="189" t="n"/>
      <c r="R105" s="189" t="n"/>
      <c r="S105" s="189" t="n"/>
      <c r="T105" s="189" t="n"/>
      <c r="U105" s="189" t="n"/>
      <c r="V105" s="189" t="n"/>
      <c r="W105" s="189" t="n"/>
      <c r="X105" s="189" t="n"/>
      <c r="Y105" s="189" t="n"/>
      <c r="Z105" s="189" t="n"/>
      <c r="AA105" s="189" t="n"/>
      <c r="AB105" s="189" t="n"/>
      <c r="AC105" s="189" t="n"/>
      <c r="AD105" s="189" t="n"/>
      <c r="AE105" s="189" t="n"/>
      <c r="AF105" s="189" t="n"/>
      <c r="AG105" s="189" t="n"/>
      <c r="AH105" s="189" t="n"/>
      <c r="AI105" s="51" t="inlineStr">
        <is>
          <t>U7Y</t>
        </is>
      </c>
    </row>
    <row r="106">
      <c r="B106" s="189" t="n"/>
      <c r="C106" s="189" t="n"/>
      <c r="D106" s="189" t="n"/>
      <c r="E106" s="189" t="n"/>
      <c r="F106" s="189" t="n"/>
      <c r="G106" s="189" t="n"/>
      <c r="H106" s="189" t="n"/>
      <c r="I106" s="189" t="n"/>
      <c r="J106" s="189" t="n"/>
      <c r="K106" s="189" t="n"/>
      <c r="L106" s="189" t="n"/>
      <c r="M106" s="189" t="n"/>
      <c r="N106" s="189" t="n"/>
      <c r="O106" s="189" t="n"/>
      <c r="P106" s="189" t="n"/>
      <c r="Q106" s="189" t="n"/>
      <c r="R106" s="189" t="n"/>
      <c r="S106" s="189" t="n"/>
      <c r="T106" s="189" t="n"/>
      <c r="U106" s="189" t="n"/>
      <c r="V106" s="189" t="n"/>
      <c r="W106" s="189" t="n"/>
      <c r="X106" s="189" t="n"/>
      <c r="Y106" s="189" t="n"/>
      <c r="Z106" s="189" t="n"/>
      <c r="AA106" s="189" t="n"/>
      <c r="AB106" s="189" t="n"/>
      <c r="AC106" s="189" t="n"/>
      <c r="AD106" s="189" t="n"/>
      <c r="AE106" s="189" t="n"/>
      <c r="AF106" s="189" t="n"/>
      <c r="AG106" s="189" t="n"/>
      <c r="AH106" s="189" t="n"/>
      <c r="AI106" s="51" t="inlineStr">
        <is>
          <t>U7θ</t>
        </is>
      </c>
    </row>
    <row r="107">
      <c r="B107" s="189" t="n"/>
      <c r="C107" s="189" t="n"/>
      <c r="D107" s="189" t="n"/>
      <c r="E107" s="189" t="n"/>
      <c r="F107" s="189" t="n"/>
      <c r="G107" s="189" t="n"/>
      <c r="H107" s="189" t="n"/>
      <c r="I107" s="189" t="n"/>
      <c r="J107" s="189" t="n"/>
      <c r="K107" s="189" t="n"/>
      <c r="L107" s="189" t="n"/>
      <c r="M107" s="189" t="n"/>
      <c r="N107" s="189" t="n"/>
      <c r="O107" s="189" t="n"/>
      <c r="P107" s="189" t="n"/>
      <c r="Q107" s="189" t="n"/>
      <c r="R107" s="189" t="n"/>
      <c r="S107" s="189" t="n"/>
      <c r="T107" s="189" t="n"/>
      <c r="U107" s="189" t="n"/>
      <c r="V107" s="189" t="n"/>
      <c r="W107" s="189" t="n"/>
      <c r="X107" s="189" t="n"/>
      <c r="Y107" s="189" t="n"/>
      <c r="Z107" s="189" t="n"/>
      <c r="AA107" s="189" t="n"/>
      <c r="AB107" s="189" t="n"/>
      <c r="AC107" s="189" t="n"/>
      <c r="AD107" s="189" t="n"/>
      <c r="AE107" s="189" t="n"/>
      <c r="AF107" s="189" t="n"/>
      <c r="AG107" s="189" t="n"/>
      <c r="AH107" s="189" t="n"/>
      <c r="AI107" s="51" t="inlineStr">
        <is>
          <t>U8X</t>
        </is>
      </c>
    </row>
    <row r="108">
      <c r="B108" s="189" t="n"/>
      <c r="C108" s="189" t="n"/>
      <c r="D108" s="189" t="n"/>
      <c r="E108" s="189" t="n"/>
      <c r="F108" s="189" t="n"/>
      <c r="G108" s="189" t="n"/>
      <c r="H108" s="189" t="n"/>
      <c r="I108" s="189" t="n"/>
      <c r="J108" s="189" t="n"/>
      <c r="K108" s="189" t="n"/>
      <c r="L108" s="189" t="n"/>
      <c r="M108" s="189" t="n"/>
      <c r="N108" s="189" t="n"/>
      <c r="O108" s="189" t="n"/>
      <c r="P108" s="189" t="n"/>
      <c r="Q108" s="189" t="n"/>
      <c r="R108" s="189" t="n"/>
      <c r="S108" s="189" t="n"/>
      <c r="T108" s="189" t="n"/>
      <c r="U108" s="189" t="n"/>
      <c r="V108" s="189" t="n"/>
      <c r="W108" s="189" t="n"/>
      <c r="X108" s="189" t="n"/>
      <c r="Y108" s="189" t="n"/>
      <c r="Z108" s="189" t="n"/>
      <c r="AA108" s="189" t="n"/>
      <c r="AB108" s="189" t="n"/>
      <c r="AC108" s="189" t="n"/>
      <c r="AD108" s="189" t="n"/>
      <c r="AE108" s="189" t="n"/>
      <c r="AF108" s="189" t="n"/>
      <c r="AG108" s="189" t="n"/>
      <c r="AH108" s="189" t="n"/>
      <c r="AI108" s="51" t="inlineStr">
        <is>
          <t>U8Y</t>
        </is>
      </c>
    </row>
    <row r="109">
      <c r="B109" s="189" t="n"/>
      <c r="C109" s="189" t="n"/>
      <c r="D109" s="189" t="n"/>
      <c r="E109" s="189" t="n"/>
      <c r="F109" s="189" t="n"/>
      <c r="G109" s="189" t="n"/>
      <c r="H109" s="189" t="n"/>
      <c r="I109" s="189" t="n"/>
      <c r="J109" s="189" t="n"/>
      <c r="K109" s="189" t="n"/>
      <c r="L109" s="189" t="n"/>
      <c r="M109" s="189" t="n"/>
      <c r="N109" s="189" t="n"/>
      <c r="O109" s="189" t="n"/>
      <c r="P109" s="189" t="n"/>
      <c r="Q109" s="189" t="n"/>
      <c r="R109" s="189" t="n"/>
      <c r="S109" s="189" t="n"/>
      <c r="T109" s="189" t="n"/>
      <c r="U109" s="189" t="n"/>
      <c r="V109" s="189" t="n"/>
      <c r="W109" s="189" t="n"/>
      <c r="X109" s="189" t="n"/>
      <c r="Y109" s="189" t="n"/>
      <c r="Z109" s="189" t="n"/>
      <c r="AA109" s="189" t="n"/>
      <c r="AB109" s="189" t="n"/>
      <c r="AC109" s="189" t="n"/>
      <c r="AD109" s="189" t="n"/>
      <c r="AE109" s="189" t="n"/>
      <c r="AF109" s="189" t="n"/>
      <c r="AG109" s="189" t="n"/>
      <c r="AH109" s="189" t="n"/>
      <c r="AI109" s="51" t="inlineStr">
        <is>
          <t>U8θ</t>
        </is>
      </c>
    </row>
    <row r="110">
      <c r="B110" s="189" t="n"/>
      <c r="C110" s="189" t="n"/>
      <c r="D110" s="189" t="n"/>
      <c r="E110" s="189" t="n"/>
      <c r="F110" s="189" t="n"/>
      <c r="G110" s="189" t="n"/>
      <c r="H110" s="189" t="n"/>
      <c r="I110" s="189" t="n"/>
      <c r="J110" s="189" t="n"/>
      <c r="K110" s="189" t="n"/>
      <c r="L110" s="189" t="n"/>
      <c r="M110" s="189" t="n"/>
      <c r="N110" s="189" t="n"/>
      <c r="O110" s="189" t="n"/>
      <c r="P110" s="189" t="n"/>
      <c r="Q110" s="189" t="n"/>
      <c r="R110" s="189" t="n"/>
      <c r="S110" s="189" t="n"/>
      <c r="T110" s="189" t="n"/>
      <c r="U110" s="189" t="n"/>
      <c r="V110" s="189" t="n"/>
      <c r="W110" s="189" t="n"/>
      <c r="X110" s="189" t="n"/>
      <c r="Y110" s="189" t="n"/>
      <c r="Z110" s="189" t="n"/>
      <c r="AA110" s="189" t="n"/>
      <c r="AB110" s="189" t="n"/>
      <c r="AC110" s="189" t="n"/>
      <c r="AD110" s="189" t="n"/>
      <c r="AE110" s="189" t="n"/>
      <c r="AF110" s="189" t="n"/>
      <c r="AG110" s="189" t="n"/>
      <c r="AH110" s="189" t="n"/>
      <c r="AI110" s="51" t="inlineStr">
        <is>
          <t>U9X</t>
        </is>
      </c>
    </row>
    <row r="111">
      <c r="B111" s="189" t="n"/>
      <c r="C111" s="189" t="n"/>
      <c r="D111" s="189" t="n"/>
      <c r="E111" s="189" t="n"/>
      <c r="F111" s="189" t="n"/>
      <c r="G111" s="189" t="n"/>
      <c r="H111" s="189" t="n"/>
      <c r="I111" s="189" t="n"/>
      <c r="J111" s="189" t="n"/>
      <c r="K111" s="189" t="n"/>
      <c r="L111" s="189" t="n"/>
      <c r="M111" s="189" t="n"/>
      <c r="N111" s="189" t="n"/>
      <c r="O111" s="189" t="n"/>
      <c r="P111" s="189" t="n"/>
      <c r="Q111" s="189" t="n"/>
      <c r="R111" s="189" t="n"/>
      <c r="S111" s="189" t="n"/>
      <c r="T111" s="189" t="n"/>
      <c r="U111" s="189" t="n"/>
      <c r="V111" s="189" t="n"/>
      <c r="W111" s="189" t="n"/>
      <c r="X111" s="189" t="n"/>
      <c r="Y111" s="189" t="n"/>
      <c r="Z111" s="189" t="n"/>
      <c r="AA111" s="189" t="n"/>
      <c r="AB111" s="189" t="n"/>
      <c r="AC111" s="189" t="n"/>
      <c r="AD111" s="189" t="n"/>
      <c r="AE111" s="189" t="n"/>
      <c r="AF111" s="189" t="n"/>
      <c r="AG111" s="189" t="n"/>
      <c r="AH111" s="189" t="n"/>
      <c r="AI111" s="51" t="inlineStr">
        <is>
          <t>U9Y</t>
        </is>
      </c>
    </row>
    <row r="112">
      <c r="B112" s="189" t="n"/>
      <c r="C112" s="189" t="n"/>
      <c r="D112" s="189" t="n"/>
      <c r="E112" s="189" t="n"/>
      <c r="F112" s="189" t="n"/>
      <c r="G112" s="189" t="n"/>
      <c r="H112" s="189" t="n"/>
      <c r="I112" s="189" t="n"/>
      <c r="J112" s="189" t="n"/>
      <c r="K112" s="189" t="n"/>
      <c r="L112" s="189" t="n"/>
      <c r="M112" s="189" t="n"/>
      <c r="N112" s="189" t="n"/>
      <c r="O112" s="189" t="n"/>
      <c r="P112" s="189" t="n"/>
      <c r="Q112" s="189" t="n"/>
      <c r="R112" s="189" t="n"/>
      <c r="S112" s="189" t="n"/>
      <c r="T112" s="189" t="n"/>
      <c r="U112" s="189" t="n"/>
      <c r="V112" s="189" t="n"/>
      <c r="W112" s="189" t="n"/>
      <c r="X112" s="189" t="n"/>
      <c r="Y112" s="189" t="n"/>
      <c r="Z112" s="189" t="n"/>
      <c r="AA112" s="189" t="n"/>
      <c r="AB112" s="189" t="n"/>
      <c r="AC112" s="189" t="n"/>
      <c r="AD112" s="189" t="n"/>
      <c r="AE112" s="189" t="n"/>
      <c r="AF112" s="189" t="n"/>
      <c r="AG112" s="189" t="n"/>
      <c r="AH112" s="189" t="n"/>
      <c r="AI112" s="51" t="inlineStr">
        <is>
          <t>U9θ</t>
        </is>
      </c>
    </row>
    <row r="113">
      <c r="B113" s="189" t="n"/>
      <c r="C113" s="189" t="n"/>
      <c r="D113" s="189" t="n"/>
      <c r="E113" s="189" t="n"/>
      <c r="F113" s="189" t="n"/>
      <c r="G113" s="189" t="n"/>
      <c r="H113" s="189" t="n"/>
      <c r="I113" s="189" t="n"/>
      <c r="J113" s="189" t="n"/>
      <c r="K113" s="189" t="n"/>
      <c r="L113" s="189" t="n"/>
      <c r="M113" s="189" t="n"/>
      <c r="N113" s="189" t="n"/>
      <c r="O113" s="189" t="n"/>
      <c r="P113" s="189" t="n"/>
      <c r="Q113" s="189" t="n"/>
      <c r="R113" s="189" t="n"/>
      <c r="S113" s="189" t="n"/>
      <c r="T113" s="189" t="n"/>
      <c r="U113" s="189" t="n"/>
      <c r="V113" s="189" t="n"/>
      <c r="W113" s="189" t="n"/>
      <c r="X113" s="189" t="n"/>
      <c r="Y113" s="189" t="n"/>
      <c r="Z113" s="189" t="n"/>
      <c r="AA113" s="189" t="n"/>
      <c r="AB113" s="189" t="n"/>
      <c r="AC113" s="189" t="n"/>
      <c r="AD113" s="189" t="n"/>
      <c r="AE113" s="189" t="n"/>
      <c r="AF113" s="189" t="n"/>
      <c r="AG113" s="189" t="n"/>
      <c r="AH113" s="189" t="n"/>
      <c r="AI113" s="51" t="inlineStr">
        <is>
          <t>U10X</t>
        </is>
      </c>
    </row>
    <row r="114">
      <c r="B114" s="189" t="n"/>
      <c r="C114" s="189" t="n"/>
      <c r="D114" s="189" t="n"/>
      <c r="E114" s="189" t="n"/>
      <c r="F114" s="189" t="n"/>
      <c r="G114" s="189" t="n"/>
      <c r="H114" s="189" t="n"/>
      <c r="I114" s="189" t="n"/>
      <c r="J114" s="189" t="n"/>
      <c r="K114" s="189" t="n"/>
      <c r="L114" s="189" t="n"/>
      <c r="M114" s="189" t="n"/>
      <c r="N114" s="189" t="n"/>
      <c r="O114" s="189" t="n"/>
      <c r="P114" s="189" t="n"/>
      <c r="Q114" s="189" t="n"/>
      <c r="R114" s="189" t="n"/>
      <c r="S114" s="189" t="n"/>
      <c r="T114" s="189" t="n"/>
      <c r="U114" s="189" t="n"/>
      <c r="V114" s="189" t="n"/>
      <c r="W114" s="189" t="n"/>
      <c r="X114" s="189" t="n"/>
      <c r="Y114" s="189" t="n"/>
      <c r="Z114" s="189" t="n"/>
      <c r="AA114" s="189" t="n"/>
      <c r="AB114" s="189" t="n"/>
      <c r="AC114" s="189" t="n"/>
      <c r="AD114" s="189" t="n"/>
      <c r="AE114" s="189" t="n"/>
      <c r="AF114" s="189" t="n"/>
      <c r="AG114" s="189" t="n"/>
      <c r="AH114" s="189" t="n"/>
      <c r="AI114" s="51" t="inlineStr">
        <is>
          <t>U10Y</t>
        </is>
      </c>
    </row>
    <row r="115">
      <c r="B115" s="189" t="n"/>
      <c r="C115" s="189" t="n"/>
      <c r="D115" s="189" t="n"/>
      <c r="E115" s="189" t="n"/>
      <c r="F115" s="189" t="n"/>
      <c r="G115" s="189" t="n"/>
      <c r="H115" s="189" t="n"/>
      <c r="I115" s="189" t="n"/>
      <c r="J115" s="189" t="n"/>
      <c r="K115" s="189" t="n"/>
      <c r="L115" s="189" t="n"/>
      <c r="M115" s="189" t="n"/>
      <c r="N115" s="189" t="n"/>
      <c r="O115" s="189" t="n"/>
      <c r="P115" s="189" t="n"/>
      <c r="Q115" s="189" t="n"/>
      <c r="R115" s="189" t="n"/>
      <c r="S115" s="189" t="n"/>
      <c r="T115" s="189" t="n"/>
      <c r="U115" s="189" t="n"/>
      <c r="V115" s="189" t="n"/>
      <c r="W115" s="189" t="n"/>
      <c r="X115" s="189" t="n"/>
      <c r="Y115" s="189" t="n"/>
      <c r="Z115" s="189" t="n"/>
      <c r="AA115" s="189" t="n"/>
      <c r="AB115" s="189" t="n"/>
      <c r="AC115" s="189" t="n"/>
      <c r="AD115" s="189" t="n"/>
      <c r="AE115" s="189" t="n"/>
      <c r="AF115" s="189" t="n"/>
      <c r="AG115" s="189" t="n"/>
      <c r="AH115" s="189" t="n"/>
      <c r="AI115" s="51" t="inlineStr">
        <is>
          <t>U10θ</t>
        </is>
      </c>
    </row>
    <row r="116">
      <c r="B116" s="189" t="n"/>
      <c r="C116" s="189" t="n"/>
      <c r="D116" s="189" t="n"/>
      <c r="E116" s="189" t="n"/>
      <c r="F116" s="189" t="n"/>
      <c r="G116" s="189" t="n"/>
      <c r="H116" s="189" t="n"/>
      <c r="I116" s="189" t="n"/>
      <c r="J116" s="189" t="n"/>
      <c r="K116" s="189" t="n"/>
      <c r="L116" s="189" t="n"/>
      <c r="M116" s="189" t="n"/>
      <c r="N116" s="189" t="n"/>
      <c r="O116" s="189" t="n"/>
      <c r="P116" s="189" t="n"/>
      <c r="Q116" s="189" t="n"/>
      <c r="R116" s="189" t="n"/>
      <c r="S116" s="189" t="n"/>
      <c r="T116" s="189" t="n"/>
      <c r="U116" s="189" t="n"/>
      <c r="V116" s="189" t="n"/>
      <c r="W116" s="189" t="n"/>
      <c r="X116" s="189" t="n"/>
      <c r="Y116" s="189" t="n"/>
      <c r="Z116" s="189" t="n"/>
      <c r="AA116" s="189" t="n"/>
      <c r="AB116" s="189" t="n"/>
      <c r="AC116" s="189" t="n"/>
      <c r="AD116" s="189" t="n"/>
      <c r="AE116" s="189" t="n"/>
      <c r="AF116" s="189" t="n"/>
      <c r="AG116" s="189" t="n"/>
      <c r="AH116" s="189" t="n"/>
      <c r="AI116" s="51" t="inlineStr">
        <is>
          <t>U11X</t>
        </is>
      </c>
    </row>
    <row r="117">
      <c r="B117" s="189" t="n"/>
      <c r="C117" s="189" t="n"/>
      <c r="D117" s="189" t="n"/>
      <c r="E117" s="189" t="n"/>
      <c r="F117" s="189" t="n"/>
      <c r="G117" s="189" t="n"/>
      <c r="H117" s="189" t="n"/>
      <c r="I117" s="189" t="n"/>
      <c r="J117" s="189" t="n"/>
      <c r="K117" s="189" t="n"/>
      <c r="L117" s="189" t="n"/>
      <c r="M117" s="189" t="n"/>
      <c r="N117" s="189" t="n"/>
      <c r="O117" s="189" t="n"/>
      <c r="P117" s="189" t="n"/>
      <c r="Q117" s="189" t="n"/>
      <c r="R117" s="189" t="n"/>
      <c r="S117" s="189" t="n"/>
      <c r="T117" s="189" t="n"/>
      <c r="U117" s="189" t="n"/>
      <c r="V117" s="189" t="n"/>
      <c r="W117" s="189" t="n"/>
      <c r="X117" s="189" t="n"/>
      <c r="Y117" s="189" t="n"/>
      <c r="Z117" s="189" t="n"/>
      <c r="AA117" s="189" t="n"/>
      <c r="AB117" s="189" t="n"/>
      <c r="AC117" s="189" t="n"/>
      <c r="AD117" s="189" t="n"/>
      <c r="AE117" s="189" t="n"/>
      <c r="AF117" s="189" t="n"/>
      <c r="AG117" s="189" t="n"/>
      <c r="AH117" s="189" t="n"/>
      <c r="AI117" s="51" t="inlineStr">
        <is>
          <t>U11Y</t>
        </is>
      </c>
    </row>
    <row r="118">
      <c r="B118" s="189" t="n"/>
      <c r="C118" s="189" t="n"/>
      <c r="D118" s="189" t="n"/>
      <c r="E118" s="189" t="n"/>
      <c r="F118" s="189" t="n"/>
      <c r="G118" s="189" t="n"/>
      <c r="H118" s="189" t="n"/>
      <c r="I118" s="189" t="n"/>
      <c r="J118" s="189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51" t="inlineStr">
        <is>
          <t>U11θ</t>
        </is>
      </c>
    </row>
    <row r="120">
      <c r="B120" s="51">
        <f>IF(C24="","", CONCATENATE("U",C24,C$21))</f>
        <v/>
      </c>
      <c r="C120" s="51">
        <f>IF(D24="","", CONCATENATE("U",D24,D$21))</f>
        <v/>
      </c>
      <c r="D120" s="51">
        <f>IF(E24="","", CONCATENATE("U",E24,E$21))</f>
        <v/>
      </c>
      <c r="E120" s="51">
        <f>IF(F24="","", CONCATENATE("U",F24,F$21))</f>
        <v/>
      </c>
      <c r="F120" s="51">
        <f>IF(G24="","", CONCATENATE("U",G24,G$21))</f>
        <v/>
      </c>
      <c r="G120" s="51">
        <f>IF(H24="","", CONCATENATE("U",H24,H$21))</f>
        <v/>
      </c>
    </row>
    <row r="121">
      <c r="B121" s="8">
        <f>IF(I11="", 0, O11*J11*J11+P11*K11*K11)</f>
        <v/>
      </c>
      <c r="C121" s="189">
        <f>IF(I11="", 0, (O11-P11)*(J11*K11))</f>
        <v/>
      </c>
      <c r="D121" s="189">
        <f>IF(I11="", 0, -Q11*K11)</f>
        <v/>
      </c>
      <c r="E121" s="189">
        <f>-B121</f>
        <v/>
      </c>
      <c r="F121" s="189">
        <f>-C121</f>
        <v/>
      </c>
      <c r="G121" s="189">
        <f>D121</f>
        <v/>
      </c>
      <c r="H121" s="51">
        <f>B120</f>
        <v/>
      </c>
    </row>
    <row r="122">
      <c r="B122" s="189">
        <f>C121</f>
        <v/>
      </c>
      <c r="C122" s="8">
        <f>IF(I11="", 0, O11*K11*K11+P11*J11*J11)</f>
        <v/>
      </c>
      <c r="D122" s="189">
        <f>IF(I11="", 0, Q11*J11)</f>
        <v/>
      </c>
      <c r="E122" s="189">
        <f>-B122</f>
        <v/>
      </c>
      <c r="F122" s="189">
        <f>-C122</f>
        <v/>
      </c>
      <c r="G122" s="189">
        <f>D122</f>
        <v/>
      </c>
      <c r="H122" s="51">
        <f>C120</f>
        <v/>
      </c>
    </row>
    <row r="123">
      <c r="A123" s="118" t="inlineStr">
        <is>
          <t>K3 =</t>
        </is>
      </c>
      <c r="B123" s="189">
        <f>D121</f>
        <v/>
      </c>
      <c r="C123" s="189">
        <f>D122</f>
        <v/>
      </c>
      <c r="D123" s="8">
        <f>IF(I11="", 0, R11)</f>
        <v/>
      </c>
      <c r="E123" s="189">
        <f>-B123</f>
        <v/>
      </c>
      <c r="F123" s="189">
        <f>-C123</f>
        <v/>
      </c>
      <c r="G123" s="189">
        <f>IF(I11="", 0, S11)</f>
        <v/>
      </c>
      <c r="H123" s="51">
        <f>D120</f>
        <v/>
      </c>
    </row>
    <row r="124">
      <c r="B124" s="189">
        <f>E121</f>
        <v/>
      </c>
      <c r="C124" s="189">
        <f>E122</f>
        <v/>
      </c>
      <c r="D124" s="189">
        <f>E123</f>
        <v/>
      </c>
      <c r="E124" s="8">
        <f>B121</f>
        <v/>
      </c>
      <c r="F124" s="189">
        <f>C121</f>
        <v/>
      </c>
      <c r="G124" s="189">
        <f>-D121</f>
        <v/>
      </c>
      <c r="H124" s="51">
        <f>E120</f>
        <v/>
      </c>
    </row>
    <row r="125">
      <c r="B125" s="189">
        <f>F121</f>
        <v/>
      </c>
      <c r="C125" s="189">
        <f>F122</f>
        <v/>
      </c>
      <c r="D125" s="189">
        <f>F123</f>
        <v/>
      </c>
      <c r="E125" s="189">
        <f>F124</f>
        <v/>
      </c>
      <c r="F125" s="8">
        <f>C122</f>
        <v/>
      </c>
      <c r="G125" s="189">
        <f>-D122</f>
        <v/>
      </c>
      <c r="H125" s="51">
        <f>F120</f>
        <v/>
      </c>
    </row>
    <row r="126">
      <c r="B126" s="189">
        <f>G121</f>
        <v/>
      </c>
      <c r="C126" s="189">
        <f>G122</f>
        <v/>
      </c>
      <c r="D126" s="189">
        <f>G123</f>
        <v/>
      </c>
      <c r="E126" s="189">
        <f>G124</f>
        <v/>
      </c>
      <c r="F126" s="189">
        <f>G125</f>
        <v/>
      </c>
      <c r="G126" s="8">
        <f>D123</f>
        <v/>
      </c>
      <c r="H126" s="51">
        <f>G120</f>
        <v/>
      </c>
    </row>
    <row r="128">
      <c r="B128" s="51" t="inlineStr">
        <is>
          <t>U1X</t>
        </is>
      </c>
      <c r="C128" s="51" t="inlineStr">
        <is>
          <t>U1Y</t>
        </is>
      </c>
      <c r="D128" s="51" t="inlineStr">
        <is>
          <t>U1θ</t>
        </is>
      </c>
      <c r="E128" s="51" t="inlineStr">
        <is>
          <t>U2X</t>
        </is>
      </c>
      <c r="F128" s="51" t="inlineStr">
        <is>
          <t>U2Y</t>
        </is>
      </c>
      <c r="G128" s="51" t="inlineStr">
        <is>
          <t>U2θ</t>
        </is>
      </c>
      <c r="H128" s="51" t="inlineStr">
        <is>
          <t>U3X</t>
        </is>
      </c>
      <c r="I128" s="51" t="inlineStr">
        <is>
          <t>U3Y</t>
        </is>
      </c>
      <c r="J128" s="51" t="inlineStr">
        <is>
          <t>U3θ</t>
        </is>
      </c>
      <c r="K128" s="51" t="inlineStr">
        <is>
          <t>U4X</t>
        </is>
      </c>
      <c r="L128" s="51" t="inlineStr">
        <is>
          <t>U4Y</t>
        </is>
      </c>
      <c r="M128" s="51" t="inlineStr">
        <is>
          <t>U4θ</t>
        </is>
      </c>
      <c r="N128" s="51" t="inlineStr">
        <is>
          <t>U5X</t>
        </is>
      </c>
      <c r="O128" s="51" t="inlineStr">
        <is>
          <t>U5Y</t>
        </is>
      </c>
      <c r="P128" s="51" t="inlineStr">
        <is>
          <t>U5θ</t>
        </is>
      </c>
      <c r="Q128" s="51" t="inlineStr">
        <is>
          <t>U6X</t>
        </is>
      </c>
      <c r="R128" s="51" t="inlineStr">
        <is>
          <t>U6Y</t>
        </is>
      </c>
      <c r="S128" s="51" t="inlineStr">
        <is>
          <t>U6θ</t>
        </is>
      </c>
      <c r="T128" s="51" t="inlineStr">
        <is>
          <t>U7X</t>
        </is>
      </c>
      <c r="U128" s="51" t="inlineStr">
        <is>
          <t>U7Y</t>
        </is>
      </c>
      <c r="V128" s="51" t="inlineStr">
        <is>
          <t>U7θ</t>
        </is>
      </c>
      <c r="W128" s="51" t="inlineStr">
        <is>
          <t>U8X</t>
        </is>
      </c>
      <c r="X128" s="51" t="inlineStr">
        <is>
          <t>U8Y</t>
        </is>
      </c>
      <c r="Y128" s="51" t="inlineStr">
        <is>
          <t>U8θ</t>
        </is>
      </c>
      <c r="Z128" s="51" t="inlineStr">
        <is>
          <t>U9X</t>
        </is>
      </c>
      <c r="AA128" s="51" t="inlineStr">
        <is>
          <t>U9Y</t>
        </is>
      </c>
      <c r="AB128" s="51" t="inlineStr">
        <is>
          <t>U9θ</t>
        </is>
      </c>
      <c r="AC128" s="51" t="inlineStr">
        <is>
          <t>U10X</t>
        </is>
      </c>
      <c r="AD128" s="51" t="inlineStr">
        <is>
          <t>U10Y</t>
        </is>
      </c>
      <c r="AE128" s="51" t="inlineStr">
        <is>
          <t>U10θ</t>
        </is>
      </c>
      <c r="AF128" s="51" t="inlineStr">
        <is>
          <t>U11X</t>
        </is>
      </c>
      <c r="AG128" s="51" t="inlineStr">
        <is>
          <t>U11Y</t>
        </is>
      </c>
      <c r="AH128" s="51" t="inlineStr">
        <is>
          <t>U11θ</t>
        </is>
      </c>
    </row>
    <row r="129">
      <c r="B129" s="189" t="n"/>
      <c r="C129" s="189" t="n"/>
      <c r="D129" s="189" t="n"/>
      <c r="E129" s="189" t="n"/>
      <c r="F129" s="189" t="n"/>
      <c r="G129" s="189" t="n"/>
      <c r="H129" s="189" t="n"/>
      <c r="I129" s="189" t="n"/>
      <c r="J129" s="189" t="n"/>
      <c r="K129" s="189" t="n"/>
      <c r="L129" s="189" t="n"/>
      <c r="M129" s="189" t="n"/>
      <c r="N129" s="189" t="n"/>
      <c r="O129" s="189" t="n"/>
      <c r="P129" s="189" t="n"/>
      <c r="Q129" s="189" t="n"/>
      <c r="R129" s="189" t="n"/>
      <c r="S129" s="189" t="n"/>
      <c r="T129" s="189" t="n"/>
      <c r="U129" s="189" t="n"/>
      <c r="V129" s="189" t="n"/>
      <c r="W129" s="189" t="n"/>
      <c r="X129" s="189" t="n"/>
      <c r="Y129" s="189" t="n"/>
      <c r="Z129" s="189" t="n"/>
      <c r="AA129" s="189" t="n"/>
      <c r="AB129" s="189" t="n"/>
      <c r="AC129" s="189" t="n"/>
      <c r="AD129" s="189" t="n"/>
      <c r="AE129" s="189" t="n"/>
      <c r="AF129" s="189" t="n"/>
      <c r="AG129" s="189" t="n"/>
      <c r="AH129" s="189" t="n"/>
      <c r="AI129" s="51" t="inlineStr">
        <is>
          <t>U1X</t>
        </is>
      </c>
    </row>
    <row r="130">
      <c r="B130" s="189" t="n"/>
      <c r="C130" s="189" t="n"/>
      <c r="D130" s="189" t="n"/>
      <c r="E130" s="189" t="n"/>
      <c r="F130" s="189" t="n"/>
      <c r="G130" s="189" t="n"/>
      <c r="H130" s="189" t="n"/>
      <c r="I130" s="189" t="n"/>
      <c r="J130" s="189" t="n"/>
      <c r="K130" s="189" t="n"/>
      <c r="L130" s="189" t="n"/>
      <c r="M130" s="189" t="n"/>
      <c r="N130" s="189" t="n"/>
      <c r="O130" s="189" t="n"/>
      <c r="P130" s="189" t="n"/>
      <c r="Q130" s="189" t="n"/>
      <c r="R130" s="189" t="n"/>
      <c r="S130" s="189" t="n"/>
      <c r="T130" s="189" t="n"/>
      <c r="U130" s="189" t="n"/>
      <c r="V130" s="189" t="n"/>
      <c r="W130" s="189" t="n"/>
      <c r="X130" s="189" t="n"/>
      <c r="Y130" s="189" t="n"/>
      <c r="Z130" s="189" t="n"/>
      <c r="AA130" s="189" t="n"/>
      <c r="AB130" s="189" t="n"/>
      <c r="AC130" s="189" t="n"/>
      <c r="AD130" s="189" t="n"/>
      <c r="AE130" s="189" t="n"/>
      <c r="AF130" s="189" t="n"/>
      <c r="AG130" s="189" t="n"/>
      <c r="AH130" s="189" t="n"/>
      <c r="AI130" s="51" t="inlineStr">
        <is>
          <t>U1Y</t>
        </is>
      </c>
    </row>
    <row r="131">
      <c r="B131" s="189" t="n"/>
      <c r="C131" s="189" t="n"/>
      <c r="D131" s="189" t="n"/>
      <c r="E131" s="189" t="n"/>
      <c r="F131" s="189" t="n"/>
      <c r="G131" s="189" t="n"/>
      <c r="H131" s="189" t="n"/>
      <c r="I131" s="189" t="n"/>
      <c r="J131" s="189" t="n"/>
      <c r="K131" s="189" t="n"/>
      <c r="L131" s="189" t="n"/>
      <c r="M131" s="189" t="n"/>
      <c r="N131" s="189" t="n"/>
      <c r="O131" s="189" t="n"/>
      <c r="P131" s="189" t="n"/>
      <c r="Q131" s="189" t="n"/>
      <c r="R131" s="189" t="n"/>
      <c r="S131" s="189" t="n"/>
      <c r="T131" s="189" t="n"/>
      <c r="U131" s="189" t="n"/>
      <c r="V131" s="189" t="n"/>
      <c r="W131" s="189" t="n"/>
      <c r="X131" s="189" t="n"/>
      <c r="Y131" s="189" t="n"/>
      <c r="Z131" s="189" t="n"/>
      <c r="AA131" s="189" t="n"/>
      <c r="AB131" s="189" t="n"/>
      <c r="AC131" s="189" t="n"/>
      <c r="AD131" s="189" t="n"/>
      <c r="AE131" s="189" t="n"/>
      <c r="AF131" s="189" t="n"/>
      <c r="AG131" s="189" t="n"/>
      <c r="AH131" s="189" t="n"/>
      <c r="AI131" s="51" t="inlineStr">
        <is>
          <t>U1θ</t>
        </is>
      </c>
    </row>
    <row r="132">
      <c r="B132" s="189" t="n"/>
      <c r="C132" s="189" t="n"/>
      <c r="D132" s="189" t="n"/>
      <c r="E132" s="189" t="n"/>
      <c r="F132" s="189" t="n"/>
      <c r="G132" s="189" t="n"/>
      <c r="H132" s="189" t="n"/>
      <c r="I132" s="189" t="n"/>
      <c r="J132" s="189" t="n"/>
      <c r="K132" s="189" t="n"/>
      <c r="L132" s="189" t="n"/>
      <c r="M132" s="189" t="n"/>
      <c r="N132" s="189" t="n"/>
      <c r="O132" s="189" t="n"/>
      <c r="P132" s="189" t="n"/>
      <c r="Q132" s="189" t="n"/>
      <c r="R132" s="189" t="n"/>
      <c r="S132" s="189" t="n"/>
      <c r="T132" s="189" t="n"/>
      <c r="U132" s="189" t="n"/>
      <c r="V132" s="189" t="n"/>
      <c r="W132" s="189" t="n"/>
      <c r="X132" s="189" t="n"/>
      <c r="Y132" s="189" t="n"/>
      <c r="Z132" s="189" t="n"/>
      <c r="AA132" s="189" t="n"/>
      <c r="AB132" s="189" t="n"/>
      <c r="AC132" s="189" t="n"/>
      <c r="AD132" s="189" t="n"/>
      <c r="AE132" s="189" t="n"/>
      <c r="AF132" s="189" t="n"/>
      <c r="AG132" s="189" t="n"/>
      <c r="AH132" s="189" t="n"/>
      <c r="AI132" s="51" t="inlineStr">
        <is>
          <t>U2X</t>
        </is>
      </c>
    </row>
    <row r="133">
      <c r="B133" s="189" t="n"/>
      <c r="C133" s="189" t="n"/>
      <c r="D133" s="189" t="n"/>
      <c r="E133" s="189" t="n"/>
      <c r="F133" s="189" t="n"/>
      <c r="G133" s="189" t="n"/>
      <c r="H133" s="189" t="n"/>
      <c r="I133" s="189" t="n"/>
      <c r="J133" s="189" t="n"/>
      <c r="K133" s="189" t="n"/>
      <c r="L133" s="189" t="n"/>
      <c r="M133" s="189" t="n"/>
      <c r="N133" s="189" t="n"/>
      <c r="O133" s="189" t="n"/>
      <c r="P133" s="189" t="n"/>
      <c r="Q133" s="189" t="n"/>
      <c r="R133" s="189" t="n"/>
      <c r="S133" s="189" t="n"/>
      <c r="T133" s="189" t="n"/>
      <c r="U133" s="189" t="n"/>
      <c r="V133" s="189" t="n"/>
      <c r="W133" s="189" t="n"/>
      <c r="X133" s="189" t="n"/>
      <c r="Y133" s="189" t="n"/>
      <c r="Z133" s="189" t="n"/>
      <c r="AA133" s="189" t="n"/>
      <c r="AB133" s="189" t="n"/>
      <c r="AC133" s="189" t="n"/>
      <c r="AD133" s="189" t="n"/>
      <c r="AE133" s="189" t="n"/>
      <c r="AF133" s="189" t="n"/>
      <c r="AG133" s="189" t="n"/>
      <c r="AH133" s="189" t="n"/>
      <c r="AI133" s="51" t="inlineStr">
        <is>
          <t>U2Y</t>
        </is>
      </c>
    </row>
    <row r="134">
      <c r="B134" s="189" t="n"/>
      <c r="C134" s="189" t="n"/>
      <c r="D134" s="189" t="n"/>
      <c r="E134" s="189" t="n"/>
      <c r="F134" s="189" t="n"/>
      <c r="G134" s="189" t="n"/>
      <c r="H134" s="189" t="n"/>
      <c r="I134" s="189" t="n"/>
      <c r="J134" s="189" t="n"/>
      <c r="K134" s="189" t="n"/>
      <c r="L134" s="189" t="n"/>
      <c r="M134" s="189" t="n"/>
      <c r="N134" s="189" t="n"/>
      <c r="O134" s="189" t="n"/>
      <c r="P134" s="189" t="n"/>
      <c r="Q134" s="189" t="n"/>
      <c r="R134" s="189" t="n"/>
      <c r="S134" s="189" t="n"/>
      <c r="T134" s="189" t="n"/>
      <c r="U134" s="189" t="n"/>
      <c r="V134" s="189" t="n"/>
      <c r="W134" s="189" t="n"/>
      <c r="X134" s="189" t="n"/>
      <c r="Y134" s="189" t="n"/>
      <c r="Z134" s="189" t="n"/>
      <c r="AA134" s="189" t="n"/>
      <c r="AB134" s="189" t="n"/>
      <c r="AC134" s="189" t="n"/>
      <c r="AD134" s="189" t="n"/>
      <c r="AE134" s="189" t="n"/>
      <c r="AF134" s="189" t="n"/>
      <c r="AG134" s="189" t="n"/>
      <c r="AH134" s="189" t="n"/>
      <c r="AI134" s="51" t="inlineStr">
        <is>
          <t>U2θ</t>
        </is>
      </c>
    </row>
    <row r="135">
      <c r="B135" s="189" t="n"/>
      <c r="C135" s="189" t="n"/>
      <c r="D135" s="189" t="n"/>
      <c r="E135" s="189" t="n"/>
      <c r="F135" s="189" t="n"/>
      <c r="G135" s="189" t="n"/>
      <c r="H135" s="189">
        <f>B121</f>
        <v/>
      </c>
      <c r="I135" s="189">
        <f>C121</f>
        <v/>
      </c>
      <c r="J135" s="189">
        <f>D121</f>
        <v/>
      </c>
      <c r="K135" s="189">
        <f>E121</f>
        <v/>
      </c>
      <c r="L135" s="189">
        <f>F121</f>
        <v/>
      </c>
      <c r="M135" s="189">
        <f>G121</f>
        <v/>
      </c>
      <c r="N135" s="189" t="n"/>
      <c r="O135" s="189" t="n"/>
      <c r="P135" s="189" t="n"/>
      <c r="Q135" s="189" t="n"/>
      <c r="R135" s="189" t="n"/>
      <c r="S135" s="189" t="n"/>
      <c r="T135" s="189" t="n"/>
      <c r="U135" s="189" t="n"/>
      <c r="V135" s="189" t="n"/>
      <c r="W135" s="189" t="n"/>
      <c r="X135" s="189" t="n"/>
      <c r="Y135" s="189" t="n"/>
      <c r="Z135" s="189" t="n"/>
      <c r="AA135" s="189" t="n"/>
      <c r="AB135" s="189" t="n"/>
      <c r="AC135" s="189" t="n"/>
      <c r="AD135" s="189" t="n"/>
      <c r="AE135" s="189" t="n"/>
      <c r="AF135" s="189" t="n"/>
      <c r="AG135" s="189" t="n"/>
      <c r="AH135" s="189" t="n"/>
      <c r="AI135" s="51" t="inlineStr">
        <is>
          <t>U3X</t>
        </is>
      </c>
    </row>
    <row r="136">
      <c r="B136" s="189" t="n"/>
      <c r="C136" s="189" t="n"/>
      <c r="D136" s="189" t="n"/>
      <c r="E136" s="189" t="n"/>
      <c r="F136" s="189" t="n"/>
      <c r="G136" s="189" t="n"/>
      <c r="H136" s="189">
        <f>B122</f>
        <v/>
      </c>
      <c r="I136" s="189">
        <f>C122</f>
        <v/>
      </c>
      <c r="J136" s="189">
        <f>D122</f>
        <v/>
      </c>
      <c r="K136" s="189">
        <f>E122</f>
        <v/>
      </c>
      <c r="L136" s="189">
        <f>F122</f>
        <v/>
      </c>
      <c r="M136" s="189">
        <f>G122</f>
        <v/>
      </c>
      <c r="N136" s="189" t="n"/>
      <c r="O136" s="189" t="n"/>
      <c r="P136" s="189" t="n"/>
      <c r="Q136" s="189" t="n"/>
      <c r="R136" s="189" t="n"/>
      <c r="S136" s="189" t="n"/>
      <c r="T136" s="189" t="n"/>
      <c r="U136" s="189" t="n"/>
      <c r="V136" s="189" t="n"/>
      <c r="W136" s="189" t="n"/>
      <c r="X136" s="189" t="n"/>
      <c r="Y136" s="189" t="n"/>
      <c r="Z136" s="189" t="n"/>
      <c r="AA136" s="189" t="n"/>
      <c r="AB136" s="189" t="n"/>
      <c r="AC136" s="189" t="n"/>
      <c r="AD136" s="189" t="n"/>
      <c r="AE136" s="189" t="n"/>
      <c r="AF136" s="189" t="n"/>
      <c r="AG136" s="189" t="n"/>
      <c r="AH136" s="189" t="n"/>
      <c r="AI136" s="51" t="inlineStr">
        <is>
          <t>U3Y</t>
        </is>
      </c>
    </row>
    <row r="137">
      <c r="B137" s="189" t="n"/>
      <c r="C137" s="189" t="n"/>
      <c r="D137" s="189" t="n"/>
      <c r="E137" s="189" t="n"/>
      <c r="F137" s="189" t="n"/>
      <c r="G137" s="189" t="n"/>
      <c r="H137" s="189">
        <f>B123</f>
        <v/>
      </c>
      <c r="I137" s="189">
        <f>C123</f>
        <v/>
      </c>
      <c r="J137" s="189">
        <f>D123</f>
        <v/>
      </c>
      <c r="K137" s="189">
        <f>E123</f>
        <v/>
      </c>
      <c r="L137" s="189">
        <f>F123</f>
        <v/>
      </c>
      <c r="M137" s="189">
        <f>G123</f>
        <v/>
      </c>
      <c r="N137" s="189" t="n"/>
      <c r="O137" s="189" t="n"/>
      <c r="P137" s="189" t="n"/>
      <c r="Q137" s="189" t="n"/>
      <c r="R137" s="189" t="n"/>
      <c r="S137" s="189" t="n"/>
      <c r="T137" s="189" t="n"/>
      <c r="U137" s="189" t="n"/>
      <c r="V137" s="189" t="n"/>
      <c r="W137" s="189" t="n"/>
      <c r="X137" s="189" t="n"/>
      <c r="Y137" s="189" t="n"/>
      <c r="Z137" s="189" t="n"/>
      <c r="AA137" s="189" t="n"/>
      <c r="AB137" s="189" t="n"/>
      <c r="AC137" s="189" t="n"/>
      <c r="AD137" s="189" t="n"/>
      <c r="AE137" s="189" t="n"/>
      <c r="AF137" s="189" t="n"/>
      <c r="AG137" s="189" t="n"/>
      <c r="AH137" s="189" t="n"/>
      <c r="AI137" s="51" t="inlineStr">
        <is>
          <t>U3θ</t>
        </is>
      </c>
    </row>
    <row r="138">
      <c r="B138" s="189" t="n"/>
      <c r="C138" s="189" t="n"/>
      <c r="D138" s="189" t="n"/>
      <c r="E138" s="189" t="n"/>
      <c r="F138" s="189" t="n"/>
      <c r="G138" s="189" t="n"/>
      <c r="H138" s="189">
        <f>B124</f>
        <v/>
      </c>
      <c r="I138" s="189">
        <f>C124</f>
        <v/>
      </c>
      <c r="J138" s="189">
        <f>D124</f>
        <v/>
      </c>
      <c r="K138" s="189">
        <f>E124</f>
        <v/>
      </c>
      <c r="L138" s="189">
        <f>F124</f>
        <v/>
      </c>
      <c r="M138" s="189">
        <f>G124</f>
        <v/>
      </c>
      <c r="N138" s="189" t="n"/>
      <c r="O138" s="189" t="n"/>
      <c r="P138" s="189" t="n"/>
      <c r="Q138" s="189" t="n"/>
      <c r="R138" s="189" t="n"/>
      <c r="S138" s="189" t="n"/>
      <c r="T138" s="189" t="n"/>
      <c r="U138" s="189" t="n"/>
      <c r="V138" s="189" t="n"/>
      <c r="W138" s="189" t="n"/>
      <c r="X138" s="189" t="n"/>
      <c r="Y138" s="189" t="n"/>
      <c r="Z138" s="189" t="n"/>
      <c r="AA138" s="189" t="n"/>
      <c r="AB138" s="189" t="n"/>
      <c r="AC138" s="189" t="n"/>
      <c r="AD138" s="189" t="n"/>
      <c r="AE138" s="189" t="n"/>
      <c r="AF138" s="189" t="n"/>
      <c r="AG138" s="189" t="n"/>
      <c r="AH138" s="189" t="n"/>
      <c r="AI138" s="51" t="inlineStr">
        <is>
          <t>U4X</t>
        </is>
      </c>
    </row>
    <row r="139">
      <c r="B139" s="189" t="n"/>
      <c r="C139" s="189" t="n"/>
      <c r="D139" s="189" t="n"/>
      <c r="E139" s="189" t="n"/>
      <c r="F139" s="189" t="n"/>
      <c r="G139" s="189" t="n"/>
      <c r="H139" s="189">
        <f>B125</f>
        <v/>
      </c>
      <c r="I139" s="189">
        <f>C125</f>
        <v/>
      </c>
      <c r="J139" s="189">
        <f>D125</f>
        <v/>
      </c>
      <c r="K139" s="189">
        <f>E125</f>
        <v/>
      </c>
      <c r="L139" s="189">
        <f>F125</f>
        <v/>
      </c>
      <c r="M139" s="189">
        <f>G125</f>
        <v/>
      </c>
      <c r="N139" s="189" t="n"/>
      <c r="O139" s="189" t="n"/>
      <c r="P139" s="189" t="n"/>
      <c r="Q139" s="189" t="n"/>
      <c r="R139" s="189" t="n"/>
      <c r="S139" s="189" t="n"/>
      <c r="T139" s="189" t="n"/>
      <c r="U139" s="189" t="n"/>
      <c r="V139" s="189" t="n"/>
      <c r="W139" s="189" t="n"/>
      <c r="X139" s="189" t="n"/>
      <c r="Y139" s="189" t="n"/>
      <c r="Z139" s="189" t="n"/>
      <c r="AA139" s="189" t="n"/>
      <c r="AB139" s="189" t="n"/>
      <c r="AC139" s="189" t="n"/>
      <c r="AD139" s="189" t="n"/>
      <c r="AE139" s="189" t="n"/>
      <c r="AF139" s="189" t="n"/>
      <c r="AG139" s="189" t="n"/>
      <c r="AH139" s="189" t="n"/>
      <c r="AI139" s="51" t="inlineStr">
        <is>
          <t>U4Y</t>
        </is>
      </c>
    </row>
    <row r="140">
      <c r="B140" s="189" t="n"/>
      <c r="C140" s="189" t="n"/>
      <c r="D140" s="189" t="n"/>
      <c r="E140" s="189" t="n"/>
      <c r="F140" s="189" t="n"/>
      <c r="G140" s="189" t="n"/>
      <c r="H140" s="189">
        <f>B126</f>
        <v/>
      </c>
      <c r="I140" s="189">
        <f>C126</f>
        <v/>
      </c>
      <c r="J140" s="189">
        <f>D126</f>
        <v/>
      </c>
      <c r="K140" s="189">
        <f>E126</f>
        <v/>
      </c>
      <c r="L140" s="189">
        <f>F126</f>
        <v/>
      </c>
      <c r="M140" s="189">
        <f>G126</f>
        <v/>
      </c>
      <c r="N140" s="189" t="n"/>
      <c r="O140" s="189" t="n"/>
      <c r="P140" s="189" t="n"/>
      <c r="Q140" s="189" t="n"/>
      <c r="R140" s="189" t="n"/>
      <c r="S140" s="189" t="n"/>
      <c r="T140" s="189" t="n"/>
      <c r="U140" s="189" t="n"/>
      <c r="V140" s="189" t="n"/>
      <c r="W140" s="189" t="n"/>
      <c r="X140" s="189" t="n"/>
      <c r="Y140" s="189" t="n"/>
      <c r="Z140" s="189" t="n"/>
      <c r="AA140" s="189" t="n"/>
      <c r="AB140" s="189" t="n"/>
      <c r="AC140" s="189" t="n"/>
      <c r="AD140" s="189" t="n"/>
      <c r="AE140" s="189" t="n"/>
      <c r="AF140" s="189" t="n"/>
      <c r="AG140" s="189" t="n"/>
      <c r="AH140" s="189" t="n"/>
      <c r="AI140" s="51" t="inlineStr">
        <is>
          <t>U4θ</t>
        </is>
      </c>
    </row>
    <row r="141">
      <c r="B141" s="189" t="n"/>
      <c r="C141" s="189" t="n"/>
      <c r="D141" s="189" t="n"/>
      <c r="E141" s="189" t="n"/>
      <c r="F141" s="189" t="n"/>
      <c r="G141" s="189" t="n"/>
      <c r="H141" s="189" t="n"/>
      <c r="I141" s="189" t="n"/>
      <c r="J141" s="189" t="n"/>
      <c r="K141" s="189" t="n"/>
      <c r="L141" s="189" t="n"/>
      <c r="M141" s="189" t="n"/>
      <c r="N141" s="189" t="n"/>
      <c r="O141" s="189" t="n"/>
      <c r="P141" s="189" t="n"/>
      <c r="Q141" s="189" t="n"/>
      <c r="R141" s="189" t="n"/>
      <c r="S141" s="189" t="n"/>
      <c r="T141" s="189" t="n"/>
      <c r="U141" s="189" t="n"/>
      <c r="V141" s="189" t="n"/>
      <c r="W141" s="189" t="n"/>
      <c r="X141" s="189" t="n"/>
      <c r="Y141" s="189" t="n"/>
      <c r="Z141" s="189" t="n"/>
      <c r="AA141" s="189" t="n"/>
      <c r="AB141" s="189" t="n"/>
      <c r="AC141" s="189" t="n"/>
      <c r="AD141" s="189" t="n"/>
      <c r="AE141" s="189" t="n"/>
      <c r="AF141" s="189" t="n"/>
      <c r="AG141" s="189" t="n"/>
      <c r="AH141" s="189" t="n"/>
      <c r="AI141" s="51" t="inlineStr">
        <is>
          <t>U5X</t>
        </is>
      </c>
    </row>
    <row r="142">
      <c r="B142" s="189" t="n"/>
      <c r="C142" s="189" t="n"/>
      <c r="D142" s="189" t="n"/>
      <c r="E142" s="189" t="n"/>
      <c r="F142" s="189" t="n"/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51" t="inlineStr">
        <is>
          <t>U5Y</t>
        </is>
      </c>
    </row>
    <row r="143">
      <c r="B143" s="189" t="n"/>
      <c r="C143" s="189" t="n"/>
      <c r="D143" s="189" t="n"/>
      <c r="E143" s="189" t="n"/>
      <c r="F143" s="189" t="n"/>
      <c r="G143" s="189" t="n"/>
      <c r="H143" s="189" t="n"/>
      <c r="I143" s="189" t="n"/>
      <c r="J143" s="189" t="n"/>
      <c r="K143" s="189" t="n"/>
      <c r="L143" s="189" t="n"/>
      <c r="M143" s="189" t="n"/>
      <c r="N143" s="189" t="n"/>
      <c r="O143" s="189" t="n"/>
      <c r="P143" s="189" t="n"/>
      <c r="Q143" s="189" t="n"/>
      <c r="R143" s="189" t="n"/>
      <c r="S143" s="189" t="n"/>
      <c r="T143" s="189" t="n"/>
      <c r="U143" s="189" t="n"/>
      <c r="V143" s="189" t="n"/>
      <c r="W143" s="189" t="n"/>
      <c r="X143" s="189" t="n"/>
      <c r="Y143" s="189" t="n"/>
      <c r="Z143" s="189" t="n"/>
      <c r="AA143" s="189" t="n"/>
      <c r="AB143" s="189" t="n"/>
      <c r="AC143" s="189" t="n"/>
      <c r="AD143" s="189" t="n"/>
      <c r="AE143" s="189" t="n"/>
      <c r="AF143" s="189" t="n"/>
      <c r="AG143" s="189" t="n"/>
      <c r="AH143" s="189" t="n"/>
      <c r="AI143" s="51" t="inlineStr">
        <is>
          <t>U5θ</t>
        </is>
      </c>
    </row>
    <row r="144">
      <c r="A144" s="118" t="inlineStr">
        <is>
          <t>K3 =</t>
        </is>
      </c>
      <c r="B144" s="189" t="n"/>
      <c r="C144" s="189" t="n"/>
      <c r="D144" s="189" t="n"/>
      <c r="E144" s="189" t="n"/>
      <c r="F144" s="189" t="n"/>
      <c r="G144" s="189" t="n"/>
      <c r="H144" s="189" t="n"/>
      <c r="I144" s="189" t="n"/>
      <c r="J144" s="189" t="n"/>
      <c r="K144" s="189" t="n"/>
      <c r="L144" s="189" t="n"/>
      <c r="M144" s="189" t="n"/>
      <c r="N144" s="189" t="n"/>
      <c r="O144" s="189" t="n"/>
      <c r="P144" s="189" t="n"/>
      <c r="Q144" s="189" t="n"/>
      <c r="R144" s="189" t="n"/>
      <c r="S144" s="189" t="n"/>
      <c r="T144" s="189" t="n"/>
      <c r="U144" s="189" t="n"/>
      <c r="V144" s="189" t="n"/>
      <c r="W144" s="189" t="n"/>
      <c r="X144" s="189" t="n"/>
      <c r="Y144" s="189" t="n"/>
      <c r="Z144" s="189" t="n"/>
      <c r="AA144" s="189" t="n"/>
      <c r="AB144" s="189" t="n"/>
      <c r="AC144" s="189" t="n"/>
      <c r="AD144" s="189" t="n"/>
      <c r="AE144" s="189" t="n"/>
      <c r="AF144" s="189" t="n"/>
      <c r="AG144" s="189" t="n"/>
      <c r="AH144" s="189" t="n"/>
      <c r="AI144" s="51" t="inlineStr">
        <is>
          <t>U6X</t>
        </is>
      </c>
    </row>
    <row r="145">
      <c r="B145" s="189" t="n"/>
      <c r="C145" s="189" t="n"/>
      <c r="D145" s="189" t="n"/>
      <c r="E145" s="189" t="n"/>
      <c r="F145" s="189" t="n"/>
      <c r="G145" s="189" t="n"/>
      <c r="H145" s="189" t="n"/>
      <c r="I145" s="189" t="n"/>
      <c r="J145" s="189" t="n"/>
      <c r="K145" s="189" t="n"/>
      <c r="L145" s="189" t="n"/>
      <c r="M145" s="189" t="n"/>
      <c r="N145" s="189" t="n"/>
      <c r="O145" s="189" t="n"/>
      <c r="P145" s="189" t="n"/>
      <c r="Q145" s="189" t="n"/>
      <c r="R145" s="189" t="n"/>
      <c r="S145" s="189" t="n"/>
      <c r="T145" s="189" t="n"/>
      <c r="U145" s="189" t="n"/>
      <c r="V145" s="189" t="n"/>
      <c r="W145" s="189" t="n"/>
      <c r="X145" s="189" t="n"/>
      <c r="Y145" s="189" t="n"/>
      <c r="Z145" s="189" t="n"/>
      <c r="AA145" s="189" t="n"/>
      <c r="AB145" s="189" t="n"/>
      <c r="AC145" s="189" t="n"/>
      <c r="AD145" s="189" t="n"/>
      <c r="AE145" s="189" t="n"/>
      <c r="AF145" s="189" t="n"/>
      <c r="AG145" s="189" t="n"/>
      <c r="AH145" s="189" t="n"/>
      <c r="AI145" s="51" t="inlineStr">
        <is>
          <t>U6Y</t>
        </is>
      </c>
    </row>
    <row r="146">
      <c r="B146" s="189" t="n"/>
      <c r="C146" s="189" t="n"/>
      <c r="D146" s="189" t="n"/>
      <c r="E146" s="189" t="n"/>
      <c r="F146" s="189" t="n"/>
      <c r="G146" s="189" t="n"/>
      <c r="H146" s="189" t="n"/>
      <c r="I146" s="189" t="n"/>
      <c r="J146" s="189" t="n"/>
      <c r="K146" s="189" t="n"/>
      <c r="L146" s="189" t="n"/>
      <c r="M146" s="189" t="n"/>
      <c r="N146" s="189" t="n"/>
      <c r="O146" s="189" t="n"/>
      <c r="P146" s="189" t="n"/>
      <c r="Q146" s="189" t="n"/>
      <c r="R146" s="189" t="n"/>
      <c r="S146" s="189" t="n"/>
      <c r="T146" s="189" t="n"/>
      <c r="U146" s="189" t="n"/>
      <c r="V146" s="189" t="n"/>
      <c r="W146" s="189" t="n"/>
      <c r="X146" s="189" t="n"/>
      <c r="Y146" s="189" t="n"/>
      <c r="Z146" s="189" t="n"/>
      <c r="AA146" s="189" t="n"/>
      <c r="AB146" s="189" t="n"/>
      <c r="AC146" s="189" t="n"/>
      <c r="AD146" s="189" t="n"/>
      <c r="AE146" s="189" t="n"/>
      <c r="AF146" s="189" t="n"/>
      <c r="AG146" s="189" t="n"/>
      <c r="AH146" s="189" t="n"/>
      <c r="AI146" s="51" t="inlineStr">
        <is>
          <t>U6θ</t>
        </is>
      </c>
    </row>
    <row r="147">
      <c r="B147" s="189" t="n"/>
      <c r="C147" s="189" t="n"/>
      <c r="D147" s="189" t="n"/>
      <c r="E147" s="189" t="n"/>
      <c r="F147" s="189" t="n"/>
      <c r="G147" s="189" t="n"/>
      <c r="H147" s="189" t="n"/>
      <c r="I147" s="189" t="n"/>
      <c r="J147" s="189" t="n"/>
      <c r="K147" s="189" t="n"/>
      <c r="L147" s="189" t="n"/>
      <c r="M147" s="189" t="n"/>
      <c r="N147" s="189" t="n"/>
      <c r="O147" s="189" t="n"/>
      <c r="P147" s="189" t="n"/>
      <c r="Q147" s="189" t="n"/>
      <c r="R147" s="189" t="n"/>
      <c r="S147" s="189" t="n"/>
      <c r="T147" s="189" t="n"/>
      <c r="U147" s="189" t="n"/>
      <c r="V147" s="189" t="n"/>
      <c r="W147" s="189" t="n"/>
      <c r="X147" s="189" t="n"/>
      <c r="Y147" s="189" t="n"/>
      <c r="Z147" s="189" t="n"/>
      <c r="AA147" s="189" t="n"/>
      <c r="AB147" s="189" t="n"/>
      <c r="AC147" s="189" t="n"/>
      <c r="AD147" s="189" t="n"/>
      <c r="AE147" s="189" t="n"/>
      <c r="AF147" s="189" t="n"/>
      <c r="AG147" s="189" t="n"/>
      <c r="AH147" s="189" t="n"/>
      <c r="AI147" s="51" t="inlineStr">
        <is>
          <t>U7X</t>
        </is>
      </c>
    </row>
    <row r="148">
      <c r="B148" s="189" t="n"/>
      <c r="C148" s="189" t="n"/>
      <c r="D148" s="189" t="n"/>
      <c r="E148" s="189" t="n"/>
      <c r="F148" s="189" t="n"/>
      <c r="G148" s="189" t="n"/>
      <c r="H148" s="189" t="n"/>
      <c r="I148" s="189" t="n"/>
      <c r="J148" s="189" t="n"/>
      <c r="K148" s="189" t="n"/>
      <c r="L148" s="189" t="n"/>
      <c r="M148" s="189" t="n"/>
      <c r="N148" s="189" t="n"/>
      <c r="O148" s="189" t="n"/>
      <c r="P148" s="189" t="n"/>
      <c r="Q148" s="189" t="n"/>
      <c r="R148" s="189" t="n"/>
      <c r="S148" s="189" t="n"/>
      <c r="T148" s="189" t="n"/>
      <c r="U148" s="189" t="n"/>
      <c r="V148" s="189" t="n"/>
      <c r="W148" s="189" t="n"/>
      <c r="X148" s="189" t="n"/>
      <c r="Y148" s="189" t="n"/>
      <c r="Z148" s="189" t="n"/>
      <c r="AA148" s="189" t="n"/>
      <c r="AB148" s="189" t="n"/>
      <c r="AC148" s="189" t="n"/>
      <c r="AD148" s="189" t="n"/>
      <c r="AE148" s="189" t="n"/>
      <c r="AF148" s="189" t="n"/>
      <c r="AG148" s="189" t="n"/>
      <c r="AH148" s="189" t="n"/>
      <c r="AI148" s="51" t="inlineStr">
        <is>
          <t>U7Y</t>
        </is>
      </c>
    </row>
    <row r="149">
      <c r="B149" s="189" t="n"/>
      <c r="C149" s="189" t="n"/>
      <c r="D149" s="189" t="n"/>
      <c r="E149" s="189" t="n"/>
      <c r="F149" s="189" t="n"/>
      <c r="G149" s="189" t="n"/>
      <c r="H149" s="189" t="n"/>
      <c r="I149" s="189" t="n"/>
      <c r="J149" s="189" t="n"/>
      <c r="K149" s="189" t="n"/>
      <c r="L149" s="189" t="n"/>
      <c r="M149" s="189" t="n"/>
      <c r="N149" s="189" t="n"/>
      <c r="O149" s="189" t="n"/>
      <c r="P149" s="189" t="n"/>
      <c r="Q149" s="189" t="n"/>
      <c r="R149" s="189" t="n"/>
      <c r="S149" s="189" t="n"/>
      <c r="T149" s="189" t="n"/>
      <c r="U149" s="189" t="n"/>
      <c r="V149" s="189" t="n"/>
      <c r="W149" s="189" t="n"/>
      <c r="X149" s="189" t="n"/>
      <c r="Y149" s="189" t="n"/>
      <c r="Z149" s="189" t="n"/>
      <c r="AA149" s="189" t="n"/>
      <c r="AB149" s="189" t="n"/>
      <c r="AC149" s="189" t="n"/>
      <c r="AD149" s="189" t="n"/>
      <c r="AE149" s="189" t="n"/>
      <c r="AF149" s="189" t="n"/>
      <c r="AG149" s="189" t="n"/>
      <c r="AH149" s="189" t="n"/>
      <c r="AI149" s="51" t="inlineStr">
        <is>
          <t>U7θ</t>
        </is>
      </c>
    </row>
    <row r="150">
      <c r="B150" s="189" t="n"/>
      <c r="C150" s="189" t="n"/>
      <c r="D150" s="189" t="n"/>
      <c r="E150" s="189" t="n"/>
      <c r="F150" s="189" t="n"/>
      <c r="G150" s="189" t="n"/>
      <c r="H150" s="189" t="n"/>
      <c r="I150" s="189" t="n"/>
      <c r="J150" s="189" t="n"/>
      <c r="K150" s="189" t="n"/>
      <c r="L150" s="189" t="n"/>
      <c r="M150" s="189" t="n"/>
      <c r="N150" s="189" t="n"/>
      <c r="O150" s="189" t="n"/>
      <c r="P150" s="189" t="n"/>
      <c r="Q150" s="189" t="n"/>
      <c r="R150" s="189" t="n"/>
      <c r="S150" s="189" t="n"/>
      <c r="T150" s="189" t="n"/>
      <c r="U150" s="189" t="n"/>
      <c r="V150" s="189" t="n"/>
      <c r="W150" s="189" t="n"/>
      <c r="X150" s="189" t="n"/>
      <c r="Y150" s="189" t="n"/>
      <c r="Z150" s="189" t="n"/>
      <c r="AA150" s="189" t="n"/>
      <c r="AB150" s="189" t="n"/>
      <c r="AC150" s="189" t="n"/>
      <c r="AD150" s="189" t="n"/>
      <c r="AE150" s="189" t="n"/>
      <c r="AF150" s="189" t="n"/>
      <c r="AG150" s="189" t="n"/>
      <c r="AH150" s="189" t="n"/>
      <c r="AI150" s="51" t="inlineStr">
        <is>
          <t>U8X</t>
        </is>
      </c>
    </row>
    <row r="151">
      <c r="B151" s="189" t="n"/>
      <c r="C151" s="189" t="n"/>
      <c r="D151" s="189" t="n"/>
      <c r="E151" s="189" t="n"/>
      <c r="F151" s="189" t="n"/>
      <c r="G151" s="189" t="n"/>
      <c r="H151" s="189" t="n"/>
      <c r="I151" s="189" t="n"/>
      <c r="J151" s="189" t="n"/>
      <c r="K151" s="189" t="n"/>
      <c r="L151" s="189" t="n"/>
      <c r="M151" s="189" t="n"/>
      <c r="N151" s="189" t="n"/>
      <c r="O151" s="189" t="n"/>
      <c r="P151" s="189" t="n"/>
      <c r="Q151" s="189" t="n"/>
      <c r="R151" s="189" t="n"/>
      <c r="S151" s="189" t="n"/>
      <c r="T151" s="189" t="n"/>
      <c r="U151" s="189" t="n"/>
      <c r="V151" s="189" t="n"/>
      <c r="W151" s="189" t="n"/>
      <c r="X151" s="189" t="n"/>
      <c r="Y151" s="189" t="n"/>
      <c r="Z151" s="189" t="n"/>
      <c r="AA151" s="189" t="n"/>
      <c r="AB151" s="189" t="n"/>
      <c r="AC151" s="189" t="n"/>
      <c r="AD151" s="189" t="n"/>
      <c r="AE151" s="189" t="n"/>
      <c r="AF151" s="189" t="n"/>
      <c r="AG151" s="189" t="n"/>
      <c r="AH151" s="189" t="n"/>
      <c r="AI151" s="51" t="inlineStr">
        <is>
          <t>U8Y</t>
        </is>
      </c>
    </row>
    <row r="152">
      <c r="B152" s="189" t="n"/>
      <c r="C152" s="189" t="n"/>
      <c r="D152" s="189" t="n"/>
      <c r="E152" s="189" t="n"/>
      <c r="F152" s="189" t="n"/>
      <c r="G152" s="189" t="n"/>
      <c r="H152" s="189" t="n"/>
      <c r="I152" s="189" t="n"/>
      <c r="J152" s="189" t="n"/>
      <c r="K152" s="189" t="n"/>
      <c r="L152" s="189" t="n"/>
      <c r="M152" s="189" t="n"/>
      <c r="N152" s="189" t="n"/>
      <c r="O152" s="189" t="n"/>
      <c r="P152" s="189" t="n"/>
      <c r="Q152" s="189" t="n"/>
      <c r="R152" s="189" t="n"/>
      <c r="S152" s="189" t="n"/>
      <c r="T152" s="189" t="n"/>
      <c r="U152" s="189" t="n"/>
      <c r="V152" s="189" t="n"/>
      <c r="W152" s="189" t="n"/>
      <c r="X152" s="189" t="n"/>
      <c r="Y152" s="189" t="n"/>
      <c r="Z152" s="189" t="n"/>
      <c r="AA152" s="189" t="n"/>
      <c r="AB152" s="189" t="n"/>
      <c r="AC152" s="189" t="n"/>
      <c r="AD152" s="189" t="n"/>
      <c r="AE152" s="189" t="n"/>
      <c r="AF152" s="189" t="n"/>
      <c r="AG152" s="189" t="n"/>
      <c r="AH152" s="189" t="n"/>
      <c r="AI152" s="51" t="inlineStr">
        <is>
          <t>U8θ</t>
        </is>
      </c>
    </row>
    <row r="153">
      <c r="B153" s="189" t="n"/>
      <c r="C153" s="189" t="n"/>
      <c r="D153" s="189" t="n"/>
      <c r="E153" s="189" t="n"/>
      <c r="F153" s="189" t="n"/>
      <c r="G153" s="189" t="n"/>
      <c r="H153" s="189" t="n"/>
      <c r="I153" s="189" t="n"/>
      <c r="J153" s="189" t="n"/>
      <c r="K153" s="189" t="n"/>
      <c r="L153" s="189" t="n"/>
      <c r="M153" s="189" t="n"/>
      <c r="N153" s="189" t="n"/>
      <c r="O153" s="189" t="n"/>
      <c r="P153" s="189" t="n"/>
      <c r="Q153" s="189" t="n"/>
      <c r="R153" s="189" t="n"/>
      <c r="S153" s="189" t="n"/>
      <c r="T153" s="189" t="n"/>
      <c r="U153" s="189" t="n"/>
      <c r="V153" s="189" t="n"/>
      <c r="W153" s="189" t="n"/>
      <c r="X153" s="189" t="n"/>
      <c r="Y153" s="189" t="n"/>
      <c r="Z153" s="189" t="n"/>
      <c r="AA153" s="189" t="n"/>
      <c r="AB153" s="189" t="n"/>
      <c r="AC153" s="189" t="n"/>
      <c r="AD153" s="189" t="n"/>
      <c r="AE153" s="189" t="n"/>
      <c r="AF153" s="189" t="n"/>
      <c r="AG153" s="189" t="n"/>
      <c r="AH153" s="189" t="n"/>
      <c r="AI153" s="51" t="inlineStr">
        <is>
          <t>U9X</t>
        </is>
      </c>
    </row>
    <row r="154">
      <c r="B154" s="189" t="n"/>
      <c r="C154" s="189" t="n"/>
      <c r="D154" s="189" t="n"/>
      <c r="E154" s="189" t="n"/>
      <c r="F154" s="189" t="n"/>
      <c r="G154" s="189" t="n"/>
      <c r="H154" s="189" t="n"/>
      <c r="I154" s="189" t="n"/>
      <c r="J154" s="189" t="n"/>
      <c r="K154" s="189" t="n"/>
      <c r="L154" s="189" t="n"/>
      <c r="M154" s="189" t="n"/>
      <c r="N154" s="189" t="n"/>
      <c r="O154" s="189" t="n"/>
      <c r="P154" s="189" t="n"/>
      <c r="Q154" s="189" t="n"/>
      <c r="R154" s="189" t="n"/>
      <c r="S154" s="189" t="n"/>
      <c r="T154" s="189" t="n"/>
      <c r="U154" s="189" t="n"/>
      <c r="V154" s="189" t="n"/>
      <c r="W154" s="189" t="n"/>
      <c r="X154" s="189" t="n"/>
      <c r="Y154" s="189" t="n"/>
      <c r="Z154" s="189" t="n"/>
      <c r="AA154" s="189" t="n"/>
      <c r="AB154" s="189" t="n"/>
      <c r="AC154" s="189" t="n"/>
      <c r="AD154" s="189" t="n"/>
      <c r="AE154" s="189" t="n"/>
      <c r="AF154" s="189" t="n"/>
      <c r="AG154" s="189" t="n"/>
      <c r="AH154" s="189" t="n"/>
      <c r="AI154" s="51" t="inlineStr">
        <is>
          <t>U9Y</t>
        </is>
      </c>
    </row>
    <row r="155">
      <c r="B155" s="189" t="n"/>
      <c r="C155" s="189" t="n"/>
      <c r="D155" s="189" t="n"/>
      <c r="E155" s="189" t="n"/>
      <c r="F155" s="189" t="n"/>
      <c r="G155" s="189" t="n"/>
      <c r="H155" s="189" t="n"/>
      <c r="I155" s="189" t="n"/>
      <c r="J155" s="189" t="n"/>
      <c r="K155" s="189" t="n"/>
      <c r="L155" s="189" t="n"/>
      <c r="M155" s="189" t="n"/>
      <c r="N155" s="189" t="n"/>
      <c r="O155" s="189" t="n"/>
      <c r="P155" s="189" t="n"/>
      <c r="Q155" s="189" t="n"/>
      <c r="R155" s="189" t="n"/>
      <c r="S155" s="189" t="n"/>
      <c r="T155" s="189" t="n"/>
      <c r="U155" s="189" t="n"/>
      <c r="V155" s="189" t="n"/>
      <c r="W155" s="189" t="n"/>
      <c r="X155" s="189" t="n"/>
      <c r="Y155" s="189" t="n"/>
      <c r="Z155" s="189" t="n"/>
      <c r="AA155" s="189" t="n"/>
      <c r="AB155" s="189" t="n"/>
      <c r="AC155" s="189" t="n"/>
      <c r="AD155" s="189" t="n"/>
      <c r="AE155" s="189" t="n"/>
      <c r="AF155" s="189" t="n"/>
      <c r="AG155" s="189" t="n"/>
      <c r="AH155" s="189" t="n"/>
      <c r="AI155" s="51" t="inlineStr">
        <is>
          <t>U9θ</t>
        </is>
      </c>
    </row>
    <row r="156">
      <c r="B156" s="189" t="n"/>
      <c r="C156" s="189" t="n"/>
      <c r="D156" s="189" t="n"/>
      <c r="E156" s="189" t="n"/>
      <c r="F156" s="189" t="n"/>
      <c r="G156" s="189" t="n"/>
      <c r="H156" s="189" t="n"/>
      <c r="I156" s="189" t="n"/>
      <c r="J156" s="189" t="n"/>
      <c r="K156" s="189" t="n"/>
      <c r="L156" s="189" t="n"/>
      <c r="M156" s="189" t="n"/>
      <c r="N156" s="189" t="n"/>
      <c r="O156" s="189" t="n"/>
      <c r="P156" s="189" t="n"/>
      <c r="Q156" s="189" t="n"/>
      <c r="R156" s="189" t="n"/>
      <c r="S156" s="189" t="n"/>
      <c r="T156" s="189" t="n"/>
      <c r="U156" s="189" t="n"/>
      <c r="V156" s="189" t="n"/>
      <c r="W156" s="189" t="n"/>
      <c r="X156" s="189" t="n"/>
      <c r="Y156" s="189" t="n"/>
      <c r="Z156" s="189" t="n"/>
      <c r="AA156" s="189" t="n"/>
      <c r="AB156" s="189" t="n"/>
      <c r="AC156" s="189" t="n"/>
      <c r="AD156" s="189" t="n"/>
      <c r="AE156" s="189" t="n"/>
      <c r="AF156" s="189" t="n"/>
      <c r="AG156" s="189" t="n"/>
      <c r="AH156" s="189" t="n"/>
      <c r="AI156" s="51" t="inlineStr">
        <is>
          <t>U10X</t>
        </is>
      </c>
    </row>
    <row r="157">
      <c r="B157" s="189" t="n"/>
      <c r="C157" s="189" t="n"/>
      <c r="D157" s="189" t="n"/>
      <c r="E157" s="189" t="n"/>
      <c r="F157" s="189" t="n"/>
      <c r="G157" s="189" t="n"/>
      <c r="H157" s="189" t="n"/>
      <c r="I157" s="189" t="n"/>
      <c r="J157" s="189" t="n"/>
      <c r="K157" s="189" t="n"/>
      <c r="L157" s="189" t="n"/>
      <c r="M157" s="189" t="n"/>
      <c r="N157" s="189" t="n"/>
      <c r="O157" s="189" t="n"/>
      <c r="P157" s="189" t="n"/>
      <c r="Q157" s="189" t="n"/>
      <c r="R157" s="189" t="n"/>
      <c r="S157" s="189" t="n"/>
      <c r="T157" s="189" t="n"/>
      <c r="U157" s="189" t="n"/>
      <c r="V157" s="189" t="n"/>
      <c r="W157" s="189" t="n"/>
      <c r="X157" s="189" t="n"/>
      <c r="Y157" s="189" t="n"/>
      <c r="Z157" s="189" t="n"/>
      <c r="AA157" s="189" t="n"/>
      <c r="AB157" s="189" t="n"/>
      <c r="AC157" s="189" t="n"/>
      <c r="AD157" s="189" t="n"/>
      <c r="AE157" s="189" t="n"/>
      <c r="AF157" s="189" t="n"/>
      <c r="AG157" s="189" t="n"/>
      <c r="AH157" s="189" t="n"/>
      <c r="AI157" s="51" t="inlineStr">
        <is>
          <t>U10Y</t>
        </is>
      </c>
    </row>
    <row r="158">
      <c r="B158" s="189" t="n"/>
      <c r="C158" s="189" t="n"/>
      <c r="D158" s="189" t="n"/>
      <c r="E158" s="189" t="n"/>
      <c r="F158" s="189" t="n"/>
      <c r="G158" s="189" t="n"/>
      <c r="H158" s="189" t="n"/>
      <c r="I158" s="189" t="n"/>
      <c r="J158" s="189" t="n"/>
      <c r="K158" s="189" t="n"/>
      <c r="L158" s="189" t="n"/>
      <c r="M158" s="189" t="n"/>
      <c r="N158" s="189" t="n"/>
      <c r="O158" s="189" t="n"/>
      <c r="P158" s="189" t="n"/>
      <c r="Q158" s="189" t="n"/>
      <c r="R158" s="189" t="n"/>
      <c r="S158" s="189" t="n"/>
      <c r="T158" s="189" t="n"/>
      <c r="U158" s="189" t="n"/>
      <c r="V158" s="189" t="n"/>
      <c r="W158" s="189" t="n"/>
      <c r="X158" s="189" t="n"/>
      <c r="Y158" s="189" t="n"/>
      <c r="Z158" s="189" t="n"/>
      <c r="AA158" s="189" t="n"/>
      <c r="AB158" s="189" t="n"/>
      <c r="AC158" s="189" t="n"/>
      <c r="AD158" s="189" t="n"/>
      <c r="AE158" s="189" t="n"/>
      <c r="AF158" s="189" t="n"/>
      <c r="AG158" s="189" t="n"/>
      <c r="AH158" s="189" t="n"/>
      <c r="AI158" s="51" t="inlineStr">
        <is>
          <t>U10θ</t>
        </is>
      </c>
    </row>
    <row r="159">
      <c r="B159" s="189" t="n"/>
      <c r="C159" s="189" t="n"/>
      <c r="D159" s="189" t="n"/>
      <c r="E159" s="189" t="n"/>
      <c r="F159" s="189" t="n"/>
      <c r="G159" s="189" t="n"/>
      <c r="H159" s="189" t="n"/>
      <c r="I159" s="189" t="n"/>
      <c r="J159" s="189" t="n"/>
      <c r="K159" s="189" t="n"/>
      <c r="L159" s="189" t="n"/>
      <c r="M159" s="189" t="n"/>
      <c r="N159" s="189" t="n"/>
      <c r="O159" s="189" t="n"/>
      <c r="P159" s="189" t="n"/>
      <c r="Q159" s="189" t="n"/>
      <c r="R159" s="189" t="n"/>
      <c r="S159" s="189" t="n"/>
      <c r="T159" s="189" t="n"/>
      <c r="U159" s="189" t="n"/>
      <c r="V159" s="189" t="n"/>
      <c r="W159" s="189" t="n"/>
      <c r="X159" s="189" t="n"/>
      <c r="Y159" s="189" t="n"/>
      <c r="Z159" s="189" t="n"/>
      <c r="AA159" s="189" t="n"/>
      <c r="AB159" s="189" t="n"/>
      <c r="AC159" s="189" t="n"/>
      <c r="AD159" s="189" t="n"/>
      <c r="AE159" s="189" t="n"/>
      <c r="AF159" s="189" t="n"/>
      <c r="AG159" s="189" t="n"/>
      <c r="AH159" s="189" t="n"/>
      <c r="AI159" s="51" t="inlineStr">
        <is>
          <t>U11X</t>
        </is>
      </c>
    </row>
    <row r="160">
      <c r="B160" s="189" t="n"/>
      <c r="C160" s="189" t="n"/>
      <c r="D160" s="189" t="n"/>
      <c r="E160" s="189" t="n"/>
      <c r="F160" s="189" t="n"/>
      <c r="G160" s="189" t="n"/>
      <c r="H160" s="189" t="n"/>
      <c r="I160" s="189" t="n"/>
      <c r="J160" s="189" t="n"/>
      <c r="K160" s="189" t="n"/>
      <c r="L160" s="189" t="n"/>
      <c r="M160" s="189" t="n"/>
      <c r="N160" s="189" t="n"/>
      <c r="O160" s="189" t="n"/>
      <c r="P160" s="189" t="n"/>
      <c r="Q160" s="189" t="n"/>
      <c r="R160" s="189" t="n"/>
      <c r="S160" s="189" t="n"/>
      <c r="T160" s="189" t="n"/>
      <c r="U160" s="189" t="n"/>
      <c r="V160" s="189" t="n"/>
      <c r="W160" s="189" t="n"/>
      <c r="X160" s="189" t="n"/>
      <c r="Y160" s="189" t="n"/>
      <c r="Z160" s="189" t="n"/>
      <c r="AA160" s="189" t="n"/>
      <c r="AB160" s="189" t="n"/>
      <c r="AC160" s="189" t="n"/>
      <c r="AD160" s="189" t="n"/>
      <c r="AE160" s="189" t="n"/>
      <c r="AF160" s="189" t="n"/>
      <c r="AG160" s="189" t="n"/>
      <c r="AH160" s="189" t="n"/>
      <c r="AI160" s="51" t="inlineStr">
        <is>
          <t>U11Y</t>
        </is>
      </c>
    </row>
    <row r="161">
      <c r="B161" s="189" t="n"/>
      <c r="C161" s="189" t="n"/>
      <c r="D161" s="189" t="n"/>
      <c r="E161" s="189" t="n"/>
      <c r="F161" s="189" t="n"/>
      <c r="G161" s="189" t="n"/>
      <c r="H161" s="189" t="n"/>
      <c r="I161" s="189" t="n"/>
      <c r="J161" s="189" t="n"/>
      <c r="K161" s="189" t="n"/>
      <c r="L161" s="189" t="n"/>
      <c r="M161" s="189" t="n"/>
      <c r="N161" s="189" t="n"/>
      <c r="O161" s="189" t="n"/>
      <c r="P161" s="189" t="n"/>
      <c r="Q161" s="189" t="n"/>
      <c r="R161" s="189" t="n"/>
      <c r="S161" s="189" t="n"/>
      <c r="T161" s="189" t="n"/>
      <c r="U161" s="189" t="n"/>
      <c r="V161" s="189" t="n"/>
      <c r="W161" s="189" t="n"/>
      <c r="X161" s="189" t="n"/>
      <c r="Y161" s="189" t="n"/>
      <c r="Z161" s="189" t="n"/>
      <c r="AA161" s="189" t="n"/>
      <c r="AB161" s="189" t="n"/>
      <c r="AC161" s="189" t="n"/>
      <c r="AD161" s="189" t="n"/>
      <c r="AE161" s="189" t="n"/>
      <c r="AF161" s="189" t="n"/>
      <c r="AG161" s="189" t="n"/>
      <c r="AH161" s="189" t="n"/>
      <c r="AI161" s="51" t="inlineStr">
        <is>
          <t>U11θ</t>
        </is>
      </c>
    </row>
    <row r="163">
      <c r="B163" s="51">
        <f>IF(C25="","", CONCATENATE("U",C25,C$21))</f>
        <v/>
      </c>
      <c r="C163" s="51">
        <f>IF(D25="","", CONCATENATE("U",D25,D$21))</f>
        <v/>
      </c>
      <c r="D163" s="51">
        <f>IF(E25="","", CONCATENATE("U",E25,E$21))</f>
        <v/>
      </c>
      <c r="E163" s="51">
        <f>IF(F25="","", CONCATENATE("U",F25,F$21))</f>
        <v/>
      </c>
      <c r="F163" s="51">
        <f>IF(G25="","", CONCATENATE("U",G25,G$21))</f>
        <v/>
      </c>
      <c r="G163" s="51">
        <f>IF(H25="","", CONCATENATE("U",H25,H$21))</f>
        <v/>
      </c>
    </row>
    <row r="164">
      <c r="B164" s="8">
        <f>IF(I12="", 0, O12*J12*J12+P12*K12*K12)</f>
        <v/>
      </c>
      <c r="C164" s="189">
        <f>IF(I12="", 0, (O12-P12)*(J12*K12))</f>
        <v/>
      </c>
      <c r="D164" s="189">
        <f>IF(I12="", 0, -Q12*K12)</f>
        <v/>
      </c>
      <c r="E164" s="189">
        <f>-B164</f>
        <v/>
      </c>
      <c r="F164" s="189">
        <f>-C164</f>
        <v/>
      </c>
      <c r="G164" s="189">
        <f>D164</f>
        <v/>
      </c>
      <c r="H164" s="51">
        <f>B163</f>
        <v/>
      </c>
    </row>
    <row r="165">
      <c r="B165" s="189">
        <f>C164</f>
        <v/>
      </c>
      <c r="C165" s="8">
        <f>IF(I12="", 0, O12*K12*K12+P12*J12*J12)</f>
        <v/>
      </c>
      <c r="D165" s="189">
        <f>IF(I12="", 0, Q12*J12)</f>
        <v/>
      </c>
      <c r="E165" s="189">
        <f>-B165</f>
        <v/>
      </c>
      <c r="F165" s="189">
        <f>-C165</f>
        <v/>
      </c>
      <c r="G165" s="189">
        <f>D165</f>
        <v/>
      </c>
      <c r="H165" s="51">
        <f>C163</f>
        <v/>
      </c>
    </row>
    <row r="166">
      <c r="A166" s="118" t="inlineStr">
        <is>
          <t>K4 =</t>
        </is>
      </c>
      <c r="B166" s="189">
        <f>D164</f>
        <v/>
      </c>
      <c r="C166" s="189">
        <f>D165</f>
        <v/>
      </c>
      <c r="D166" s="8">
        <f>IF(I12="", 0, R12)</f>
        <v/>
      </c>
      <c r="E166" s="189">
        <f>-B166</f>
        <v/>
      </c>
      <c r="F166" s="189">
        <f>-C166</f>
        <v/>
      </c>
      <c r="G166" s="189">
        <f>IF(I12="", 0, S12)</f>
        <v/>
      </c>
      <c r="H166" s="51">
        <f>D163</f>
        <v/>
      </c>
    </row>
    <row r="167">
      <c r="B167" s="189">
        <f>E164</f>
        <v/>
      </c>
      <c r="C167" s="189">
        <f>E165</f>
        <v/>
      </c>
      <c r="D167" s="189">
        <f>E166</f>
        <v/>
      </c>
      <c r="E167" s="8">
        <f>B164</f>
        <v/>
      </c>
      <c r="F167" s="189">
        <f>C164</f>
        <v/>
      </c>
      <c r="G167" s="189">
        <f>-D164</f>
        <v/>
      </c>
      <c r="H167" s="51">
        <f>E163</f>
        <v/>
      </c>
    </row>
    <row r="168">
      <c r="B168" s="189">
        <f>F164</f>
        <v/>
      </c>
      <c r="C168" s="189">
        <f>F165</f>
        <v/>
      </c>
      <c r="D168" s="189">
        <f>F166</f>
        <v/>
      </c>
      <c r="E168" s="189">
        <f>F167</f>
        <v/>
      </c>
      <c r="F168" s="8">
        <f>C165</f>
        <v/>
      </c>
      <c r="G168" s="189">
        <f>-D165</f>
        <v/>
      </c>
      <c r="H168" s="51">
        <f>F163</f>
        <v/>
      </c>
    </row>
    <row r="169">
      <c r="B169" s="189">
        <f>G164</f>
        <v/>
      </c>
      <c r="C169" s="189">
        <f>G165</f>
        <v/>
      </c>
      <c r="D169" s="189">
        <f>G166</f>
        <v/>
      </c>
      <c r="E169" s="189">
        <f>G167</f>
        <v/>
      </c>
      <c r="F169" s="189">
        <f>G168</f>
        <v/>
      </c>
      <c r="G169" s="8">
        <f>D166</f>
        <v/>
      </c>
      <c r="H169" s="51">
        <f>G163</f>
        <v/>
      </c>
    </row>
    <row r="171">
      <c r="B171" s="51" t="inlineStr">
        <is>
          <t>U1X</t>
        </is>
      </c>
      <c r="C171" s="51" t="inlineStr">
        <is>
          <t>U1Y</t>
        </is>
      </c>
      <c r="D171" s="51" t="inlineStr">
        <is>
          <t>U1θ</t>
        </is>
      </c>
      <c r="E171" s="51" t="inlineStr">
        <is>
          <t>U2X</t>
        </is>
      </c>
      <c r="F171" s="51" t="inlineStr">
        <is>
          <t>U2Y</t>
        </is>
      </c>
      <c r="G171" s="51" t="inlineStr">
        <is>
          <t>U2θ</t>
        </is>
      </c>
      <c r="H171" s="51" t="inlineStr">
        <is>
          <t>U3X</t>
        </is>
      </c>
      <c r="I171" s="51" t="inlineStr">
        <is>
          <t>U3Y</t>
        </is>
      </c>
      <c r="J171" s="51" t="inlineStr">
        <is>
          <t>U3θ</t>
        </is>
      </c>
      <c r="K171" s="51" t="inlineStr">
        <is>
          <t>U4X</t>
        </is>
      </c>
      <c r="L171" s="51" t="inlineStr">
        <is>
          <t>U4Y</t>
        </is>
      </c>
      <c r="M171" s="51" t="inlineStr">
        <is>
          <t>U4θ</t>
        </is>
      </c>
      <c r="N171" s="51" t="inlineStr">
        <is>
          <t>U5X</t>
        </is>
      </c>
      <c r="O171" s="51" t="inlineStr">
        <is>
          <t>U5Y</t>
        </is>
      </c>
      <c r="P171" s="51" t="inlineStr">
        <is>
          <t>U5θ</t>
        </is>
      </c>
      <c r="Q171" s="51" t="inlineStr">
        <is>
          <t>U6X</t>
        </is>
      </c>
      <c r="R171" s="51" t="inlineStr">
        <is>
          <t>U6Y</t>
        </is>
      </c>
      <c r="S171" s="51" t="inlineStr">
        <is>
          <t>U6θ</t>
        </is>
      </c>
      <c r="T171" s="51" t="inlineStr">
        <is>
          <t>U7X</t>
        </is>
      </c>
      <c r="U171" s="51" t="inlineStr">
        <is>
          <t>U7Y</t>
        </is>
      </c>
      <c r="V171" s="51" t="inlineStr">
        <is>
          <t>U7θ</t>
        </is>
      </c>
      <c r="W171" s="51" t="inlineStr">
        <is>
          <t>U8X</t>
        </is>
      </c>
      <c r="X171" s="51" t="inlineStr">
        <is>
          <t>U8Y</t>
        </is>
      </c>
      <c r="Y171" s="51" t="inlineStr">
        <is>
          <t>U8θ</t>
        </is>
      </c>
      <c r="Z171" s="51" t="inlineStr">
        <is>
          <t>U9X</t>
        </is>
      </c>
      <c r="AA171" s="51" t="inlineStr">
        <is>
          <t>U9Y</t>
        </is>
      </c>
      <c r="AB171" s="51" t="inlineStr">
        <is>
          <t>U9θ</t>
        </is>
      </c>
      <c r="AC171" s="51" t="inlineStr">
        <is>
          <t>U10X</t>
        </is>
      </c>
      <c r="AD171" s="51" t="inlineStr">
        <is>
          <t>U10Y</t>
        </is>
      </c>
      <c r="AE171" s="51" t="inlineStr">
        <is>
          <t>U10θ</t>
        </is>
      </c>
      <c r="AF171" s="51" t="inlineStr">
        <is>
          <t>U11X</t>
        </is>
      </c>
      <c r="AG171" s="51" t="inlineStr">
        <is>
          <t>U11Y</t>
        </is>
      </c>
      <c r="AH171" s="51" t="inlineStr">
        <is>
          <t>U11θ</t>
        </is>
      </c>
    </row>
    <row r="172">
      <c r="B172" s="189" t="n"/>
      <c r="C172" s="189" t="n"/>
      <c r="D172" s="189" t="n"/>
      <c r="E172" s="189" t="n"/>
      <c r="F172" s="189" t="n"/>
      <c r="G172" s="189" t="n"/>
      <c r="H172" s="189" t="n"/>
      <c r="I172" s="189" t="n"/>
      <c r="J172" s="189" t="n"/>
      <c r="K172" s="189" t="n"/>
      <c r="L172" s="189" t="n"/>
      <c r="M172" s="189" t="n"/>
      <c r="N172" s="189" t="n"/>
      <c r="O172" s="189" t="n"/>
      <c r="P172" s="189" t="n"/>
      <c r="Q172" s="189" t="n"/>
      <c r="R172" s="189" t="n"/>
      <c r="S172" s="189" t="n"/>
      <c r="T172" s="189" t="n"/>
      <c r="U172" s="189" t="n"/>
      <c r="V172" s="189" t="n"/>
      <c r="W172" s="189" t="n"/>
      <c r="X172" s="189" t="n"/>
      <c r="Y172" s="189" t="n"/>
      <c r="Z172" s="189" t="n"/>
      <c r="AA172" s="189" t="n"/>
      <c r="AB172" s="189" t="n"/>
      <c r="AC172" s="189" t="n"/>
      <c r="AD172" s="189" t="n"/>
      <c r="AE172" s="189" t="n"/>
      <c r="AF172" s="189" t="n"/>
      <c r="AG172" s="189" t="n"/>
      <c r="AH172" s="189" t="n"/>
      <c r="AI172" s="51" t="inlineStr">
        <is>
          <t>U1X</t>
        </is>
      </c>
    </row>
    <row r="173">
      <c r="B173" s="189" t="n"/>
      <c r="C173" s="189" t="n"/>
      <c r="D173" s="189" t="n"/>
      <c r="E173" s="189" t="n"/>
      <c r="F173" s="189" t="n"/>
      <c r="G173" s="189" t="n"/>
      <c r="H173" s="189" t="n"/>
      <c r="I173" s="189" t="n"/>
      <c r="J173" s="189" t="n"/>
      <c r="K173" s="189" t="n"/>
      <c r="L173" s="189" t="n"/>
      <c r="M173" s="189" t="n"/>
      <c r="N173" s="189" t="n"/>
      <c r="O173" s="189" t="n"/>
      <c r="P173" s="189" t="n"/>
      <c r="Q173" s="189" t="n"/>
      <c r="R173" s="189" t="n"/>
      <c r="S173" s="189" t="n"/>
      <c r="T173" s="189" t="n"/>
      <c r="U173" s="189" t="n"/>
      <c r="V173" s="189" t="n"/>
      <c r="W173" s="189" t="n"/>
      <c r="X173" s="189" t="n"/>
      <c r="Y173" s="189" t="n"/>
      <c r="Z173" s="189" t="n"/>
      <c r="AA173" s="189" t="n"/>
      <c r="AB173" s="189" t="n"/>
      <c r="AC173" s="189" t="n"/>
      <c r="AD173" s="189" t="n"/>
      <c r="AE173" s="189" t="n"/>
      <c r="AF173" s="189" t="n"/>
      <c r="AG173" s="189" t="n"/>
      <c r="AH173" s="189" t="n"/>
      <c r="AI173" s="51" t="inlineStr">
        <is>
          <t>U1Y</t>
        </is>
      </c>
    </row>
    <row r="174">
      <c r="B174" s="189" t="n"/>
      <c r="C174" s="189" t="n"/>
      <c r="D174" s="189" t="n"/>
      <c r="E174" s="189" t="n"/>
      <c r="F174" s="189" t="n"/>
      <c r="G174" s="189" t="n"/>
      <c r="H174" s="189" t="n"/>
      <c r="I174" s="189" t="n"/>
      <c r="J174" s="189" t="n"/>
      <c r="K174" s="189" t="n"/>
      <c r="L174" s="189" t="n"/>
      <c r="M174" s="189" t="n"/>
      <c r="N174" s="189" t="n"/>
      <c r="O174" s="189" t="n"/>
      <c r="P174" s="189" t="n"/>
      <c r="Q174" s="189" t="n"/>
      <c r="R174" s="189" t="n"/>
      <c r="S174" s="189" t="n"/>
      <c r="T174" s="189" t="n"/>
      <c r="U174" s="189" t="n"/>
      <c r="V174" s="189" t="n"/>
      <c r="W174" s="189" t="n"/>
      <c r="X174" s="189" t="n"/>
      <c r="Y174" s="189" t="n"/>
      <c r="Z174" s="189" t="n"/>
      <c r="AA174" s="189" t="n"/>
      <c r="AB174" s="189" t="n"/>
      <c r="AC174" s="189" t="n"/>
      <c r="AD174" s="189" t="n"/>
      <c r="AE174" s="189" t="n"/>
      <c r="AF174" s="189" t="n"/>
      <c r="AG174" s="189" t="n"/>
      <c r="AH174" s="189" t="n"/>
      <c r="AI174" s="51" t="inlineStr">
        <is>
          <t>U1θ</t>
        </is>
      </c>
    </row>
    <row r="175">
      <c r="B175" s="189" t="n"/>
      <c r="C175" s="189" t="n"/>
      <c r="D175" s="189" t="n"/>
      <c r="E175" s="189" t="n"/>
      <c r="F175" s="189" t="n"/>
      <c r="G175" s="189" t="n"/>
      <c r="H175" s="189" t="n"/>
      <c r="I175" s="189" t="n"/>
      <c r="J175" s="189" t="n"/>
      <c r="K175" s="189" t="n"/>
      <c r="L175" s="189" t="n"/>
      <c r="M175" s="189" t="n"/>
      <c r="N175" s="189" t="n"/>
      <c r="O175" s="189" t="n"/>
      <c r="P175" s="189" t="n"/>
      <c r="Q175" s="189" t="n"/>
      <c r="R175" s="189" t="n"/>
      <c r="S175" s="189" t="n"/>
      <c r="T175" s="189" t="n"/>
      <c r="U175" s="189" t="n"/>
      <c r="V175" s="189" t="n"/>
      <c r="W175" s="189" t="n"/>
      <c r="X175" s="189" t="n"/>
      <c r="Y175" s="189" t="n"/>
      <c r="Z175" s="189" t="n"/>
      <c r="AA175" s="189" t="n"/>
      <c r="AB175" s="189" t="n"/>
      <c r="AC175" s="189" t="n"/>
      <c r="AD175" s="189" t="n"/>
      <c r="AE175" s="189" t="n"/>
      <c r="AF175" s="189" t="n"/>
      <c r="AG175" s="189" t="n"/>
      <c r="AH175" s="189" t="n"/>
      <c r="AI175" s="51" t="inlineStr">
        <is>
          <t>U2X</t>
        </is>
      </c>
    </row>
    <row r="176">
      <c r="B176" s="189" t="n"/>
      <c r="C176" s="189" t="n"/>
      <c r="D176" s="189" t="n"/>
      <c r="E176" s="189" t="n"/>
      <c r="F176" s="189" t="n"/>
      <c r="G176" s="189" t="n"/>
      <c r="H176" s="189" t="n"/>
      <c r="I176" s="189" t="n"/>
      <c r="J176" s="189" t="n"/>
      <c r="K176" s="189" t="n"/>
      <c r="L176" s="189" t="n"/>
      <c r="M176" s="189" t="n"/>
      <c r="N176" s="189" t="n"/>
      <c r="O176" s="189" t="n"/>
      <c r="P176" s="189" t="n"/>
      <c r="Q176" s="189" t="n"/>
      <c r="R176" s="189" t="n"/>
      <c r="S176" s="189" t="n"/>
      <c r="T176" s="189" t="n"/>
      <c r="U176" s="189" t="n"/>
      <c r="V176" s="189" t="n"/>
      <c r="W176" s="189" t="n"/>
      <c r="X176" s="189" t="n"/>
      <c r="Y176" s="189" t="n"/>
      <c r="Z176" s="189" t="n"/>
      <c r="AA176" s="189" t="n"/>
      <c r="AB176" s="189" t="n"/>
      <c r="AC176" s="189" t="n"/>
      <c r="AD176" s="189" t="n"/>
      <c r="AE176" s="189" t="n"/>
      <c r="AF176" s="189" t="n"/>
      <c r="AG176" s="189" t="n"/>
      <c r="AH176" s="189" t="n"/>
      <c r="AI176" s="51" t="inlineStr">
        <is>
          <t>U2Y</t>
        </is>
      </c>
    </row>
    <row r="177">
      <c r="B177" s="189" t="n"/>
      <c r="C177" s="189" t="n"/>
      <c r="D177" s="189" t="n"/>
      <c r="E177" s="189" t="n"/>
      <c r="F177" s="189" t="n"/>
      <c r="G177" s="189" t="n"/>
      <c r="H177" s="189" t="n"/>
      <c r="I177" s="189" t="n"/>
      <c r="J177" s="189" t="n"/>
      <c r="K177" s="189" t="n"/>
      <c r="L177" s="189" t="n"/>
      <c r="M177" s="189" t="n"/>
      <c r="N177" s="189" t="n"/>
      <c r="O177" s="189" t="n"/>
      <c r="P177" s="189" t="n"/>
      <c r="Q177" s="189" t="n"/>
      <c r="R177" s="189" t="n"/>
      <c r="S177" s="189" t="n"/>
      <c r="T177" s="189" t="n"/>
      <c r="U177" s="189" t="n"/>
      <c r="V177" s="189" t="n"/>
      <c r="W177" s="189" t="n"/>
      <c r="X177" s="189" t="n"/>
      <c r="Y177" s="189" t="n"/>
      <c r="Z177" s="189" t="n"/>
      <c r="AA177" s="189" t="n"/>
      <c r="AB177" s="189" t="n"/>
      <c r="AC177" s="189" t="n"/>
      <c r="AD177" s="189" t="n"/>
      <c r="AE177" s="189" t="n"/>
      <c r="AF177" s="189" t="n"/>
      <c r="AG177" s="189" t="n"/>
      <c r="AH177" s="189" t="n"/>
      <c r="AI177" s="51" t="inlineStr">
        <is>
          <t>U2θ</t>
        </is>
      </c>
    </row>
    <row r="178">
      <c r="B178" s="189" t="n"/>
      <c r="C178" s="189" t="n"/>
      <c r="D178" s="189" t="n"/>
      <c r="E178" s="189" t="n"/>
      <c r="F178" s="189" t="n"/>
      <c r="G178" s="189" t="n"/>
      <c r="H178" s="189" t="n"/>
      <c r="I178" s="189" t="n"/>
      <c r="J178" s="189" t="n"/>
      <c r="K178" s="189" t="n"/>
      <c r="L178" s="189" t="n"/>
      <c r="M178" s="189" t="n"/>
      <c r="N178" s="189" t="n"/>
      <c r="O178" s="189" t="n"/>
      <c r="P178" s="189" t="n"/>
      <c r="Q178" s="189" t="n"/>
      <c r="R178" s="189" t="n"/>
      <c r="S178" s="189" t="n"/>
      <c r="T178" s="189" t="n"/>
      <c r="U178" s="189" t="n"/>
      <c r="V178" s="189" t="n"/>
      <c r="W178" s="189" t="n"/>
      <c r="X178" s="189" t="n"/>
      <c r="Y178" s="189" t="n"/>
      <c r="Z178" s="189" t="n"/>
      <c r="AA178" s="189" t="n"/>
      <c r="AB178" s="189" t="n"/>
      <c r="AC178" s="189" t="n"/>
      <c r="AD178" s="189" t="n"/>
      <c r="AE178" s="189" t="n"/>
      <c r="AF178" s="189" t="n"/>
      <c r="AG178" s="189" t="n"/>
      <c r="AH178" s="189" t="n"/>
      <c r="AI178" s="51" t="inlineStr">
        <is>
          <t>U3X</t>
        </is>
      </c>
    </row>
    <row r="179">
      <c r="B179" s="189" t="n"/>
      <c r="C179" s="189" t="n"/>
      <c r="D179" s="189" t="n"/>
      <c r="E179" s="189" t="n"/>
      <c r="F179" s="189" t="n"/>
      <c r="G179" s="189" t="n"/>
      <c r="H179" s="189" t="n"/>
      <c r="I179" s="189" t="n"/>
      <c r="J179" s="189" t="n"/>
      <c r="K179" s="189" t="n"/>
      <c r="L179" s="189" t="n"/>
      <c r="M179" s="189" t="n"/>
      <c r="N179" s="189" t="n"/>
      <c r="O179" s="189" t="n"/>
      <c r="P179" s="189" t="n"/>
      <c r="Q179" s="189" t="n"/>
      <c r="R179" s="189" t="n"/>
      <c r="S179" s="189" t="n"/>
      <c r="T179" s="189" t="n"/>
      <c r="U179" s="189" t="n"/>
      <c r="V179" s="189" t="n"/>
      <c r="W179" s="189" t="n"/>
      <c r="X179" s="189" t="n"/>
      <c r="Y179" s="189" t="n"/>
      <c r="Z179" s="189" t="n"/>
      <c r="AA179" s="189" t="n"/>
      <c r="AB179" s="189" t="n"/>
      <c r="AC179" s="189" t="n"/>
      <c r="AD179" s="189" t="n"/>
      <c r="AE179" s="189" t="n"/>
      <c r="AF179" s="189" t="n"/>
      <c r="AG179" s="189" t="n"/>
      <c r="AH179" s="189" t="n"/>
      <c r="AI179" s="51" t="inlineStr">
        <is>
          <t>U3Y</t>
        </is>
      </c>
    </row>
    <row r="180">
      <c r="B180" s="189" t="n"/>
      <c r="C180" s="189" t="n"/>
      <c r="D180" s="189" t="n"/>
      <c r="E180" s="189" t="n"/>
      <c r="F180" s="189" t="n"/>
      <c r="G180" s="189" t="n"/>
      <c r="H180" s="189" t="n"/>
      <c r="I180" s="189" t="n"/>
      <c r="J180" s="189" t="n"/>
      <c r="K180" s="189" t="n"/>
      <c r="L180" s="189" t="n"/>
      <c r="M180" s="189" t="n"/>
      <c r="N180" s="189" t="n"/>
      <c r="O180" s="189" t="n"/>
      <c r="P180" s="189" t="n"/>
      <c r="Q180" s="189" t="n"/>
      <c r="R180" s="189" t="n"/>
      <c r="S180" s="189" t="n"/>
      <c r="T180" s="189" t="n"/>
      <c r="U180" s="189" t="n"/>
      <c r="V180" s="189" t="n"/>
      <c r="W180" s="189" t="n"/>
      <c r="X180" s="189" t="n"/>
      <c r="Y180" s="189" t="n"/>
      <c r="Z180" s="189" t="n"/>
      <c r="AA180" s="189" t="n"/>
      <c r="AB180" s="189" t="n"/>
      <c r="AC180" s="189" t="n"/>
      <c r="AD180" s="189" t="n"/>
      <c r="AE180" s="189" t="n"/>
      <c r="AF180" s="189" t="n"/>
      <c r="AG180" s="189" t="n"/>
      <c r="AH180" s="189" t="n"/>
      <c r="AI180" s="51" t="inlineStr">
        <is>
          <t>U3θ</t>
        </is>
      </c>
    </row>
    <row r="181">
      <c r="B181" s="189" t="n"/>
      <c r="C181" s="189" t="n"/>
      <c r="D181" s="189" t="n"/>
      <c r="E181" s="189" t="n"/>
      <c r="F181" s="189" t="n"/>
      <c r="G181" s="189" t="n"/>
      <c r="H181" s="189" t="n"/>
      <c r="I181" s="189" t="n"/>
      <c r="J181" s="189" t="n"/>
      <c r="K181" s="189">
        <f>B164</f>
        <v/>
      </c>
      <c r="L181" s="189">
        <f>C164</f>
        <v/>
      </c>
      <c r="M181" s="189">
        <f>D164</f>
        <v/>
      </c>
      <c r="N181" s="189">
        <f>E164</f>
        <v/>
      </c>
      <c r="O181" s="189">
        <f>F164</f>
        <v/>
      </c>
      <c r="P181" s="189">
        <f>G164</f>
        <v/>
      </c>
      <c r="Q181" s="189" t="n"/>
      <c r="R181" s="189" t="n"/>
      <c r="S181" s="189" t="n"/>
      <c r="T181" s="189" t="n"/>
      <c r="U181" s="189" t="n"/>
      <c r="V181" s="189" t="n"/>
      <c r="W181" s="189" t="n"/>
      <c r="X181" s="189" t="n"/>
      <c r="Y181" s="189" t="n"/>
      <c r="Z181" s="189" t="n"/>
      <c r="AA181" s="189" t="n"/>
      <c r="AB181" s="189" t="n"/>
      <c r="AC181" s="189" t="n"/>
      <c r="AD181" s="189" t="n"/>
      <c r="AE181" s="189" t="n"/>
      <c r="AF181" s="189" t="n"/>
      <c r="AG181" s="189" t="n"/>
      <c r="AH181" s="189" t="n"/>
      <c r="AI181" s="51" t="inlineStr">
        <is>
          <t>U4X</t>
        </is>
      </c>
    </row>
    <row r="182">
      <c r="B182" s="189" t="n"/>
      <c r="C182" s="189" t="n"/>
      <c r="D182" s="189" t="n"/>
      <c r="E182" s="189" t="n"/>
      <c r="F182" s="189" t="n"/>
      <c r="G182" s="189" t="n"/>
      <c r="H182" s="189" t="n"/>
      <c r="I182" s="189" t="n"/>
      <c r="J182" s="189" t="n"/>
      <c r="K182" s="189">
        <f>B165</f>
        <v/>
      </c>
      <c r="L182" s="189">
        <f>C165</f>
        <v/>
      </c>
      <c r="M182" s="189">
        <f>D165</f>
        <v/>
      </c>
      <c r="N182" s="189">
        <f>E165</f>
        <v/>
      </c>
      <c r="O182" s="189">
        <f>F165</f>
        <v/>
      </c>
      <c r="P182" s="189">
        <f>G165</f>
        <v/>
      </c>
      <c r="Q182" s="189" t="n"/>
      <c r="R182" s="189" t="n"/>
      <c r="S182" s="189" t="n"/>
      <c r="T182" s="189" t="n"/>
      <c r="U182" s="189" t="n"/>
      <c r="V182" s="189" t="n"/>
      <c r="W182" s="189" t="n"/>
      <c r="X182" s="189" t="n"/>
      <c r="Y182" s="189" t="n"/>
      <c r="Z182" s="189" t="n"/>
      <c r="AA182" s="189" t="n"/>
      <c r="AB182" s="189" t="n"/>
      <c r="AC182" s="189" t="n"/>
      <c r="AD182" s="189" t="n"/>
      <c r="AE182" s="189" t="n"/>
      <c r="AF182" s="189" t="n"/>
      <c r="AG182" s="189" t="n"/>
      <c r="AH182" s="189" t="n"/>
      <c r="AI182" s="51" t="inlineStr">
        <is>
          <t>U4Y</t>
        </is>
      </c>
    </row>
    <row r="183">
      <c r="B183" s="189" t="n"/>
      <c r="C183" s="189" t="n"/>
      <c r="D183" s="189" t="n"/>
      <c r="E183" s="189" t="n"/>
      <c r="F183" s="189" t="n"/>
      <c r="G183" s="189" t="n"/>
      <c r="H183" s="189" t="n"/>
      <c r="I183" s="189" t="n"/>
      <c r="J183" s="189" t="n"/>
      <c r="K183" s="189">
        <f>B166</f>
        <v/>
      </c>
      <c r="L183" s="189">
        <f>C166</f>
        <v/>
      </c>
      <c r="M183" s="189">
        <f>D166</f>
        <v/>
      </c>
      <c r="N183" s="189">
        <f>E166</f>
        <v/>
      </c>
      <c r="O183" s="189">
        <f>F166</f>
        <v/>
      </c>
      <c r="P183" s="189">
        <f>G166</f>
        <v/>
      </c>
      <c r="Q183" s="189" t="n"/>
      <c r="R183" s="189" t="n"/>
      <c r="S183" s="189" t="n"/>
      <c r="T183" s="189" t="n"/>
      <c r="U183" s="189" t="n"/>
      <c r="V183" s="189" t="n"/>
      <c r="W183" s="189" t="n"/>
      <c r="X183" s="189" t="n"/>
      <c r="Y183" s="189" t="n"/>
      <c r="Z183" s="189" t="n"/>
      <c r="AA183" s="189" t="n"/>
      <c r="AB183" s="189" t="n"/>
      <c r="AC183" s="189" t="n"/>
      <c r="AD183" s="189" t="n"/>
      <c r="AE183" s="189" t="n"/>
      <c r="AF183" s="189" t="n"/>
      <c r="AG183" s="189" t="n"/>
      <c r="AH183" s="189" t="n"/>
      <c r="AI183" s="51" t="inlineStr">
        <is>
          <t>U4θ</t>
        </is>
      </c>
    </row>
    <row r="184">
      <c r="B184" s="189" t="n"/>
      <c r="C184" s="189" t="n"/>
      <c r="D184" s="189" t="n"/>
      <c r="E184" s="189" t="n"/>
      <c r="F184" s="189" t="n"/>
      <c r="G184" s="189" t="n"/>
      <c r="H184" s="189" t="n"/>
      <c r="I184" s="189" t="n"/>
      <c r="J184" s="189" t="n"/>
      <c r="K184" s="189">
        <f>B167</f>
        <v/>
      </c>
      <c r="L184" s="189">
        <f>C167</f>
        <v/>
      </c>
      <c r="M184" s="189">
        <f>D167</f>
        <v/>
      </c>
      <c r="N184" s="189">
        <f>E167</f>
        <v/>
      </c>
      <c r="O184" s="189">
        <f>F167</f>
        <v/>
      </c>
      <c r="P184" s="189">
        <f>G167</f>
        <v/>
      </c>
      <c r="Q184" s="189" t="n"/>
      <c r="R184" s="189" t="n"/>
      <c r="S184" s="189" t="n"/>
      <c r="T184" s="189" t="n"/>
      <c r="U184" s="189" t="n"/>
      <c r="V184" s="189" t="n"/>
      <c r="W184" s="189" t="n"/>
      <c r="X184" s="189" t="n"/>
      <c r="Y184" s="189" t="n"/>
      <c r="Z184" s="189" t="n"/>
      <c r="AA184" s="189" t="n"/>
      <c r="AB184" s="189" t="n"/>
      <c r="AC184" s="189" t="n"/>
      <c r="AD184" s="189" t="n"/>
      <c r="AE184" s="189" t="n"/>
      <c r="AF184" s="189" t="n"/>
      <c r="AG184" s="189" t="n"/>
      <c r="AH184" s="189" t="n"/>
      <c r="AI184" s="51" t="inlineStr">
        <is>
          <t>U5X</t>
        </is>
      </c>
    </row>
    <row r="185">
      <c r="B185" s="189" t="n"/>
      <c r="C185" s="189" t="n"/>
      <c r="D185" s="189" t="n"/>
      <c r="E185" s="189" t="n"/>
      <c r="F185" s="189" t="n"/>
      <c r="G185" s="189" t="n"/>
      <c r="H185" s="189" t="n"/>
      <c r="I185" s="189" t="n"/>
      <c r="J185" s="189" t="n"/>
      <c r="K185" s="189">
        <f>B168</f>
        <v/>
      </c>
      <c r="L185" s="189">
        <f>C168</f>
        <v/>
      </c>
      <c r="M185" s="189">
        <f>D168</f>
        <v/>
      </c>
      <c r="N185" s="189">
        <f>E168</f>
        <v/>
      </c>
      <c r="O185" s="189">
        <f>F168</f>
        <v/>
      </c>
      <c r="P185" s="189">
        <f>G168</f>
        <v/>
      </c>
      <c r="Q185" s="189" t="n"/>
      <c r="R185" s="189" t="n"/>
      <c r="S185" s="189" t="n"/>
      <c r="T185" s="189" t="n"/>
      <c r="U185" s="189" t="n"/>
      <c r="V185" s="189" t="n"/>
      <c r="W185" s="189" t="n"/>
      <c r="X185" s="189" t="n"/>
      <c r="Y185" s="189" t="n"/>
      <c r="Z185" s="189" t="n"/>
      <c r="AA185" s="189" t="n"/>
      <c r="AB185" s="189" t="n"/>
      <c r="AC185" s="189" t="n"/>
      <c r="AD185" s="189" t="n"/>
      <c r="AE185" s="189" t="n"/>
      <c r="AF185" s="189" t="n"/>
      <c r="AG185" s="189" t="n"/>
      <c r="AH185" s="189" t="n"/>
      <c r="AI185" s="51" t="inlineStr">
        <is>
          <t>U5Y</t>
        </is>
      </c>
    </row>
    <row r="186">
      <c r="B186" s="189" t="n"/>
      <c r="C186" s="189" t="n"/>
      <c r="D186" s="189" t="n"/>
      <c r="E186" s="189" t="n"/>
      <c r="F186" s="189" t="n"/>
      <c r="G186" s="189" t="n"/>
      <c r="H186" s="189" t="n"/>
      <c r="I186" s="189" t="n"/>
      <c r="J186" s="189" t="n"/>
      <c r="K186" s="189">
        <f>B169</f>
        <v/>
      </c>
      <c r="L186" s="189">
        <f>C169</f>
        <v/>
      </c>
      <c r="M186" s="189">
        <f>D169</f>
        <v/>
      </c>
      <c r="N186" s="189">
        <f>E169</f>
        <v/>
      </c>
      <c r="O186" s="189">
        <f>F169</f>
        <v/>
      </c>
      <c r="P186" s="189">
        <f>G169</f>
        <v/>
      </c>
      <c r="Q186" s="189" t="n"/>
      <c r="R186" s="189" t="n"/>
      <c r="S186" s="189" t="n"/>
      <c r="T186" s="189" t="n"/>
      <c r="U186" s="189" t="n"/>
      <c r="V186" s="189" t="n"/>
      <c r="W186" s="189" t="n"/>
      <c r="X186" s="189" t="n"/>
      <c r="Y186" s="189" t="n"/>
      <c r="Z186" s="189" t="n"/>
      <c r="AA186" s="189" t="n"/>
      <c r="AB186" s="189" t="n"/>
      <c r="AC186" s="189" t="n"/>
      <c r="AD186" s="189" t="n"/>
      <c r="AE186" s="189" t="n"/>
      <c r="AF186" s="189" t="n"/>
      <c r="AG186" s="189" t="n"/>
      <c r="AH186" s="189" t="n"/>
      <c r="AI186" s="51" t="inlineStr">
        <is>
          <t>U5θ</t>
        </is>
      </c>
    </row>
    <row r="187">
      <c r="A187" s="118" t="inlineStr">
        <is>
          <t>K4 =</t>
        </is>
      </c>
      <c r="B187" s="189" t="n"/>
      <c r="C187" s="189" t="n"/>
      <c r="D187" s="189" t="n"/>
      <c r="E187" s="189" t="n"/>
      <c r="F187" s="189" t="n"/>
      <c r="G187" s="189" t="n"/>
      <c r="H187" s="189" t="n"/>
      <c r="I187" s="189" t="n"/>
      <c r="J187" s="189" t="n"/>
      <c r="K187" s="189" t="n"/>
      <c r="L187" s="189" t="n"/>
      <c r="M187" s="189" t="n"/>
      <c r="N187" s="189" t="n"/>
      <c r="O187" s="189" t="n"/>
      <c r="P187" s="189" t="n"/>
      <c r="Q187" s="189" t="n"/>
      <c r="R187" s="189" t="n"/>
      <c r="S187" s="189" t="n"/>
      <c r="T187" s="189" t="n"/>
      <c r="U187" s="189" t="n"/>
      <c r="V187" s="189" t="n"/>
      <c r="W187" s="189" t="n"/>
      <c r="X187" s="189" t="n"/>
      <c r="Y187" s="189" t="n"/>
      <c r="Z187" s="189" t="n"/>
      <c r="AA187" s="189" t="n"/>
      <c r="AB187" s="189" t="n"/>
      <c r="AC187" s="189" t="n"/>
      <c r="AD187" s="189" t="n"/>
      <c r="AE187" s="189" t="n"/>
      <c r="AF187" s="189" t="n"/>
      <c r="AG187" s="189" t="n"/>
      <c r="AH187" s="189" t="n"/>
      <c r="AI187" s="51" t="inlineStr">
        <is>
          <t>U6X</t>
        </is>
      </c>
    </row>
    <row r="188">
      <c r="B188" s="189" t="n"/>
      <c r="C188" s="189" t="n"/>
      <c r="D188" s="189" t="n"/>
      <c r="E188" s="189" t="n"/>
      <c r="F188" s="189" t="n"/>
      <c r="G188" s="189" t="n"/>
      <c r="H188" s="189" t="n"/>
      <c r="I188" s="189" t="n"/>
      <c r="J188" s="189" t="n"/>
      <c r="K188" s="189" t="n"/>
      <c r="L188" s="189" t="n"/>
      <c r="M188" s="189" t="n"/>
      <c r="N188" s="189" t="n"/>
      <c r="O188" s="189" t="n"/>
      <c r="P188" s="189" t="n"/>
      <c r="Q188" s="189" t="n"/>
      <c r="R188" s="189" t="n"/>
      <c r="S188" s="189" t="n"/>
      <c r="T188" s="189" t="n"/>
      <c r="U188" s="189" t="n"/>
      <c r="V188" s="189" t="n"/>
      <c r="W188" s="189" t="n"/>
      <c r="X188" s="189" t="n"/>
      <c r="Y188" s="189" t="n"/>
      <c r="Z188" s="189" t="n"/>
      <c r="AA188" s="189" t="n"/>
      <c r="AB188" s="189" t="n"/>
      <c r="AC188" s="189" t="n"/>
      <c r="AD188" s="189" t="n"/>
      <c r="AE188" s="189" t="n"/>
      <c r="AF188" s="189" t="n"/>
      <c r="AG188" s="189" t="n"/>
      <c r="AH188" s="189" t="n"/>
      <c r="AI188" s="51" t="inlineStr">
        <is>
          <t>U6Y</t>
        </is>
      </c>
    </row>
    <row r="189">
      <c r="B189" s="189" t="n"/>
      <c r="C189" s="189" t="n"/>
      <c r="D189" s="189" t="n"/>
      <c r="E189" s="189" t="n"/>
      <c r="F189" s="189" t="n"/>
      <c r="G189" s="189" t="n"/>
      <c r="H189" s="189" t="n"/>
      <c r="I189" s="189" t="n"/>
      <c r="J189" s="189" t="n"/>
      <c r="K189" s="189" t="n"/>
      <c r="L189" s="189" t="n"/>
      <c r="M189" s="189" t="n"/>
      <c r="N189" s="189" t="n"/>
      <c r="O189" s="189" t="n"/>
      <c r="P189" s="189" t="n"/>
      <c r="Q189" s="189" t="n"/>
      <c r="R189" s="189" t="n"/>
      <c r="S189" s="189" t="n"/>
      <c r="T189" s="189" t="n"/>
      <c r="U189" s="189" t="n"/>
      <c r="V189" s="189" t="n"/>
      <c r="W189" s="189" t="n"/>
      <c r="X189" s="189" t="n"/>
      <c r="Y189" s="189" t="n"/>
      <c r="Z189" s="189" t="n"/>
      <c r="AA189" s="189" t="n"/>
      <c r="AB189" s="189" t="n"/>
      <c r="AC189" s="189" t="n"/>
      <c r="AD189" s="189" t="n"/>
      <c r="AE189" s="189" t="n"/>
      <c r="AF189" s="189" t="n"/>
      <c r="AG189" s="189" t="n"/>
      <c r="AH189" s="189" t="n"/>
      <c r="AI189" s="51" t="inlineStr">
        <is>
          <t>U6θ</t>
        </is>
      </c>
    </row>
    <row r="190">
      <c r="B190" s="189" t="n"/>
      <c r="C190" s="189" t="n"/>
      <c r="D190" s="189" t="n"/>
      <c r="E190" s="189" t="n"/>
      <c r="F190" s="189" t="n"/>
      <c r="G190" s="189" t="n"/>
      <c r="H190" s="189" t="n"/>
      <c r="I190" s="189" t="n"/>
      <c r="J190" s="189" t="n"/>
      <c r="K190" s="189" t="n"/>
      <c r="L190" s="189" t="n"/>
      <c r="M190" s="189" t="n"/>
      <c r="N190" s="189" t="n"/>
      <c r="O190" s="189" t="n"/>
      <c r="P190" s="189" t="n"/>
      <c r="Q190" s="189" t="n"/>
      <c r="R190" s="189" t="n"/>
      <c r="S190" s="189" t="n"/>
      <c r="T190" s="189" t="n"/>
      <c r="U190" s="189" t="n"/>
      <c r="V190" s="189" t="n"/>
      <c r="W190" s="189" t="n"/>
      <c r="X190" s="189" t="n"/>
      <c r="Y190" s="189" t="n"/>
      <c r="Z190" s="189" t="n"/>
      <c r="AA190" s="189" t="n"/>
      <c r="AB190" s="189" t="n"/>
      <c r="AC190" s="189" t="n"/>
      <c r="AD190" s="189" t="n"/>
      <c r="AE190" s="189" t="n"/>
      <c r="AF190" s="189" t="n"/>
      <c r="AG190" s="189" t="n"/>
      <c r="AH190" s="189" t="n"/>
      <c r="AI190" s="51" t="inlineStr">
        <is>
          <t>U7X</t>
        </is>
      </c>
    </row>
    <row r="191">
      <c r="B191" s="189" t="n"/>
      <c r="C191" s="189" t="n"/>
      <c r="D191" s="189" t="n"/>
      <c r="E191" s="189" t="n"/>
      <c r="F191" s="189" t="n"/>
      <c r="G191" s="189" t="n"/>
      <c r="H191" s="189" t="n"/>
      <c r="I191" s="189" t="n"/>
      <c r="J191" s="189" t="n"/>
      <c r="K191" s="189" t="n"/>
      <c r="L191" s="189" t="n"/>
      <c r="M191" s="189" t="n"/>
      <c r="N191" s="189" t="n"/>
      <c r="O191" s="189" t="n"/>
      <c r="P191" s="189" t="n"/>
      <c r="Q191" s="189" t="n"/>
      <c r="R191" s="189" t="n"/>
      <c r="S191" s="189" t="n"/>
      <c r="T191" s="189" t="n"/>
      <c r="U191" s="189" t="n"/>
      <c r="V191" s="189" t="n"/>
      <c r="W191" s="189" t="n"/>
      <c r="X191" s="189" t="n"/>
      <c r="Y191" s="189" t="n"/>
      <c r="Z191" s="189" t="n"/>
      <c r="AA191" s="189" t="n"/>
      <c r="AB191" s="189" t="n"/>
      <c r="AC191" s="189" t="n"/>
      <c r="AD191" s="189" t="n"/>
      <c r="AE191" s="189" t="n"/>
      <c r="AF191" s="189" t="n"/>
      <c r="AG191" s="189" t="n"/>
      <c r="AH191" s="189" t="n"/>
      <c r="AI191" s="51" t="inlineStr">
        <is>
          <t>U7Y</t>
        </is>
      </c>
    </row>
    <row r="192">
      <c r="B192" s="189" t="n"/>
      <c r="C192" s="189" t="n"/>
      <c r="D192" s="189" t="n"/>
      <c r="E192" s="189" t="n"/>
      <c r="F192" s="189" t="n"/>
      <c r="G192" s="189" t="n"/>
      <c r="H192" s="189" t="n"/>
      <c r="I192" s="189" t="n"/>
      <c r="J192" s="189" t="n"/>
      <c r="K192" s="189" t="n"/>
      <c r="L192" s="189" t="n"/>
      <c r="M192" s="189" t="n"/>
      <c r="N192" s="189" t="n"/>
      <c r="O192" s="189" t="n"/>
      <c r="P192" s="189" t="n"/>
      <c r="Q192" s="189" t="n"/>
      <c r="R192" s="189" t="n"/>
      <c r="S192" s="189" t="n"/>
      <c r="T192" s="189" t="n"/>
      <c r="U192" s="189" t="n"/>
      <c r="V192" s="189" t="n"/>
      <c r="W192" s="189" t="n"/>
      <c r="X192" s="189" t="n"/>
      <c r="Y192" s="189" t="n"/>
      <c r="Z192" s="189" t="n"/>
      <c r="AA192" s="189" t="n"/>
      <c r="AB192" s="189" t="n"/>
      <c r="AC192" s="189" t="n"/>
      <c r="AD192" s="189" t="n"/>
      <c r="AE192" s="189" t="n"/>
      <c r="AF192" s="189" t="n"/>
      <c r="AG192" s="189" t="n"/>
      <c r="AH192" s="189" t="n"/>
      <c r="AI192" s="51" t="inlineStr">
        <is>
          <t>U7θ</t>
        </is>
      </c>
    </row>
    <row r="193">
      <c r="B193" s="189" t="n"/>
      <c r="C193" s="189" t="n"/>
      <c r="D193" s="189" t="n"/>
      <c r="E193" s="189" t="n"/>
      <c r="F193" s="189" t="n"/>
      <c r="G193" s="189" t="n"/>
      <c r="H193" s="189" t="n"/>
      <c r="I193" s="189" t="n"/>
      <c r="J193" s="189" t="n"/>
      <c r="K193" s="189" t="n"/>
      <c r="L193" s="189" t="n"/>
      <c r="M193" s="189" t="n"/>
      <c r="N193" s="189" t="n"/>
      <c r="O193" s="189" t="n"/>
      <c r="P193" s="189" t="n"/>
      <c r="Q193" s="189" t="n"/>
      <c r="R193" s="189" t="n"/>
      <c r="S193" s="189" t="n"/>
      <c r="T193" s="189" t="n"/>
      <c r="U193" s="189" t="n"/>
      <c r="V193" s="189" t="n"/>
      <c r="W193" s="189" t="n"/>
      <c r="X193" s="189" t="n"/>
      <c r="Y193" s="189" t="n"/>
      <c r="Z193" s="189" t="n"/>
      <c r="AA193" s="189" t="n"/>
      <c r="AB193" s="189" t="n"/>
      <c r="AC193" s="189" t="n"/>
      <c r="AD193" s="189" t="n"/>
      <c r="AE193" s="189" t="n"/>
      <c r="AF193" s="189" t="n"/>
      <c r="AG193" s="189" t="n"/>
      <c r="AH193" s="189" t="n"/>
      <c r="AI193" s="51" t="inlineStr">
        <is>
          <t>U8X</t>
        </is>
      </c>
    </row>
    <row r="194">
      <c r="B194" s="189" t="n"/>
      <c r="C194" s="189" t="n"/>
      <c r="D194" s="189" t="n"/>
      <c r="E194" s="189" t="n"/>
      <c r="F194" s="189" t="n"/>
      <c r="G194" s="189" t="n"/>
      <c r="H194" s="189" t="n"/>
      <c r="I194" s="189" t="n"/>
      <c r="J194" s="189" t="n"/>
      <c r="K194" s="189" t="n"/>
      <c r="L194" s="189" t="n"/>
      <c r="M194" s="189" t="n"/>
      <c r="N194" s="189" t="n"/>
      <c r="O194" s="189" t="n"/>
      <c r="P194" s="189" t="n"/>
      <c r="Q194" s="189" t="n"/>
      <c r="R194" s="189" t="n"/>
      <c r="S194" s="189" t="n"/>
      <c r="T194" s="189" t="n"/>
      <c r="U194" s="189" t="n"/>
      <c r="V194" s="189" t="n"/>
      <c r="W194" s="189" t="n"/>
      <c r="X194" s="189" t="n"/>
      <c r="Y194" s="189" t="n"/>
      <c r="Z194" s="189" t="n"/>
      <c r="AA194" s="189" t="n"/>
      <c r="AB194" s="189" t="n"/>
      <c r="AC194" s="189" t="n"/>
      <c r="AD194" s="189" t="n"/>
      <c r="AE194" s="189" t="n"/>
      <c r="AF194" s="189" t="n"/>
      <c r="AG194" s="189" t="n"/>
      <c r="AH194" s="189" t="n"/>
      <c r="AI194" s="51" t="inlineStr">
        <is>
          <t>U8Y</t>
        </is>
      </c>
    </row>
    <row r="195">
      <c r="B195" s="189" t="n"/>
      <c r="C195" s="189" t="n"/>
      <c r="D195" s="189" t="n"/>
      <c r="E195" s="189" t="n"/>
      <c r="F195" s="189" t="n"/>
      <c r="G195" s="189" t="n"/>
      <c r="H195" s="189" t="n"/>
      <c r="I195" s="189" t="n"/>
      <c r="J195" s="189" t="n"/>
      <c r="K195" s="189" t="n"/>
      <c r="L195" s="189" t="n"/>
      <c r="M195" s="189" t="n"/>
      <c r="N195" s="189" t="n"/>
      <c r="O195" s="189" t="n"/>
      <c r="P195" s="189" t="n"/>
      <c r="Q195" s="189" t="n"/>
      <c r="R195" s="189" t="n"/>
      <c r="S195" s="189" t="n"/>
      <c r="T195" s="189" t="n"/>
      <c r="U195" s="189" t="n"/>
      <c r="V195" s="189" t="n"/>
      <c r="W195" s="189" t="n"/>
      <c r="X195" s="189" t="n"/>
      <c r="Y195" s="189" t="n"/>
      <c r="Z195" s="189" t="n"/>
      <c r="AA195" s="189" t="n"/>
      <c r="AB195" s="189" t="n"/>
      <c r="AC195" s="189" t="n"/>
      <c r="AD195" s="189" t="n"/>
      <c r="AE195" s="189" t="n"/>
      <c r="AF195" s="189" t="n"/>
      <c r="AG195" s="189" t="n"/>
      <c r="AH195" s="189" t="n"/>
      <c r="AI195" s="51" t="inlineStr">
        <is>
          <t>U8θ</t>
        </is>
      </c>
    </row>
    <row r="196">
      <c r="B196" s="189" t="n"/>
      <c r="C196" s="189" t="n"/>
      <c r="D196" s="189" t="n"/>
      <c r="E196" s="189" t="n"/>
      <c r="F196" s="189" t="n"/>
      <c r="G196" s="189" t="n"/>
      <c r="H196" s="189" t="n"/>
      <c r="I196" s="189" t="n"/>
      <c r="J196" s="189" t="n"/>
      <c r="K196" s="189" t="n"/>
      <c r="L196" s="189" t="n"/>
      <c r="M196" s="189" t="n"/>
      <c r="N196" s="189" t="n"/>
      <c r="O196" s="189" t="n"/>
      <c r="P196" s="189" t="n"/>
      <c r="Q196" s="189" t="n"/>
      <c r="R196" s="189" t="n"/>
      <c r="S196" s="189" t="n"/>
      <c r="T196" s="189" t="n"/>
      <c r="U196" s="189" t="n"/>
      <c r="V196" s="189" t="n"/>
      <c r="W196" s="189" t="n"/>
      <c r="X196" s="189" t="n"/>
      <c r="Y196" s="189" t="n"/>
      <c r="Z196" s="189" t="n"/>
      <c r="AA196" s="189" t="n"/>
      <c r="AB196" s="189" t="n"/>
      <c r="AC196" s="189" t="n"/>
      <c r="AD196" s="189" t="n"/>
      <c r="AE196" s="189" t="n"/>
      <c r="AF196" s="189" t="n"/>
      <c r="AG196" s="189" t="n"/>
      <c r="AH196" s="189" t="n"/>
      <c r="AI196" s="51" t="inlineStr">
        <is>
          <t>U9X</t>
        </is>
      </c>
    </row>
    <row r="197">
      <c r="B197" s="189" t="n"/>
      <c r="C197" s="189" t="n"/>
      <c r="D197" s="189" t="n"/>
      <c r="E197" s="189" t="n"/>
      <c r="F197" s="189" t="n"/>
      <c r="G197" s="189" t="n"/>
      <c r="H197" s="189" t="n"/>
      <c r="I197" s="189" t="n"/>
      <c r="J197" s="189" t="n"/>
      <c r="K197" s="189" t="n"/>
      <c r="L197" s="189" t="n"/>
      <c r="M197" s="189" t="n"/>
      <c r="N197" s="189" t="n"/>
      <c r="O197" s="189" t="n"/>
      <c r="P197" s="189" t="n"/>
      <c r="Q197" s="189" t="n"/>
      <c r="R197" s="189" t="n"/>
      <c r="S197" s="189" t="n"/>
      <c r="T197" s="189" t="n"/>
      <c r="U197" s="189" t="n"/>
      <c r="V197" s="189" t="n"/>
      <c r="W197" s="189" t="n"/>
      <c r="X197" s="189" t="n"/>
      <c r="Y197" s="189" t="n"/>
      <c r="Z197" s="189" t="n"/>
      <c r="AA197" s="189" t="n"/>
      <c r="AB197" s="189" t="n"/>
      <c r="AC197" s="189" t="n"/>
      <c r="AD197" s="189" t="n"/>
      <c r="AE197" s="189" t="n"/>
      <c r="AF197" s="189" t="n"/>
      <c r="AG197" s="189" t="n"/>
      <c r="AH197" s="189" t="n"/>
      <c r="AI197" s="51" t="inlineStr">
        <is>
          <t>U9Y</t>
        </is>
      </c>
    </row>
    <row r="198">
      <c r="B198" s="189" t="n"/>
      <c r="C198" s="189" t="n"/>
      <c r="D198" s="189" t="n"/>
      <c r="E198" s="189" t="n"/>
      <c r="F198" s="189" t="n"/>
      <c r="G198" s="189" t="n"/>
      <c r="H198" s="189" t="n"/>
      <c r="I198" s="189" t="n"/>
      <c r="J198" s="189" t="n"/>
      <c r="K198" s="189" t="n"/>
      <c r="L198" s="189" t="n"/>
      <c r="M198" s="189" t="n"/>
      <c r="N198" s="189" t="n"/>
      <c r="O198" s="189" t="n"/>
      <c r="P198" s="189" t="n"/>
      <c r="Q198" s="189" t="n"/>
      <c r="R198" s="189" t="n"/>
      <c r="S198" s="189" t="n"/>
      <c r="T198" s="189" t="n"/>
      <c r="U198" s="189" t="n"/>
      <c r="V198" s="189" t="n"/>
      <c r="W198" s="189" t="n"/>
      <c r="X198" s="189" t="n"/>
      <c r="Y198" s="189" t="n"/>
      <c r="Z198" s="189" t="n"/>
      <c r="AA198" s="189" t="n"/>
      <c r="AB198" s="189" t="n"/>
      <c r="AC198" s="189" t="n"/>
      <c r="AD198" s="189" t="n"/>
      <c r="AE198" s="189" t="n"/>
      <c r="AF198" s="189" t="n"/>
      <c r="AG198" s="189" t="n"/>
      <c r="AH198" s="189" t="n"/>
      <c r="AI198" s="51" t="inlineStr">
        <is>
          <t>U9θ</t>
        </is>
      </c>
    </row>
    <row r="199">
      <c r="B199" s="189" t="n"/>
      <c r="C199" s="189" t="n"/>
      <c r="D199" s="189" t="n"/>
      <c r="E199" s="189" t="n"/>
      <c r="F199" s="189" t="n"/>
      <c r="G199" s="189" t="n"/>
      <c r="H199" s="189" t="n"/>
      <c r="I199" s="189" t="n"/>
      <c r="J199" s="189" t="n"/>
      <c r="K199" s="189" t="n"/>
      <c r="L199" s="189" t="n"/>
      <c r="M199" s="189" t="n"/>
      <c r="N199" s="189" t="n"/>
      <c r="O199" s="189" t="n"/>
      <c r="P199" s="189" t="n"/>
      <c r="Q199" s="189" t="n"/>
      <c r="R199" s="189" t="n"/>
      <c r="S199" s="189" t="n"/>
      <c r="T199" s="189" t="n"/>
      <c r="U199" s="189" t="n"/>
      <c r="V199" s="189" t="n"/>
      <c r="W199" s="189" t="n"/>
      <c r="X199" s="189" t="n"/>
      <c r="Y199" s="189" t="n"/>
      <c r="Z199" s="189" t="n"/>
      <c r="AA199" s="189" t="n"/>
      <c r="AB199" s="189" t="n"/>
      <c r="AC199" s="189" t="n"/>
      <c r="AD199" s="189" t="n"/>
      <c r="AE199" s="189" t="n"/>
      <c r="AF199" s="189" t="n"/>
      <c r="AG199" s="189" t="n"/>
      <c r="AH199" s="189" t="n"/>
      <c r="AI199" s="51" t="inlineStr">
        <is>
          <t>U10X</t>
        </is>
      </c>
    </row>
    <row r="200">
      <c r="B200" s="189" t="n"/>
      <c r="C200" s="189" t="n"/>
      <c r="D200" s="189" t="n"/>
      <c r="E200" s="189" t="n"/>
      <c r="F200" s="189" t="n"/>
      <c r="G200" s="189" t="n"/>
      <c r="H200" s="189" t="n"/>
      <c r="I200" s="189" t="n"/>
      <c r="J200" s="189" t="n"/>
      <c r="K200" s="189" t="n"/>
      <c r="L200" s="189" t="n"/>
      <c r="M200" s="189" t="n"/>
      <c r="N200" s="189" t="n"/>
      <c r="O200" s="189" t="n"/>
      <c r="P200" s="189" t="n"/>
      <c r="Q200" s="189" t="n"/>
      <c r="R200" s="189" t="n"/>
      <c r="S200" s="189" t="n"/>
      <c r="T200" s="189" t="n"/>
      <c r="U200" s="189" t="n"/>
      <c r="V200" s="189" t="n"/>
      <c r="W200" s="189" t="n"/>
      <c r="X200" s="189" t="n"/>
      <c r="Y200" s="189" t="n"/>
      <c r="Z200" s="189" t="n"/>
      <c r="AA200" s="189" t="n"/>
      <c r="AB200" s="189" t="n"/>
      <c r="AC200" s="189" t="n"/>
      <c r="AD200" s="189" t="n"/>
      <c r="AE200" s="189" t="n"/>
      <c r="AF200" s="189" t="n"/>
      <c r="AG200" s="189" t="n"/>
      <c r="AH200" s="189" t="n"/>
      <c r="AI200" s="51" t="inlineStr">
        <is>
          <t>U10Y</t>
        </is>
      </c>
    </row>
    <row r="201">
      <c r="B201" s="189" t="n"/>
      <c r="C201" s="189" t="n"/>
      <c r="D201" s="189" t="n"/>
      <c r="E201" s="189" t="n"/>
      <c r="F201" s="189" t="n"/>
      <c r="G201" s="189" t="n"/>
      <c r="H201" s="189" t="n"/>
      <c r="I201" s="189" t="n"/>
      <c r="J201" s="189" t="n"/>
      <c r="K201" s="189" t="n"/>
      <c r="L201" s="189" t="n"/>
      <c r="M201" s="189" t="n"/>
      <c r="N201" s="189" t="n"/>
      <c r="O201" s="189" t="n"/>
      <c r="P201" s="189" t="n"/>
      <c r="Q201" s="189" t="n"/>
      <c r="R201" s="189" t="n"/>
      <c r="S201" s="189" t="n"/>
      <c r="T201" s="189" t="n"/>
      <c r="U201" s="189" t="n"/>
      <c r="V201" s="189" t="n"/>
      <c r="W201" s="189" t="n"/>
      <c r="X201" s="189" t="n"/>
      <c r="Y201" s="189" t="n"/>
      <c r="Z201" s="189" t="n"/>
      <c r="AA201" s="189" t="n"/>
      <c r="AB201" s="189" t="n"/>
      <c r="AC201" s="189" t="n"/>
      <c r="AD201" s="189" t="n"/>
      <c r="AE201" s="189" t="n"/>
      <c r="AF201" s="189" t="n"/>
      <c r="AG201" s="189" t="n"/>
      <c r="AH201" s="189" t="n"/>
      <c r="AI201" s="51" t="inlineStr">
        <is>
          <t>U10θ</t>
        </is>
      </c>
    </row>
    <row r="202">
      <c r="B202" s="189" t="n"/>
      <c r="C202" s="189" t="n"/>
      <c r="D202" s="189" t="n"/>
      <c r="E202" s="189" t="n"/>
      <c r="F202" s="189" t="n"/>
      <c r="G202" s="189" t="n"/>
      <c r="H202" s="189" t="n"/>
      <c r="I202" s="189" t="n"/>
      <c r="J202" s="189" t="n"/>
      <c r="K202" s="189" t="n"/>
      <c r="L202" s="189" t="n"/>
      <c r="M202" s="189" t="n"/>
      <c r="N202" s="189" t="n"/>
      <c r="O202" s="189" t="n"/>
      <c r="P202" s="189" t="n"/>
      <c r="Q202" s="189" t="n"/>
      <c r="R202" s="189" t="n"/>
      <c r="S202" s="189" t="n"/>
      <c r="T202" s="189" t="n"/>
      <c r="U202" s="189" t="n"/>
      <c r="V202" s="189" t="n"/>
      <c r="W202" s="189" t="n"/>
      <c r="X202" s="189" t="n"/>
      <c r="Y202" s="189" t="n"/>
      <c r="Z202" s="189" t="n"/>
      <c r="AA202" s="189" t="n"/>
      <c r="AB202" s="189" t="n"/>
      <c r="AC202" s="189" t="n"/>
      <c r="AD202" s="189" t="n"/>
      <c r="AE202" s="189" t="n"/>
      <c r="AF202" s="189" t="n"/>
      <c r="AG202" s="189" t="n"/>
      <c r="AH202" s="189" t="n"/>
      <c r="AI202" s="51" t="inlineStr">
        <is>
          <t>U11X</t>
        </is>
      </c>
    </row>
    <row r="203">
      <c r="B203" s="189" t="n"/>
      <c r="C203" s="189" t="n"/>
      <c r="D203" s="189" t="n"/>
      <c r="E203" s="189" t="n"/>
      <c r="F203" s="189" t="n"/>
      <c r="G203" s="189" t="n"/>
      <c r="H203" s="189" t="n"/>
      <c r="I203" s="189" t="n"/>
      <c r="J203" s="189" t="n"/>
      <c r="K203" s="189" t="n"/>
      <c r="L203" s="189" t="n"/>
      <c r="M203" s="189" t="n"/>
      <c r="N203" s="189" t="n"/>
      <c r="O203" s="189" t="n"/>
      <c r="P203" s="189" t="n"/>
      <c r="Q203" s="189" t="n"/>
      <c r="R203" s="189" t="n"/>
      <c r="S203" s="189" t="n"/>
      <c r="T203" s="189" t="n"/>
      <c r="U203" s="189" t="n"/>
      <c r="V203" s="189" t="n"/>
      <c r="W203" s="189" t="n"/>
      <c r="X203" s="189" t="n"/>
      <c r="Y203" s="189" t="n"/>
      <c r="Z203" s="189" t="n"/>
      <c r="AA203" s="189" t="n"/>
      <c r="AB203" s="189" t="n"/>
      <c r="AC203" s="189" t="n"/>
      <c r="AD203" s="189" t="n"/>
      <c r="AE203" s="189" t="n"/>
      <c r="AF203" s="189" t="n"/>
      <c r="AG203" s="189" t="n"/>
      <c r="AH203" s="189" t="n"/>
      <c r="AI203" s="51" t="inlineStr">
        <is>
          <t>U11Y</t>
        </is>
      </c>
    </row>
    <row r="204">
      <c r="B204" s="189" t="n"/>
      <c r="C204" s="189" t="n"/>
      <c r="D204" s="189" t="n"/>
      <c r="E204" s="189" t="n"/>
      <c r="F204" s="189" t="n"/>
      <c r="G204" s="189" t="n"/>
      <c r="H204" s="189" t="n"/>
      <c r="I204" s="189" t="n"/>
      <c r="J204" s="189" t="n"/>
      <c r="K204" s="189" t="n"/>
      <c r="L204" s="189" t="n"/>
      <c r="M204" s="189" t="n"/>
      <c r="N204" s="189" t="n"/>
      <c r="O204" s="189" t="n"/>
      <c r="P204" s="189" t="n"/>
      <c r="Q204" s="189" t="n"/>
      <c r="R204" s="189" t="n"/>
      <c r="S204" s="189" t="n"/>
      <c r="T204" s="189" t="n"/>
      <c r="U204" s="189" t="n"/>
      <c r="V204" s="189" t="n"/>
      <c r="W204" s="189" t="n"/>
      <c r="X204" s="189" t="n"/>
      <c r="Y204" s="189" t="n"/>
      <c r="Z204" s="189" t="n"/>
      <c r="AA204" s="189" t="n"/>
      <c r="AB204" s="189" t="n"/>
      <c r="AC204" s="189" t="n"/>
      <c r="AD204" s="189" t="n"/>
      <c r="AE204" s="189" t="n"/>
      <c r="AF204" s="189" t="n"/>
      <c r="AG204" s="189" t="n"/>
      <c r="AH204" s="189" t="n"/>
      <c r="AI204" s="51" t="inlineStr">
        <is>
          <t>U11θ</t>
        </is>
      </c>
    </row>
    <row r="206">
      <c r="B206" s="51">
        <f>IF(C26="","", CONCATENATE("U",C26,C$21))</f>
        <v/>
      </c>
      <c r="C206" s="51">
        <f>IF(D26="","", CONCATENATE("U",D26,D$21))</f>
        <v/>
      </c>
      <c r="D206" s="51">
        <f>IF(E26="","", CONCATENATE("U",E26,E$21))</f>
        <v/>
      </c>
      <c r="E206" s="51">
        <f>IF(F26="","", CONCATENATE("U",F26,F$21))</f>
        <v/>
      </c>
      <c r="F206" s="51">
        <f>IF(G26="","", CONCATENATE("U",G26,G$21))</f>
        <v/>
      </c>
      <c r="G206" s="51">
        <f>IF(H26="","", CONCATENATE("U",H26,H$21))</f>
        <v/>
      </c>
    </row>
    <row r="207">
      <c r="B207" s="8">
        <f>IF(I13="", 0, O13*J13*J13+P13*K13*K13)</f>
        <v/>
      </c>
      <c r="C207" s="189">
        <f>IF(I13="", 0, (O13-P13)*(J13*K13))</f>
        <v/>
      </c>
      <c r="D207" s="189">
        <f>IF(I13="", 0, -Q13*K13)</f>
        <v/>
      </c>
      <c r="E207" s="189">
        <f>-B207</f>
        <v/>
      </c>
      <c r="F207" s="189">
        <f>-C207</f>
        <v/>
      </c>
      <c r="G207" s="189">
        <f>D207</f>
        <v/>
      </c>
      <c r="H207" s="51">
        <f>B206</f>
        <v/>
      </c>
    </row>
    <row r="208">
      <c r="B208" s="189">
        <f>C207</f>
        <v/>
      </c>
      <c r="C208" s="8">
        <f>IF(I13="", 0, O13*K13*K13+P13*J13*J13)</f>
        <v/>
      </c>
      <c r="D208" s="189">
        <f>IF(I13="", 0, Q13*J13)</f>
        <v/>
      </c>
      <c r="E208" s="189">
        <f>-B208</f>
        <v/>
      </c>
      <c r="F208" s="189">
        <f>-C208</f>
        <v/>
      </c>
      <c r="G208" s="189">
        <f>D208</f>
        <v/>
      </c>
      <c r="H208" s="51">
        <f>C206</f>
        <v/>
      </c>
    </row>
    <row r="209">
      <c r="A209" s="118" t="inlineStr">
        <is>
          <t>K5 =</t>
        </is>
      </c>
      <c r="B209" s="189">
        <f>D207</f>
        <v/>
      </c>
      <c r="C209" s="189">
        <f>D208</f>
        <v/>
      </c>
      <c r="D209" s="8">
        <f>IF(I13="", 0, R13)</f>
        <v/>
      </c>
      <c r="E209" s="189">
        <f>-B209</f>
        <v/>
      </c>
      <c r="F209" s="189">
        <f>-C209</f>
        <v/>
      </c>
      <c r="G209" s="189">
        <f>IF(I13="", 0, S13)</f>
        <v/>
      </c>
      <c r="H209" s="51">
        <f>D206</f>
        <v/>
      </c>
    </row>
    <row r="210">
      <c r="B210" s="189">
        <f>E207</f>
        <v/>
      </c>
      <c r="C210" s="189">
        <f>E208</f>
        <v/>
      </c>
      <c r="D210" s="189">
        <f>E209</f>
        <v/>
      </c>
      <c r="E210" s="8">
        <f>B207</f>
        <v/>
      </c>
      <c r="F210" s="189">
        <f>C207</f>
        <v/>
      </c>
      <c r="G210" s="189">
        <f>-D207</f>
        <v/>
      </c>
      <c r="H210" s="51">
        <f>E206</f>
        <v/>
      </c>
    </row>
    <row r="211">
      <c r="B211" s="189">
        <f>F207</f>
        <v/>
      </c>
      <c r="C211" s="189">
        <f>F208</f>
        <v/>
      </c>
      <c r="D211" s="189">
        <f>F209</f>
        <v/>
      </c>
      <c r="E211" s="189">
        <f>F210</f>
        <v/>
      </c>
      <c r="F211" s="8">
        <f>C208</f>
        <v/>
      </c>
      <c r="G211" s="189">
        <f>-D208</f>
        <v/>
      </c>
      <c r="H211" s="51">
        <f>F206</f>
        <v/>
      </c>
    </row>
    <row r="212">
      <c r="B212" s="189">
        <f>G207</f>
        <v/>
      </c>
      <c r="C212" s="189">
        <f>G208</f>
        <v/>
      </c>
      <c r="D212" s="189">
        <f>G209</f>
        <v/>
      </c>
      <c r="E212" s="189">
        <f>G210</f>
        <v/>
      </c>
      <c r="F212" s="189">
        <f>G211</f>
        <v/>
      </c>
      <c r="G212" s="8">
        <f>D209</f>
        <v/>
      </c>
      <c r="H212" s="51">
        <f>G206</f>
        <v/>
      </c>
    </row>
    <row r="214">
      <c r="B214" s="51" t="inlineStr">
        <is>
          <t>U1X</t>
        </is>
      </c>
      <c r="C214" s="51" t="inlineStr">
        <is>
          <t>U1Y</t>
        </is>
      </c>
      <c r="D214" s="51" t="inlineStr">
        <is>
          <t>U1θ</t>
        </is>
      </c>
      <c r="E214" s="51" t="inlineStr">
        <is>
          <t>U2X</t>
        </is>
      </c>
      <c r="F214" s="51" t="inlineStr">
        <is>
          <t>U2Y</t>
        </is>
      </c>
      <c r="G214" s="51" t="inlineStr">
        <is>
          <t>U2θ</t>
        </is>
      </c>
      <c r="H214" s="51" t="inlineStr">
        <is>
          <t>U3X</t>
        </is>
      </c>
      <c r="I214" s="51" t="inlineStr">
        <is>
          <t>U3Y</t>
        </is>
      </c>
      <c r="J214" s="51" t="inlineStr">
        <is>
          <t>U3θ</t>
        </is>
      </c>
      <c r="K214" s="51" t="inlineStr">
        <is>
          <t>U4X</t>
        </is>
      </c>
      <c r="L214" s="51" t="inlineStr">
        <is>
          <t>U4Y</t>
        </is>
      </c>
      <c r="M214" s="51" t="inlineStr">
        <is>
          <t>U4θ</t>
        </is>
      </c>
      <c r="N214" s="51" t="inlineStr">
        <is>
          <t>U5X</t>
        </is>
      </c>
      <c r="O214" s="51" t="inlineStr">
        <is>
          <t>U5Y</t>
        </is>
      </c>
      <c r="P214" s="51" t="inlineStr">
        <is>
          <t>U5θ</t>
        </is>
      </c>
      <c r="Q214" s="51" t="inlineStr">
        <is>
          <t>U6X</t>
        </is>
      </c>
      <c r="R214" s="51" t="inlineStr">
        <is>
          <t>U6Y</t>
        </is>
      </c>
      <c r="S214" s="51" t="inlineStr">
        <is>
          <t>U6θ</t>
        </is>
      </c>
      <c r="T214" s="51" t="inlineStr">
        <is>
          <t>U7X</t>
        </is>
      </c>
      <c r="U214" s="51" t="inlineStr">
        <is>
          <t>U7Y</t>
        </is>
      </c>
      <c r="V214" s="51" t="inlineStr">
        <is>
          <t>U7θ</t>
        </is>
      </c>
      <c r="W214" s="51" t="inlineStr">
        <is>
          <t>U8X</t>
        </is>
      </c>
      <c r="X214" s="51" t="inlineStr">
        <is>
          <t>U8Y</t>
        </is>
      </c>
      <c r="Y214" s="51" t="inlineStr">
        <is>
          <t>U8θ</t>
        </is>
      </c>
      <c r="Z214" s="51" t="inlineStr">
        <is>
          <t>U9X</t>
        </is>
      </c>
      <c r="AA214" s="51" t="inlineStr">
        <is>
          <t>U9Y</t>
        </is>
      </c>
      <c r="AB214" s="51" t="inlineStr">
        <is>
          <t>U9θ</t>
        </is>
      </c>
      <c r="AC214" s="51" t="inlineStr">
        <is>
          <t>U10X</t>
        </is>
      </c>
      <c r="AD214" s="51" t="inlineStr">
        <is>
          <t>U10Y</t>
        </is>
      </c>
      <c r="AE214" s="51" t="inlineStr">
        <is>
          <t>U10θ</t>
        </is>
      </c>
      <c r="AF214" s="51" t="inlineStr">
        <is>
          <t>U11X</t>
        </is>
      </c>
      <c r="AG214" s="51" t="inlineStr">
        <is>
          <t>U11Y</t>
        </is>
      </c>
      <c r="AH214" s="51" t="inlineStr">
        <is>
          <t>U11θ</t>
        </is>
      </c>
    </row>
    <row r="215">
      <c r="B215" s="189" t="n"/>
      <c r="C215" s="189" t="n"/>
      <c r="D215" s="189" t="n"/>
      <c r="E215" s="189" t="n"/>
      <c r="F215" s="189" t="n"/>
      <c r="G215" s="189" t="n"/>
      <c r="H215" s="189" t="n"/>
      <c r="I215" s="189" t="n"/>
      <c r="J215" s="189" t="n"/>
      <c r="K215" s="189" t="n"/>
      <c r="L215" s="189" t="n"/>
      <c r="M215" s="189" t="n"/>
      <c r="N215" s="189" t="n"/>
      <c r="O215" s="189" t="n"/>
      <c r="P215" s="189" t="n"/>
      <c r="Q215" s="189" t="n"/>
      <c r="R215" s="189" t="n"/>
      <c r="S215" s="189" t="n"/>
      <c r="T215" s="189" t="n"/>
      <c r="U215" s="189" t="n"/>
      <c r="V215" s="189" t="n"/>
      <c r="W215" s="189" t="n"/>
      <c r="X215" s="189" t="n"/>
      <c r="Y215" s="189" t="n"/>
      <c r="Z215" s="189" t="n"/>
      <c r="AA215" s="189" t="n"/>
      <c r="AB215" s="189" t="n"/>
      <c r="AC215" s="189" t="n"/>
      <c r="AD215" s="189" t="n"/>
      <c r="AE215" s="189" t="n"/>
      <c r="AF215" s="189" t="n"/>
      <c r="AG215" s="189" t="n"/>
      <c r="AH215" s="189" t="n"/>
      <c r="AI215" s="51" t="inlineStr">
        <is>
          <t>U1X</t>
        </is>
      </c>
    </row>
    <row r="216">
      <c r="B216" s="189" t="n"/>
      <c r="C216" s="189" t="n"/>
      <c r="D216" s="189" t="n"/>
      <c r="E216" s="189" t="n"/>
      <c r="F216" s="189" t="n"/>
      <c r="G216" s="189" t="n"/>
      <c r="H216" s="189" t="n"/>
      <c r="I216" s="189" t="n"/>
      <c r="J216" s="189" t="n"/>
      <c r="K216" s="189" t="n"/>
      <c r="L216" s="189" t="n"/>
      <c r="M216" s="189" t="n"/>
      <c r="N216" s="189" t="n"/>
      <c r="O216" s="189" t="n"/>
      <c r="P216" s="189" t="n"/>
      <c r="Q216" s="189" t="n"/>
      <c r="R216" s="189" t="n"/>
      <c r="S216" s="189" t="n"/>
      <c r="T216" s="189" t="n"/>
      <c r="U216" s="189" t="n"/>
      <c r="V216" s="189" t="n"/>
      <c r="W216" s="189" t="n"/>
      <c r="X216" s="189" t="n"/>
      <c r="Y216" s="189" t="n"/>
      <c r="Z216" s="189" t="n"/>
      <c r="AA216" s="189" t="n"/>
      <c r="AB216" s="189" t="n"/>
      <c r="AC216" s="189" t="n"/>
      <c r="AD216" s="189" t="n"/>
      <c r="AE216" s="189" t="n"/>
      <c r="AF216" s="189" t="n"/>
      <c r="AG216" s="189" t="n"/>
      <c r="AH216" s="189" t="n"/>
      <c r="AI216" s="51" t="inlineStr">
        <is>
          <t>U1Y</t>
        </is>
      </c>
    </row>
    <row r="217">
      <c r="B217" s="189" t="n"/>
      <c r="C217" s="189" t="n"/>
      <c r="D217" s="189" t="n"/>
      <c r="E217" s="189" t="n"/>
      <c r="F217" s="189" t="n"/>
      <c r="G217" s="189" t="n"/>
      <c r="H217" s="189" t="n"/>
      <c r="I217" s="189" t="n"/>
      <c r="J217" s="189" t="n"/>
      <c r="K217" s="189" t="n"/>
      <c r="L217" s="189" t="n"/>
      <c r="M217" s="189" t="n"/>
      <c r="N217" s="189" t="n"/>
      <c r="O217" s="189" t="n"/>
      <c r="P217" s="189" t="n"/>
      <c r="Q217" s="189" t="n"/>
      <c r="R217" s="189" t="n"/>
      <c r="S217" s="189" t="n"/>
      <c r="T217" s="189" t="n"/>
      <c r="U217" s="189" t="n"/>
      <c r="V217" s="189" t="n"/>
      <c r="W217" s="189" t="n"/>
      <c r="X217" s="189" t="n"/>
      <c r="Y217" s="189" t="n"/>
      <c r="Z217" s="189" t="n"/>
      <c r="AA217" s="189" t="n"/>
      <c r="AB217" s="189" t="n"/>
      <c r="AC217" s="189" t="n"/>
      <c r="AD217" s="189" t="n"/>
      <c r="AE217" s="189" t="n"/>
      <c r="AF217" s="189" t="n"/>
      <c r="AG217" s="189" t="n"/>
      <c r="AH217" s="189" t="n"/>
      <c r="AI217" s="51" t="inlineStr">
        <is>
          <t>U1θ</t>
        </is>
      </c>
    </row>
    <row r="218">
      <c r="B218" s="189" t="n"/>
      <c r="C218" s="189" t="n"/>
      <c r="D218" s="189" t="n"/>
      <c r="E218" s="189" t="n"/>
      <c r="F218" s="189" t="n"/>
      <c r="G218" s="189" t="n"/>
      <c r="H218" s="189" t="n"/>
      <c r="I218" s="189" t="n"/>
      <c r="J218" s="189" t="n"/>
      <c r="K218" s="189" t="n"/>
      <c r="L218" s="189" t="n"/>
      <c r="M218" s="189" t="n"/>
      <c r="N218" s="189" t="n"/>
      <c r="O218" s="189" t="n"/>
      <c r="P218" s="189" t="n"/>
      <c r="Q218" s="189" t="n"/>
      <c r="R218" s="189" t="n"/>
      <c r="S218" s="189" t="n"/>
      <c r="T218" s="189" t="n"/>
      <c r="U218" s="189" t="n"/>
      <c r="V218" s="189" t="n"/>
      <c r="W218" s="189" t="n"/>
      <c r="X218" s="189" t="n"/>
      <c r="Y218" s="189" t="n"/>
      <c r="Z218" s="189" t="n"/>
      <c r="AA218" s="189" t="n"/>
      <c r="AB218" s="189" t="n"/>
      <c r="AC218" s="189" t="n"/>
      <c r="AD218" s="189" t="n"/>
      <c r="AE218" s="189" t="n"/>
      <c r="AF218" s="189" t="n"/>
      <c r="AG218" s="189" t="n"/>
      <c r="AH218" s="189" t="n"/>
      <c r="AI218" s="51" t="inlineStr">
        <is>
          <t>U2X</t>
        </is>
      </c>
    </row>
    <row r="219">
      <c r="B219" s="189" t="n"/>
      <c r="C219" s="189" t="n"/>
      <c r="D219" s="189" t="n"/>
      <c r="E219" s="189" t="n"/>
      <c r="F219" s="189" t="n"/>
      <c r="G219" s="189" t="n"/>
      <c r="H219" s="189" t="n"/>
      <c r="I219" s="189" t="n"/>
      <c r="J219" s="189" t="n"/>
      <c r="K219" s="189" t="n"/>
      <c r="L219" s="189" t="n"/>
      <c r="M219" s="189" t="n"/>
      <c r="N219" s="189" t="n"/>
      <c r="O219" s="189" t="n"/>
      <c r="P219" s="189" t="n"/>
      <c r="Q219" s="189" t="n"/>
      <c r="R219" s="189" t="n"/>
      <c r="S219" s="189" t="n"/>
      <c r="T219" s="189" t="n"/>
      <c r="U219" s="189" t="n"/>
      <c r="V219" s="189" t="n"/>
      <c r="W219" s="189" t="n"/>
      <c r="X219" s="189" t="n"/>
      <c r="Y219" s="189" t="n"/>
      <c r="Z219" s="189" t="n"/>
      <c r="AA219" s="189" t="n"/>
      <c r="AB219" s="189" t="n"/>
      <c r="AC219" s="189" t="n"/>
      <c r="AD219" s="189" t="n"/>
      <c r="AE219" s="189" t="n"/>
      <c r="AF219" s="189" t="n"/>
      <c r="AG219" s="189" t="n"/>
      <c r="AH219" s="189" t="n"/>
      <c r="AI219" s="51" t="inlineStr">
        <is>
          <t>U2Y</t>
        </is>
      </c>
    </row>
    <row r="220">
      <c r="B220" s="189" t="n"/>
      <c r="C220" s="189" t="n"/>
      <c r="D220" s="189" t="n"/>
      <c r="E220" s="189" t="n"/>
      <c r="F220" s="189" t="n"/>
      <c r="G220" s="189" t="n"/>
      <c r="H220" s="189" t="n"/>
      <c r="I220" s="189" t="n"/>
      <c r="J220" s="189" t="n"/>
      <c r="K220" s="189" t="n"/>
      <c r="L220" s="189" t="n"/>
      <c r="M220" s="189" t="n"/>
      <c r="N220" s="189" t="n"/>
      <c r="O220" s="189" t="n"/>
      <c r="P220" s="189" t="n"/>
      <c r="Q220" s="189" t="n"/>
      <c r="R220" s="189" t="n"/>
      <c r="S220" s="189" t="n"/>
      <c r="T220" s="189" t="n"/>
      <c r="U220" s="189" t="n"/>
      <c r="V220" s="189" t="n"/>
      <c r="W220" s="189" t="n"/>
      <c r="X220" s="189" t="n"/>
      <c r="Y220" s="189" t="n"/>
      <c r="Z220" s="189" t="n"/>
      <c r="AA220" s="189" t="n"/>
      <c r="AB220" s="189" t="n"/>
      <c r="AC220" s="189" t="n"/>
      <c r="AD220" s="189" t="n"/>
      <c r="AE220" s="189" t="n"/>
      <c r="AF220" s="189" t="n"/>
      <c r="AG220" s="189" t="n"/>
      <c r="AH220" s="189" t="n"/>
      <c r="AI220" s="51" t="inlineStr">
        <is>
          <t>U2θ</t>
        </is>
      </c>
    </row>
    <row r="221">
      <c r="B221" s="189" t="n"/>
      <c r="C221" s="189" t="n"/>
      <c r="D221" s="189" t="n"/>
      <c r="E221" s="189" t="n"/>
      <c r="F221" s="189" t="n"/>
      <c r="G221" s="189" t="n"/>
      <c r="H221" s="189" t="n"/>
      <c r="I221" s="189" t="n"/>
      <c r="J221" s="189" t="n"/>
      <c r="K221" s="189" t="n"/>
      <c r="L221" s="189" t="n"/>
      <c r="M221" s="189" t="n"/>
      <c r="N221" s="189" t="n"/>
      <c r="O221" s="189" t="n"/>
      <c r="P221" s="189" t="n"/>
      <c r="Q221" s="189" t="n"/>
      <c r="R221" s="189" t="n"/>
      <c r="S221" s="189" t="n"/>
      <c r="T221" s="189" t="n"/>
      <c r="U221" s="189" t="n"/>
      <c r="V221" s="189" t="n"/>
      <c r="W221" s="189" t="n"/>
      <c r="X221" s="189" t="n"/>
      <c r="Y221" s="189" t="n"/>
      <c r="Z221" s="189" t="n"/>
      <c r="AA221" s="189" t="n"/>
      <c r="AB221" s="189" t="n"/>
      <c r="AC221" s="189" t="n"/>
      <c r="AD221" s="189" t="n"/>
      <c r="AE221" s="189" t="n"/>
      <c r="AF221" s="189" t="n"/>
      <c r="AG221" s="189" t="n"/>
      <c r="AH221" s="189" t="n"/>
      <c r="AI221" s="51" t="inlineStr">
        <is>
          <t>U3X</t>
        </is>
      </c>
    </row>
    <row r="222">
      <c r="B222" s="189" t="n"/>
      <c r="C222" s="189" t="n"/>
      <c r="D222" s="189" t="n"/>
      <c r="E222" s="189" t="n"/>
      <c r="F222" s="189" t="n"/>
      <c r="G222" s="189" t="n"/>
      <c r="H222" s="189" t="n"/>
      <c r="I222" s="189" t="n"/>
      <c r="J222" s="189" t="n"/>
      <c r="K222" s="189" t="n"/>
      <c r="L222" s="189" t="n"/>
      <c r="M222" s="189" t="n"/>
      <c r="N222" s="189" t="n"/>
      <c r="O222" s="189" t="n"/>
      <c r="P222" s="189" t="n"/>
      <c r="Q222" s="189" t="n"/>
      <c r="R222" s="189" t="n"/>
      <c r="S222" s="189" t="n"/>
      <c r="T222" s="189" t="n"/>
      <c r="U222" s="189" t="n"/>
      <c r="V222" s="189" t="n"/>
      <c r="W222" s="189" t="n"/>
      <c r="X222" s="189" t="n"/>
      <c r="Y222" s="189" t="n"/>
      <c r="Z222" s="189" t="n"/>
      <c r="AA222" s="189" t="n"/>
      <c r="AB222" s="189" t="n"/>
      <c r="AC222" s="189" t="n"/>
      <c r="AD222" s="189" t="n"/>
      <c r="AE222" s="189" t="n"/>
      <c r="AF222" s="189" t="n"/>
      <c r="AG222" s="189" t="n"/>
      <c r="AH222" s="189" t="n"/>
      <c r="AI222" s="51" t="inlineStr">
        <is>
          <t>U3Y</t>
        </is>
      </c>
    </row>
    <row r="223">
      <c r="B223" s="189" t="n"/>
      <c r="C223" s="189" t="n"/>
      <c r="D223" s="189" t="n"/>
      <c r="E223" s="189" t="n"/>
      <c r="F223" s="189" t="n"/>
      <c r="G223" s="189" t="n"/>
      <c r="H223" s="189" t="n"/>
      <c r="I223" s="189" t="n"/>
      <c r="J223" s="189" t="n"/>
      <c r="K223" s="189" t="n"/>
      <c r="L223" s="189" t="n"/>
      <c r="M223" s="189" t="n"/>
      <c r="N223" s="189" t="n"/>
      <c r="O223" s="189" t="n"/>
      <c r="P223" s="189" t="n"/>
      <c r="Q223" s="189" t="n"/>
      <c r="R223" s="189" t="n"/>
      <c r="S223" s="189" t="n"/>
      <c r="T223" s="189" t="n"/>
      <c r="U223" s="189" t="n"/>
      <c r="V223" s="189" t="n"/>
      <c r="W223" s="189" t="n"/>
      <c r="X223" s="189" t="n"/>
      <c r="Y223" s="189" t="n"/>
      <c r="Z223" s="189" t="n"/>
      <c r="AA223" s="189" t="n"/>
      <c r="AB223" s="189" t="n"/>
      <c r="AC223" s="189" t="n"/>
      <c r="AD223" s="189" t="n"/>
      <c r="AE223" s="189" t="n"/>
      <c r="AF223" s="189" t="n"/>
      <c r="AG223" s="189" t="n"/>
      <c r="AH223" s="189" t="n"/>
      <c r="AI223" s="51" t="inlineStr">
        <is>
          <t>U3θ</t>
        </is>
      </c>
    </row>
    <row r="224">
      <c r="B224" s="189" t="n"/>
      <c r="C224" s="189" t="n"/>
      <c r="D224" s="189" t="n"/>
      <c r="E224" s="189" t="n"/>
      <c r="F224" s="189" t="n"/>
      <c r="G224" s="189" t="n"/>
      <c r="H224" s="189" t="n"/>
      <c r="I224" s="189" t="n"/>
      <c r="J224" s="189" t="n"/>
      <c r="K224" s="189" t="n"/>
      <c r="L224" s="189" t="n"/>
      <c r="M224" s="189" t="n"/>
      <c r="N224" s="189" t="n"/>
      <c r="O224" s="189" t="n"/>
      <c r="P224" s="189" t="n"/>
      <c r="Q224" s="189" t="n"/>
      <c r="R224" s="189" t="n"/>
      <c r="S224" s="189" t="n"/>
      <c r="T224" s="189" t="n"/>
      <c r="U224" s="189" t="n"/>
      <c r="V224" s="189" t="n"/>
      <c r="W224" s="189" t="n"/>
      <c r="X224" s="189" t="n"/>
      <c r="Y224" s="189" t="n"/>
      <c r="Z224" s="189" t="n"/>
      <c r="AA224" s="189" t="n"/>
      <c r="AB224" s="189" t="n"/>
      <c r="AC224" s="189" t="n"/>
      <c r="AD224" s="189" t="n"/>
      <c r="AE224" s="189" t="n"/>
      <c r="AF224" s="189" t="n"/>
      <c r="AG224" s="189" t="n"/>
      <c r="AH224" s="189" t="n"/>
      <c r="AI224" s="51" t="inlineStr">
        <is>
          <t>U4X</t>
        </is>
      </c>
    </row>
    <row r="225">
      <c r="B225" s="189" t="n"/>
      <c r="C225" s="189" t="n"/>
      <c r="D225" s="189" t="n"/>
      <c r="E225" s="189" t="n"/>
      <c r="F225" s="189" t="n"/>
      <c r="G225" s="189" t="n"/>
      <c r="H225" s="189" t="n"/>
      <c r="I225" s="189" t="n"/>
      <c r="J225" s="189" t="n"/>
      <c r="K225" s="189" t="n"/>
      <c r="L225" s="189" t="n"/>
      <c r="M225" s="189" t="n"/>
      <c r="N225" s="189" t="n"/>
      <c r="O225" s="189" t="n"/>
      <c r="P225" s="189" t="n"/>
      <c r="Q225" s="189" t="n"/>
      <c r="R225" s="189" t="n"/>
      <c r="S225" s="189" t="n"/>
      <c r="T225" s="189" t="n"/>
      <c r="U225" s="189" t="n"/>
      <c r="V225" s="189" t="n"/>
      <c r="W225" s="189" t="n"/>
      <c r="X225" s="189" t="n"/>
      <c r="Y225" s="189" t="n"/>
      <c r="Z225" s="189" t="n"/>
      <c r="AA225" s="189" t="n"/>
      <c r="AB225" s="189" t="n"/>
      <c r="AC225" s="189" t="n"/>
      <c r="AD225" s="189" t="n"/>
      <c r="AE225" s="189" t="n"/>
      <c r="AF225" s="189" t="n"/>
      <c r="AG225" s="189" t="n"/>
      <c r="AH225" s="189" t="n"/>
      <c r="AI225" s="51" t="inlineStr">
        <is>
          <t>U4Y</t>
        </is>
      </c>
    </row>
    <row r="226">
      <c r="B226" s="189" t="n"/>
      <c r="C226" s="189" t="n"/>
      <c r="D226" s="189" t="n"/>
      <c r="E226" s="189" t="n"/>
      <c r="F226" s="189" t="n"/>
      <c r="G226" s="189" t="n"/>
      <c r="H226" s="189" t="n"/>
      <c r="I226" s="189" t="n"/>
      <c r="J226" s="189" t="n"/>
      <c r="K226" s="189" t="n"/>
      <c r="L226" s="189" t="n"/>
      <c r="M226" s="189" t="n"/>
      <c r="N226" s="189" t="n"/>
      <c r="O226" s="189" t="n"/>
      <c r="P226" s="189" t="n"/>
      <c r="Q226" s="189" t="n"/>
      <c r="R226" s="189" t="n"/>
      <c r="S226" s="189" t="n"/>
      <c r="T226" s="189" t="n"/>
      <c r="U226" s="189" t="n"/>
      <c r="V226" s="189" t="n"/>
      <c r="W226" s="189" t="n"/>
      <c r="X226" s="189" t="n"/>
      <c r="Y226" s="189" t="n"/>
      <c r="Z226" s="189" t="n"/>
      <c r="AA226" s="189" t="n"/>
      <c r="AB226" s="189" t="n"/>
      <c r="AC226" s="189" t="n"/>
      <c r="AD226" s="189" t="n"/>
      <c r="AE226" s="189" t="n"/>
      <c r="AF226" s="189" t="n"/>
      <c r="AG226" s="189" t="n"/>
      <c r="AH226" s="189" t="n"/>
      <c r="AI226" s="51" t="inlineStr">
        <is>
          <t>U4θ</t>
        </is>
      </c>
    </row>
    <row r="227">
      <c r="B227" s="189" t="n"/>
      <c r="C227" s="189" t="n"/>
      <c r="D227" s="189" t="n"/>
      <c r="E227" s="189" t="n"/>
      <c r="F227" s="189" t="n"/>
      <c r="G227" s="189" t="n"/>
      <c r="H227" s="189" t="n"/>
      <c r="I227" s="189" t="n"/>
      <c r="J227" s="189" t="n"/>
      <c r="K227" s="189" t="n"/>
      <c r="L227" s="189" t="n"/>
      <c r="M227" s="189" t="n"/>
      <c r="N227" s="189">
        <f>B207</f>
        <v/>
      </c>
      <c r="O227" s="189">
        <f>C207</f>
        <v/>
      </c>
      <c r="P227" s="189">
        <f>D207</f>
        <v/>
      </c>
      <c r="Q227" s="189">
        <f>E207</f>
        <v/>
      </c>
      <c r="R227" s="189">
        <f>F207</f>
        <v/>
      </c>
      <c r="S227" s="189">
        <f>G207</f>
        <v/>
      </c>
      <c r="T227" s="189" t="n"/>
      <c r="U227" s="189" t="n"/>
      <c r="V227" s="189" t="n"/>
      <c r="W227" s="189" t="n"/>
      <c r="X227" s="189" t="n"/>
      <c r="Y227" s="189" t="n"/>
      <c r="Z227" s="189" t="n"/>
      <c r="AA227" s="189" t="n"/>
      <c r="AB227" s="189" t="n"/>
      <c r="AC227" s="189" t="n"/>
      <c r="AD227" s="189" t="n"/>
      <c r="AE227" s="189" t="n"/>
      <c r="AF227" s="189" t="n"/>
      <c r="AG227" s="189" t="n"/>
      <c r="AH227" s="189" t="n"/>
      <c r="AI227" s="51" t="inlineStr">
        <is>
          <t>U5X</t>
        </is>
      </c>
    </row>
    <row r="228">
      <c r="B228" s="189" t="n"/>
      <c r="C228" s="189" t="n"/>
      <c r="D228" s="189" t="n"/>
      <c r="E228" s="189" t="n"/>
      <c r="F228" s="189" t="n"/>
      <c r="G228" s="189" t="n"/>
      <c r="H228" s="189" t="n"/>
      <c r="I228" s="189" t="n"/>
      <c r="J228" s="189" t="n"/>
      <c r="K228" s="189" t="n"/>
      <c r="L228" s="189" t="n"/>
      <c r="M228" s="189" t="n"/>
      <c r="N228" s="189">
        <f>B208</f>
        <v/>
      </c>
      <c r="O228" s="189">
        <f>C208</f>
        <v/>
      </c>
      <c r="P228" s="189">
        <f>D208</f>
        <v/>
      </c>
      <c r="Q228" s="189">
        <f>E208</f>
        <v/>
      </c>
      <c r="R228" s="189">
        <f>F208</f>
        <v/>
      </c>
      <c r="S228" s="189">
        <f>G208</f>
        <v/>
      </c>
      <c r="T228" s="189" t="n"/>
      <c r="U228" s="189" t="n"/>
      <c r="V228" s="189" t="n"/>
      <c r="W228" s="189" t="n"/>
      <c r="X228" s="189" t="n"/>
      <c r="Y228" s="189" t="n"/>
      <c r="Z228" s="189" t="n"/>
      <c r="AA228" s="189" t="n"/>
      <c r="AB228" s="189" t="n"/>
      <c r="AC228" s="189" t="n"/>
      <c r="AD228" s="189" t="n"/>
      <c r="AE228" s="189" t="n"/>
      <c r="AF228" s="189" t="n"/>
      <c r="AG228" s="189" t="n"/>
      <c r="AH228" s="189" t="n"/>
      <c r="AI228" s="51" t="inlineStr">
        <is>
          <t>U5Y</t>
        </is>
      </c>
    </row>
    <row r="229">
      <c r="B229" s="189" t="n"/>
      <c r="C229" s="189" t="n"/>
      <c r="D229" s="189" t="n"/>
      <c r="E229" s="189" t="n"/>
      <c r="F229" s="189" t="n"/>
      <c r="G229" s="189" t="n"/>
      <c r="H229" s="189" t="n"/>
      <c r="I229" s="189" t="n"/>
      <c r="J229" s="189" t="n"/>
      <c r="K229" s="189" t="n"/>
      <c r="L229" s="189" t="n"/>
      <c r="M229" s="189" t="n"/>
      <c r="N229" s="189">
        <f>B209</f>
        <v/>
      </c>
      <c r="O229" s="189">
        <f>C209</f>
        <v/>
      </c>
      <c r="P229" s="189">
        <f>D209</f>
        <v/>
      </c>
      <c r="Q229" s="189">
        <f>E209</f>
        <v/>
      </c>
      <c r="R229" s="189">
        <f>F209</f>
        <v/>
      </c>
      <c r="S229" s="189">
        <f>G209</f>
        <v/>
      </c>
      <c r="T229" s="189" t="n"/>
      <c r="U229" s="189" t="n"/>
      <c r="V229" s="189" t="n"/>
      <c r="W229" s="189" t="n"/>
      <c r="X229" s="189" t="n"/>
      <c r="Y229" s="189" t="n"/>
      <c r="Z229" s="189" t="n"/>
      <c r="AA229" s="189" t="n"/>
      <c r="AB229" s="189" t="n"/>
      <c r="AC229" s="189" t="n"/>
      <c r="AD229" s="189" t="n"/>
      <c r="AE229" s="189" t="n"/>
      <c r="AF229" s="189" t="n"/>
      <c r="AG229" s="189" t="n"/>
      <c r="AH229" s="189" t="n"/>
      <c r="AI229" s="51" t="inlineStr">
        <is>
          <t>U5θ</t>
        </is>
      </c>
    </row>
    <row r="230">
      <c r="A230" s="118" t="inlineStr">
        <is>
          <t>K5 =</t>
        </is>
      </c>
      <c r="B230" s="189" t="n"/>
      <c r="C230" s="189" t="n"/>
      <c r="D230" s="189" t="n"/>
      <c r="E230" s="189" t="n"/>
      <c r="F230" s="189" t="n"/>
      <c r="G230" s="189" t="n"/>
      <c r="H230" s="189" t="n"/>
      <c r="I230" s="189" t="n"/>
      <c r="J230" s="189" t="n"/>
      <c r="K230" s="189" t="n"/>
      <c r="L230" s="189" t="n"/>
      <c r="M230" s="189" t="n"/>
      <c r="N230" s="189">
        <f>B210</f>
        <v/>
      </c>
      <c r="O230" s="189">
        <f>C210</f>
        <v/>
      </c>
      <c r="P230" s="189">
        <f>D210</f>
        <v/>
      </c>
      <c r="Q230" s="189">
        <f>E210</f>
        <v/>
      </c>
      <c r="R230" s="189">
        <f>F210</f>
        <v/>
      </c>
      <c r="S230" s="189">
        <f>G210</f>
        <v/>
      </c>
      <c r="T230" s="189" t="n"/>
      <c r="U230" s="189" t="n"/>
      <c r="V230" s="189" t="n"/>
      <c r="W230" s="189" t="n"/>
      <c r="X230" s="189" t="n"/>
      <c r="Y230" s="189" t="n"/>
      <c r="Z230" s="189" t="n"/>
      <c r="AA230" s="189" t="n"/>
      <c r="AB230" s="189" t="n"/>
      <c r="AC230" s="189" t="n"/>
      <c r="AD230" s="189" t="n"/>
      <c r="AE230" s="189" t="n"/>
      <c r="AF230" s="189" t="n"/>
      <c r="AG230" s="189" t="n"/>
      <c r="AH230" s="189" t="n"/>
      <c r="AI230" s="51" t="inlineStr">
        <is>
          <t>U6X</t>
        </is>
      </c>
    </row>
    <row r="231">
      <c r="B231" s="189" t="n"/>
      <c r="C231" s="189" t="n"/>
      <c r="D231" s="189" t="n"/>
      <c r="E231" s="189" t="n"/>
      <c r="F231" s="189" t="n"/>
      <c r="G231" s="189" t="n"/>
      <c r="H231" s="189" t="n"/>
      <c r="I231" s="189" t="n"/>
      <c r="J231" s="189" t="n"/>
      <c r="K231" s="189" t="n"/>
      <c r="L231" s="189" t="n"/>
      <c r="M231" s="189" t="n"/>
      <c r="N231" s="189">
        <f>B211</f>
        <v/>
      </c>
      <c r="O231" s="189">
        <f>C211</f>
        <v/>
      </c>
      <c r="P231" s="189">
        <f>D211</f>
        <v/>
      </c>
      <c r="Q231" s="189">
        <f>E211</f>
        <v/>
      </c>
      <c r="R231" s="189">
        <f>F211</f>
        <v/>
      </c>
      <c r="S231" s="189">
        <f>G211</f>
        <v/>
      </c>
      <c r="T231" s="189" t="n"/>
      <c r="U231" s="189" t="n"/>
      <c r="V231" s="189" t="n"/>
      <c r="W231" s="189" t="n"/>
      <c r="X231" s="189" t="n"/>
      <c r="Y231" s="189" t="n"/>
      <c r="Z231" s="189" t="n"/>
      <c r="AA231" s="189" t="n"/>
      <c r="AB231" s="189" t="n"/>
      <c r="AC231" s="189" t="n"/>
      <c r="AD231" s="189" t="n"/>
      <c r="AE231" s="189" t="n"/>
      <c r="AF231" s="189" t="n"/>
      <c r="AG231" s="189" t="n"/>
      <c r="AH231" s="189" t="n"/>
      <c r="AI231" s="51" t="inlineStr">
        <is>
          <t>U6Y</t>
        </is>
      </c>
    </row>
    <row r="232">
      <c r="B232" s="189" t="n"/>
      <c r="C232" s="189" t="n"/>
      <c r="D232" s="189" t="n"/>
      <c r="E232" s="189" t="n"/>
      <c r="F232" s="189" t="n"/>
      <c r="G232" s="189" t="n"/>
      <c r="H232" s="189" t="n"/>
      <c r="I232" s="189" t="n"/>
      <c r="J232" s="189" t="n"/>
      <c r="K232" s="189" t="n"/>
      <c r="L232" s="189" t="n"/>
      <c r="M232" s="189" t="n"/>
      <c r="N232" s="189">
        <f>B212</f>
        <v/>
      </c>
      <c r="O232" s="189">
        <f>C212</f>
        <v/>
      </c>
      <c r="P232" s="189">
        <f>D212</f>
        <v/>
      </c>
      <c r="Q232" s="189">
        <f>E212</f>
        <v/>
      </c>
      <c r="R232" s="189">
        <f>F212</f>
        <v/>
      </c>
      <c r="S232" s="189">
        <f>G212</f>
        <v/>
      </c>
      <c r="T232" s="189" t="n"/>
      <c r="U232" s="189" t="n"/>
      <c r="V232" s="189" t="n"/>
      <c r="W232" s="189" t="n"/>
      <c r="X232" s="189" t="n"/>
      <c r="Y232" s="189" t="n"/>
      <c r="Z232" s="189" t="n"/>
      <c r="AA232" s="189" t="n"/>
      <c r="AB232" s="189" t="n"/>
      <c r="AC232" s="189" t="n"/>
      <c r="AD232" s="189" t="n"/>
      <c r="AE232" s="189" t="n"/>
      <c r="AF232" s="189" t="n"/>
      <c r="AG232" s="189" t="n"/>
      <c r="AH232" s="189" t="n"/>
      <c r="AI232" s="51" t="inlineStr">
        <is>
          <t>U6θ</t>
        </is>
      </c>
    </row>
    <row r="233">
      <c r="B233" s="189" t="n"/>
      <c r="C233" s="189" t="n"/>
      <c r="D233" s="189" t="n"/>
      <c r="E233" s="189" t="n"/>
      <c r="F233" s="189" t="n"/>
      <c r="G233" s="189" t="n"/>
      <c r="H233" s="189" t="n"/>
      <c r="I233" s="189" t="n"/>
      <c r="J233" s="189" t="n"/>
      <c r="K233" s="189" t="n"/>
      <c r="L233" s="189" t="n"/>
      <c r="M233" s="189" t="n"/>
      <c r="N233" s="189" t="n"/>
      <c r="O233" s="189" t="n"/>
      <c r="P233" s="189" t="n"/>
      <c r="Q233" s="189" t="n"/>
      <c r="R233" s="189" t="n"/>
      <c r="S233" s="189" t="n"/>
      <c r="T233" s="189" t="n"/>
      <c r="U233" s="189" t="n"/>
      <c r="V233" s="189" t="n"/>
      <c r="W233" s="189" t="n"/>
      <c r="X233" s="189" t="n"/>
      <c r="Y233" s="189" t="n"/>
      <c r="Z233" s="189" t="n"/>
      <c r="AA233" s="189" t="n"/>
      <c r="AB233" s="189" t="n"/>
      <c r="AC233" s="189" t="n"/>
      <c r="AD233" s="189" t="n"/>
      <c r="AE233" s="189" t="n"/>
      <c r="AF233" s="189" t="n"/>
      <c r="AG233" s="189" t="n"/>
      <c r="AH233" s="189" t="n"/>
      <c r="AI233" s="51" t="inlineStr">
        <is>
          <t>U7X</t>
        </is>
      </c>
    </row>
    <row r="234">
      <c r="B234" s="189" t="n"/>
      <c r="C234" s="189" t="n"/>
      <c r="D234" s="189" t="n"/>
      <c r="E234" s="189" t="n"/>
      <c r="F234" s="189" t="n"/>
      <c r="G234" s="189" t="n"/>
      <c r="H234" s="189" t="n"/>
      <c r="I234" s="189" t="n"/>
      <c r="J234" s="189" t="n"/>
      <c r="K234" s="189" t="n"/>
      <c r="L234" s="189" t="n"/>
      <c r="M234" s="189" t="n"/>
      <c r="N234" s="189" t="n"/>
      <c r="O234" s="189" t="n"/>
      <c r="P234" s="189" t="n"/>
      <c r="Q234" s="189" t="n"/>
      <c r="R234" s="189" t="n"/>
      <c r="S234" s="189" t="n"/>
      <c r="T234" s="189" t="n"/>
      <c r="U234" s="189" t="n"/>
      <c r="V234" s="189" t="n"/>
      <c r="W234" s="189" t="n"/>
      <c r="X234" s="189" t="n"/>
      <c r="Y234" s="189" t="n"/>
      <c r="Z234" s="189" t="n"/>
      <c r="AA234" s="189" t="n"/>
      <c r="AB234" s="189" t="n"/>
      <c r="AC234" s="189" t="n"/>
      <c r="AD234" s="189" t="n"/>
      <c r="AE234" s="189" t="n"/>
      <c r="AF234" s="189" t="n"/>
      <c r="AG234" s="189" t="n"/>
      <c r="AH234" s="189" t="n"/>
      <c r="AI234" s="51" t="inlineStr">
        <is>
          <t>U7Y</t>
        </is>
      </c>
    </row>
    <row r="235">
      <c r="B235" s="189" t="n"/>
      <c r="C235" s="189" t="n"/>
      <c r="D235" s="189" t="n"/>
      <c r="E235" s="189" t="n"/>
      <c r="F235" s="189" t="n"/>
      <c r="G235" s="189" t="n"/>
      <c r="H235" s="189" t="n"/>
      <c r="I235" s="189" t="n"/>
      <c r="J235" s="189" t="n"/>
      <c r="K235" s="189" t="n"/>
      <c r="L235" s="189" t="n"/>
      <c r="M235" s="189" t="n"/>
      <c r="N235" s="189" t="n"/>
      <c r="O235" s="189" t="n"/>
      <c r="P235" s="189" t="n"/>
      <c r="Q235" s="189" t="n"/>
      <c r="R235" s="189" t="n"/>
      <c r="S235" s="189" t="n"/>
      <c r="T235" s="189" t="n"/>
      <c r="U235" s="189" t="n"/>
      <c r="V235" s="189" t="n"/>
      <c r="W235" s="189" t="n"/>
      <c r="X235" s="189" t="n"/>
      <c r="Y235" s="189" t="n"/>
      <c r="Z235" s="189" t="n"/>
      <c r="AA235" s="189" t="n"/>
      <c r="AB235" s="189" t="n"/>
      <c r="AC235" s="189" t="n"/>
      <c r="AD235" s="189" t="n"/>
      <c r="AE235" s="189" t="n"/>
      <c r="AF235" s="189" t="n"/>
      <c r="AG235" s="189" t="n"/>
      <c r="AH235" s="189" t="n"/>
      <c r="AI235" s="51" t="inlineStr">
        <is>
          <t>U7θ</t>
        </is>
      </c>
    </row>
    <row r="236">
      <c r="B236" s="189" t="n"/>
      <c r="C236" s="189" t="n"/>
      <c r="D236" s="189" t="n"/>
      <c r="E236" s="189" t="n"/>
      <c r="F236" s="189" t="n"/>
      <c r="G236" s="189" t="n"/>
      <c r="H236" s="189" t="n"/>
      <c r="I236" s="189" t="n"/>
      <c r="J236" s="189" t="n"/>
      <c r="K236" s="189" t="n"/>
      <c r="L236" s="189" t="n"/>
      <c r="M236" s="189" t="n"/>
      <c r="N236" s="189" t="n"/>
      <c r="O236" s="189" t="n"/>
      <c r="P236" s="189" t="n"/>
      <c r="Q236" s="189" t="n"/>
      <c r="R236" s="189" t="n"/>
      <c r="S236" s="189" t="n"/>
      <c r="T236" s="189" t="n"/>
      <c r="U236" s="189" t="n"/>
      <c r="V236" s="189" t="n"/>
      <c r="W236" s="189" t="n"/>
      <c r="X236" s="189" t="n"/>
      <c r="Y236" s="189" t="n"/>
      <c r="Z236" s="189" t="n"/>
      <c r="AA236" s="189" t="n"/>
      <c r="AB236" s="189" t="n"/>
      <c r="AC236" s="189" t="n"/>
      <c r="AD236" s="189" t="n"/>
      <c r="AE236" s="189" t="n"/>
      <c r="AF236" s="189" t="n"/>
      <c r="AG236" s="189" t="n"/>
      <c r="AH236" s="189" t="n"/>
      <c r="AI236" s="51" t="inlineStr">
        <is>
          <t>U8X</t>
        </is>
      </c>
    </row>
    <row r="237">
      <c r="B237" s="189" t="n"/>
      <c r="C237" s="189" t="n"/>
      <c r="D237" s="189" t="n"/>
      <c r="E237" s="189" t="n"/>
      <c r="F237" s="189" t="n"/>
      <c r="G237" s="189" t="n"/>
      <c r="H237" s="189" t="n"/>
      <c r="I237" s="189" t="n"/>
      <c r="J237" s="189" t="n"/>
      <c r="K237" s="189" t="n"/>
      <c r="L237" s="189" t="n"/>
      <c r="M237" s="189" t="n"/>
      <c r="N237" s="189" t="n"/>
      <c r="O237" s="189" t="n"/>
      <c r="P237" s="189" t="n"/>
      <c r="Q237" s="189" t="n"/>
      <c r="R237" s="189" t="n"/>
      <c r="S237" s="189" t="n"/>
      <c r="T237" s="189" t="n"/>
      <c r="U237" s="189" t="n"/>
      <c r="V237" s="189" t="n"/>
      <c r="W237" s="189" t="n"/>
      <c r="X237" s="189" t="n"/>
      <c r="Y237" s="189" t="n"/>
      <c r="Z237" s="189" t="n"/>
      <c r="AA237" s="189" t="n"/>
      <c r="AB237" s="189" t="n"/>
      <c r="AC237" s="189" t="n"/>
      <c r="AD237" s="189" t="n"/>
      <c r="AE237" s="189" t="n"/>
      <c r="AF237" s="189" t="n"/>
      <c r="AG237" s="189" t="n"/>
      <c r="AH237" s="189" t="n"/>
      <c r="AI237" s="51" t="inlineStr">
        <is>
          <t>U8Y</t>
        </is>
      </c>
    </row>
    <row r="238">
      <c r="B238" s="189" t="n"/>
      <c r="C238" s="189" t="n"/>
      <c r="D238" s="189" t="n"/>
      <c r="E238" s="189" t="n"/>
      <c r="F238" s="189" t="n"/>
      <c r="G238" s="189" t="n"/>
      <c r="H238" s="189" t="n"/>
      <c r="I238" s="189" t="n"/>
      <c r="J238" s="189" t="n"/>
      <c r="K238" s="189" t="n"/>
      <c r="L238" s="189" t="n"/>
      <c r="M238" s="189" t="n"/>
      <c r="N238" s="189" t="n"/>
      <c r="O238" s="189" t="n"/>
      <c r="P238" s="189" t="n"/>
      <c r="Q238" s="189" t="n"/>
      <c r="R238" s="189" t="n"/>
      <c r="S238" s="189" t="n"/>
      <c r="T238" s="189" t="n"/>
      <c r="U238" s="189" t="n"/>
      <c r="V238" s="189" t="n"/>
      <c r="W238" s="189" t="n"/>
      <c r="X238" s="189" t="n"/>
      <c r="Y238" s="189" t="n"/>
      <c r="Z238" s="189" t="n"/>
      <c r="AA238" s="189" t="n"/>
      <c r="AB238" s="189" t="n"/>
      <c r="AC238" s="189" t="n"/>
      <c r="AD238" s="189" t="n"/>
      <c r="AE238" s="189" t="n"/>
      <c r="AF238" s="189" t="n"/>
      <c r="AG238" s="189" t="n"/>
      <c r="AH238" s="189" t="n"/>
      <c r="AI238" s="51" t="inlineStr">
        <is>
          <t>U8θ</t>
        </is>
      </c>
    </row>
    <row r="239">
      <c r="B239" s="189" t="n"/>
      <c r="C239" s="189" t="n"/>
      <c r="D239" s="189" t="n"/>
      <c r="E239" s="189" t="n"/>
      <c r="F239" s="189" t="n"/>
      <c r="G239" s="189" t="n"/>
      <c r="H239" s="189" t="n"/>
      <c r="I239" s="189" t="n"/>
      <c r="J239" s="189" t="n"/>
      <c r="K239" s="189" t="n"/>
      <c r="L239" s="189" t="n"/>
      <c r="M239" s="189" t="n"/>
      <c r="N239" s="189" t="n"/>
      <c r="O239" s="189" t="n"/>
      <c r="P239" s="189" t="n"/>
      <c r="Q239" s="189" t="n"/>
      <c r="R239" s="189" t="n"/>
      <c r="S239" s="189" t="n"/>
      <c r="T239" s="189" t="n"/>
      <c r="U239" s="189" t="n"/>
      <c r="V239" s="189" t="n"/>
      <c r="W239" s="189" t="n"/>
      <c r="X239" s="189" t="n"/>
      <c r="Y239" s="189" t="n"/>
      <c r="Z239" s="189" t="n"/>
      <c r="AA239" s="189" t="n"/>
      <c r="AB239" s="189" t="n"/>
      <c r="AC239" s="189" t="n"/>
      <c r="AD239" s="189" t="n"/>
      <c r="AE239" s="189" t="n"/>
      <c r="AF239" s="189" t="n"/>
      <c r="AG239" s="189" t="n"/>
      <c r="AH239" s="189" t="n"/>
      <c r="AI239" s="51" t="inlineStr">
        <is>
          <t>U9X</t>
        </is>
      </c>
    </row>
    <row r="240">
      <c r="B240" s="189" t="n"/>
      <c r="C240" s="189" t="n"/>
      <c r="D240" s="189" t="n"/>
      <c r="E240" s="189" t="n"/>
      <c r="F240" s="189" t="n"/>
      <c r="G240" s="189" t="n"/>
      <c r="H240" s="189" t="n"/>
      <c r="I240" s="189" t="n"/>
      <c r="J240" s="189" t="n"/>
      <c r="K240" s="189" t="n"/>
      <c r="L240" s="189" t="n"/>
      <c r="M240" s="189" t="n"/>
      <c r="N240" s="189" t="n"/>
      <c r="O240" s="189" t="n"/>
      <c r="P240" s="189" t="n"/>
      <c r="Q240" s="189" t="n"/>
      <c r="R240" s="189" t="n"/>
      <c r="S240" s="189" t="n"/>
      <c r="T240" s="189" t="n"/>
      <c r="U240" s="189" t="n"/>
      <c r="V240" s="189" t="n"/>
      <c r="W240" s="189" t="n"/>
      <c r="X240" s="189" t="n"/>
      <c r="Y240" s="189" t="n"/>
      <c r="Z240" s="189" t="n"/>
      <c r="AA240" s="189" t="n"/>
      <c r="AB240" s="189" t="n"/>
      <c r="AC240" s="189" t="n"/>
      <c r="AD240" s="189" t="n"/>
      <c r="AE240" s="189" t="n"/>
      <c r="AF240" s="189" t="n"/>
      <c r="AG240" s="189" t="n"/>
      <c r="AH240" s="189" t="n"/>
      <c r="AI240" s="51" t="inlineStr">
        <is>
          <t>U9Y</t>
        </is>
      </c>
    </row>
    <row r="241">
      <c r="B241" s="189" t="n"/>
      <c r="C241" s="189" t="n"/>
      <c r="D241" s="189" t="n"/>
      <c r="E241" s="189" t="n"/>
      <c r="F241" s="189" t="n"/>
      <c r="G241" s="189" t="n"/>
      <c r="H241" s="189" t="n"/>
      <c r="I241" s="189" t="n"/>
      <c r="J241" s="189" t="n"/>
      <c r="K241" s="189" t="n"/>
      <c r="L241" s="189" t="n"/>
      <c r="M241" s="189" t="n"/>
      <c r="N241" s="189" t="n"/>
      <c r="O241" s="189" t="n"/>
      <c r="P241" s="189" t="n"/>
      <c r="Q241" s="189" t="n"/>
      <c r="R241" s="189" t="n"/>
      <c r="S241" s="189" t="n"/>
      <c r="T241" s="189" t="n"/>
      <c r="U241" s="189" t="n"/>
      <c r="V241" s="189" t="n"/>
      <c r="W241" s="189" t="n"/>
      <c r="X241" s="189" t="n"/>
      <c r="Y241" s="189" t="n"/>
      <c r="Z241" s="189" t="n"/>
      <c r="AA241" s="189" t="n"/>
      <c r="AB241" s="189" t="n"/>
      <c r="AC241" s="189" t="n"/>
      <c r="AD241" s="189" t="n"/>
      <c r="AE241" s="189" t="n"/>
      <c r="AF241" s="189" t="n"/>
      <c r="AG241" s="189" t="n"/>
      <c r="AH241" s="189" t="n"/>
      <c r="AI241" s="51" t="inlineStr">
        <is>
          <t>U9θ</t>
        </is>
      </c>
    </row>
    <row r="242">
      <c r="B242" s="189" t="n"/>
      <c r="C242" s="189" t="n"/>
      <c r="D242" s="189" t="n"/>
      <c r="E242" s="189" t="n"/>
      <c r="F242" s="189" t="n"/>
      <c r="G242" s="189" t="n"/>
      <c r="H242" s="189" t="n"/>
      <c r="I242" s="189" t="n"/>
      <c r="J242" s="189" t="n"/>
      <c r="K242" s="189" t="n"/>
      <c r="L242" s="189" t="n"/>
      <c r="M242" s="189" t="n"/>
      <c r="N242" s="189" t="n"/>
      <c r="O242" s="189" t="n"/>
      <c r="P242" s="189" t="n"/>
      <c r="Q242" s="189" t="n"/>
      <c r="R242" s="189" t="n"/>
      <c r="S242" s="189" t="n"/>
      <c r="T242" s="189" t="n"/>
      <c r="U242" s="189" t="n"/>
      <c r="V242" s="189" t="n"/>
      <c r="W242" s="189" t="n"/>
      <c r="X242" s="189" t="n"/>
      <c r="Y242" s="189" t="n"/>
      <c r="Z242" s="189" t="n"/>
      <c r="AA242" s="189" t="n"/>
      <c r="AB242" s="189" t="n"/>
      <c r="AC242" s="189" t="n"/>
      <c r="AD242" s="189" t="n"/>
      <c r="AE242" s="189" t="n"/>
      <c r="AF242" s="189" t="n"/>
      <c r="AG242" s="189" t="n"/>
      <c r="AH242" s="189" t="n"/>
      <c r="AI242" s="51" t="inlineStr">
        <is>
          <t>U10X</t>
        </is>
      </c>
    </row>
    <row r="243">
      <c r="B243" s="189" t="n"/>
      <c r="C243" s="189" t="n"/>
      <c r="D243" s="189" t="n"/>
      <c r="E243" s="189" t="n"/>
      <c r="F243" s="189" t="n"/>
      <c r="G243" s="189" t="n"/>
      <c r="H243" s="189" t="n"/>
      <c r="I243" s="189" t="n"/>
      <c r="J243" s="189" t="n"/>
      <c r="K243" s="189" t="n"/>
      <c r="L243" s="189" t="n"/>
      <c r="M243" s="189" t="n"/>
      <c r="N243" s="189" t="n"/>
      <c r="O243" s="189" t="n"/>
      <c r="P243" s="189" t="n"/>
      <c r="Q243" s="189" t="n"/>
      <c r="R243" s="189" t="n"/>
      <c r="S243" s="189" t="n"/>
      <c r="T243" s="189" t="n"/>
      <c r="U243" s="189" t="n"/>
      <c r="V243" s="189" t="n"/>
      <c r="W243" s="189" t="n"/>
      <c r="X243" s="189" t="n"/>
      <c r="Y243" s="189" t="n"/>
      <c r="Z243" s="189" t="n"/>
      <c r="AA243" s="189" t="n"/>
      <c r="AB243" s="189" t="n"/>
      <c r="AC243" s="189" t="n"/>
      <c r="AD243" s="189" t="n"/>
      <c r="AE243" s="189" t="n"/>
      <c r="AF243" s="189" t="n"/>
      <c r="AG243" s="189" t="n"/>
      <c r="AH243" s="189" t="n"/>
      <c r="AI243" s="51" t="inlineStr">
        <is>
          <t>U10Y</t>
        </is>
      </c>
    </row>
    <row r="244">
      <c r="B244" s="189" t="n"/>
      <c r="C244" s="189" t="n"/>
      <c r="D244" s="189" t="n"/>
      <c r="E244" s="189" t="n"/>
      <c r="F244" s="189" t="n"/>
      <c r="G244" s="189" t="n"/>
      <c r="H244" s="189" t="n"/>
      <c r="I244" s="189" t="n"/>
      <c r="J244" s="189" t="n"/>
      <c r="K244" s="189" t="n"/>
      <c r="L244" s="189" t="n"/>
      <c r="M244" s="189" t="n"/>
      <c r="N244" s="189" t="n"/>
      <c r="O244" s="189" t="n"/>
      <c r="P244" s="189" t="n"/>
      <c r="Q244" s="189" t="n"/>
      <c r="R244" s="189" t="n"/>
      <c r="S244" s="189" t="n"/>
      <c r="T244" s="189" t="n"/>
      <c r="U244" s="189" t="n"/>
      <c r="V244" s="189" t="n"/>
      <c r="W244" s="189" t="n"/>
      <c r="X244" s="189" t="n"/>
      <c r="Y244" s="189" t="n"/>
      <c r="Z244" s="189" t="n"/>
      <c r="AA244" s="189" t="n"/>
      <c r="AB244" s="189" t="n"/>
      <c r="AC244" s="189" t="n"/>
      <c r="AD244" s="189" t="n"/>
      <c r="AE244" s="189" t="n"/>
      <c r="AF244" s="189" t="n"/>
      <c r="AG244" s="189" t="n"/>
      <c r="AH244" s="189" t="n"/>
      <c r="AI244" s="51" t="inlineStr">
        <is>
          <t>U10θ</t>
        </is>
      </c>
    </row>
    <row r="245">
      <c r="B245" s="189" t="n"/>
      <c r="C245" s="189" t="n"/>
      <c r="D245" s="189" t="n"/>
      <c r="E245" s="189" t="n"/>
      <c r="F245" s="189" t="n"/>
      <c r="G245" s="189" t="n"/>
      <c r="H245" s="189" t="n"/>
      <c r="I245" s="189" t="n"/>
      <c r="J245" s="189" t="n"/>
      <c r="K245" s="189" t="n"/>
      <c r="L245" s="189" t="n"/>
      <c r="M245" s="189" t="n"/>
      <c r="N245" s="189" t="n"/>
      <c r="O245" s="189" t="n"/>
      <c r="P245" s="189" t="n"/>
      <c r="Q245" s="189" t="n"/>
      <c r="R245" s="189" t="n"/>
      <c r="S245" s="189" t="n"/>
      <c r="T245" s="189" t="n"/>
      <c r="U245" s="189" t="n"/>
      <c r="V245" s="189" t="n"/>
      <c r="W245" s="189" t="n"/>
      <c r="X245" s="189" t="n"/>
      <c r="Y245" s="189" t="n"/>
      <c r="Z245" s="189" t="n"/>
      <c r="AA245" s="189" t="n"/>
      <c r="AB245" s="189" t="n"/>
      <c r="AC245" s="189" t="n"/>
      <c r="AD245" s="189" t="n"/>
      <c r="AE245" s="189" t="n"/>
      <c r="AF245" s="189" t="n"/>
      <c r="AG245" s="189" t="n"/>
      <c r="AH245" s="189" t="n"/>
      <c r="AI245" s="51" t="inlineStr">
        <is>
          <t>U11X</t>
        </is>
      </c>
    </row>
    <row r="246">
      <c r="B246" s="189" t="n"/>
      <c r="C246" s="189" t="n"/>
      <c r="D246" s="189" t="n"/>
      <c r="E246" s="189" t="n"/>
      <c r="F246" s="189" t="n"/>
      <c r="G246" s="189" t="n"/>
      <c r="H246" s="189" t="n"/>
      <c r="I246" s="189" t="n"/>
      <c r="J246" s="189" t="n"/>
      <c r="K246" s="189" t="n"/>
      <c r="L246" s="189" t="n"/>
      <c r="M246" s="189" t="n"/>
      <c r="N246" s="189" t="n"/>
      <c r="O246" s="189" t="n"/>
      <c r="P246" s="189" t="n"/>
      <c r="Q246" s="189" t="n"/>
      <c r="R246" s="189" t="n"/>
      <c r="S246" s="189" t="n"/>
      <c r="T246" s="189" t="n"/>
      <c r="U246" s="189" t="n"/>
      <c r="V246" s="189" t="n"/>
      <c r="W246" s="189" t="n"/>
      <c r="X246" s="189" t="n"/>
      <c r="Y246" s="189" t="n"/>
      <c r="Z246" s="189" t="n"/>
      <c r="AA246" s="189" t="n"/>
      <c r="AB246" s="189" t="n"/>
      <c r="AC246" s="189" t="n"/>
      <c r="AD246" s="189" t="n"/>
      <c r="AE246" s="189" t="n"/>
      <c r="AF246" s="189" t="n"/>
      <c r="AG246" s="189" t="n"/>
      <c r="AH246" s="189" t="n"/>
      <c r="AI246" s="51" t="inlineStr">
        <is>
          <t>U11Y</t>
        </is>
      </c>
    </row>
    <row r="247">
      <c r="B247" s="189" t="n"/>
      <c r="C247" s="189" t="n"/>
      <c r="D247" s="189" t="n"/>
      <c r="E247" s="189" t="n"/>
      <c r="F247" s="189" t="n"/>
      <c r="G247" s="189" t="n"/>
      <c r="H247" s="189" t="n"/>
      <c r="I247" s="189" t="n"/>
      <c r="J247" s="189" t="n"/>
      <c r="K247" s="189" t="n"/>
      <c r="L247" s="189" t="n"/>
      <c r="M247" s="189" t="n"/>
      <c r="N247" s="189" t="n"/>
      <c r="O247" s="189" t="n"/>
      <c r="P247" s="189" t="n"/>
      <c r="Q247" s="189" t="n"/>
      <c r="R247" s="189" t="n"/>
      <c r="S247" s="189" t="n"/>
      <c r="T247" s="189" t="n"/>
      <c r="U247" s="189" t="n"/>
      <c r="V247" s="189" t="n"/>
      <c r="W247" s="189" t="n"/>
      <c r="X247" s="189" t="n"/>
      <c r="Y247" s="189" t="n"/>
      <c r="Z247" s="189" t="n"/>
      <c r="AA247" s="189" t="n"/>
      <c r="AB247" s="189" t="n"/>
      <c r="AC247" s="189" t="n"/>
      <c r="AD247" s="189" t="n"/>
      <c r="AE247" s="189" t="n"/>
      <c r="AF247" s="189" t="n"/>
      <c r="AG247" s="189" t="n"/>
      <c r="AH247" s="189" t="n"/>
      <c r="AI247" s="51" t="inlineStr">
        <is>
          <t>U11θ</t>
        </is>
      </c>
    </row>
    <row r="249">
      <c r="B249" s="51">
        <f>IF(C27="","", CONCATENATE("U",C27,C$21))</f>
        <v/>
      </c>
      <c r="C249" s="51">
        <f>IF(D27="","", CONCATENATE("U",D27,D$21))</f>
        <v/>
      </c>
      <c r="D249" s="51">
        <f>IF(E27="","", CONCATENATE("U",E27,E$21))</f>
        <v/>
      </c>
      <c r="E249" s="51">
        <f>IF(F27="","", CONCATENATE("U",F27,F$21))</f>
        <v/>
      </c>
      <c r="F249" s="51">
        <f>IF(G27="","", CONCATENATE("U",G27,G$21))</f>
        <v/>
      </c>
      <c r="G249" s="51">
        <f>IF(H27="","", CONCATENATE("U",H27,H$21))</f>
        <v/>
      </c>
    </row>
    <row r="250">
      <c r="B250" s="8">
        <f>IF(I14="", 0, O14*J14*J14+P14*K14*K14)</f>
        <v/>
      </c>
      <c r="C250" s="189">
        <f>IF(I14="", 0, (O14-P14)*(J14*K14))</f>
        <v/>
      </c>
      <c r="D250" s="189">
        <f>IF(I14="", 0, -Q14*K14)</f>
        <v/>
      </c>
      <c r="E250" s="189">
        <f>-B250</f>
        <v/>
      </c>
      <c r="F250" s="189">
        <f>-C250</f>
        <v/>
      </c>
      <c r="G250" s="189">
        <f>D250</f>
        <v/>
      </c>
      <c r="H250" s="51">
        <f>B249</f>
        <v/>
      </c>
    </row>
    <row r="251">
      <c r="B251" s="189">
        <f>C250</f>
        <v/>
      </c>
      <c r="C251" s="8">
        <f>IF(I14="", 0, O14*K14*K14+P14*J14*J14)</f>
        <v/>
      </c>
      <c r="D251" s="189">
        <f>IF(I14="", 0, Q14*J14)</f>
        <v/>
      </c>
      <c r="E251" s="189">
        <f>-B251</f>
        <v/>
      </c>
      <c r="F251" s="189">
        <f>-C251</f>
        <v/>
      </c>
      <c r="G251" s="189">
        <f>D251</f>
        <v/>
      </c>
      <c r="H251" s="51">
        <f>C249</f>
        <v/>
      </c>
    </row>
    <row r="252">
      <c r="A252" s="118" t="inlineStr">
        <is>
          <t>K6 =</t>
        </is>
      </c>
      <c r="B252" s="189">
        <f>D250</f>
        <v/>
      </c>
      <c r="C252" s="189">
        <f>D251</f>
        <v/>
      </c>
      <c r="D252" s="8">
        <f>IF(I14="", 0, R14)</f>
        <v/>
      </c>
      <c r="E252" s="189">
        <f>-B252</f>
        <v/>
      </c>
      <c r="F252" s="189">
        <f>-C252</f>
        <v/>
      </c>
      <c r="G252" s="189">
        <f>IF(I14="", 0, S14)</f>
        <v/>
      </c>
      <c r="H252" s="51">
        <f>D249</f>
        <v/>
      </c>
    </row>
    <row r="253">
      <c r="B253" s="189">
        <f>E250</f>
        <v/>
      </c>
      <c r="C253" s="189">
        <f>E251</f>
        <v/>
      </c>
      <c r="D253" s="189">
        <f>E252</f>
        <v/>
      </c>
      <c r="E253" s="8">
        <f>B250</f>
        <v/>
      </c>
      <c r="F253" s="189">
        <f>C250</f>
        <v/>
      </c>
      <c r="G253" s="189">
        <f>-D250</f>
        <v/>
      </c>
      <c r="H253" s="51">
        <f>E249</f>
        <v/>
      </c>
    </row>
    <row r="254">
      <c r="B254" s="189">
        <f>F250</f>
        <v/>
      </c>
      <c r="C254" s="189">
        <f>F251</f>
        <v/>
      </c>
      <c r="D254" s="189">
        <f>F252</f>
        <v/>
      </c>
      <c r="E254" s="189">
        <f>F253</f>
        <v/>
      </c>
      <c r="F254" s="8">
        <f>C251</f>
        <v/>
      </c>
      <c r="G254" s="189">
        <f>-D251</f>
        <v/>
      </c>
      <c r="H254" s="51">
        <f>F249</f>
        <v/>
      </c>
    </row>
    <row r="255">
      <c r="B255" s="189">
        <f>G250</f>
        <v/>
      </c>
      <c r="C255" s="189">
        <f>G251</f>
        <v/>
      </c>
      <c r="D255" s="189">
        <f>G252</f>
        <v/>
      </c>
      <c r="E255" s="189">
        <f>G253</f>
        <v/>
      </c>
      <c r="F255" s="189">
        <f>G254</f>
        <v/>
      </c>
      <c r="G255" s="8">
        <f>D252</f>
        <v/>
      </c>
      <c r="H255" s="51">
        <f>G249</f>
        <v/>
      </c>
    </row>
    <row r="257">
      <c r="B257" s="51" t="inlineStr">
        <is>
          <t>U1X</t>
        </is>
      </c>
      <c r="C257" s="51" t="inlineStr">
        <is>
          <t>U1Y</t>
        </is>
      </c>
      <c r="D257" s="51" t="inlineStr">
        <is>
          <t>U1θ</t>
        </is>
      </c>
      <c r="E257" s="51" t="inlineStr">
        <is>
          <t>U2X</t>
        </is>
      </c>
      <c r="F257" s="51" t="inlineStr">
        <is>
          <t>U2Y</t>
        </is>
      </c>
      <c r="G257" s="51" t="inlineStr">
        <is>
          <t>U2θ</t>
        </is>
      </c>
      <c r="H257" s="51" t="inlineStr">
        <is>
          <t>U3X</t>
        </is>
      </c>
      <c r="I257" s="51" t="inlineStr">
        <is>
          <t>U3Y</t>
        </is>
      </c>
      <c r="J257" s="51" t="inlineStr">
        <is>
          <t>U3θ</t>
        </is>
      </c>
      <c r="K257" s="51" t="inlineStr">
        <is>
          <t>U4X</t>
        </is>
      </c>
      <c r="L257" s="51" t="inlineStr">
        <is>
          <t>U4Y</t>
        </is>
      </c>
      <c r="M257" s="51" t="inlineStr">
        <is>
          <t>U4θ</t>
        </is>
      </c>
      <c r="N257" s="51" t="inlineStr">
        <is>
          <t>U5X</t>
        </is>
      </c>
      <c r="O257" s="51" t="inlineStr">
        <is>
          <t>U5Y</t>
        </is>
      </c>
      <c r="P257" s="51" t="inlineStr">
        <is>
          <t>U5θ</t>
        </is>
      </c>
      <c r="Q257" s="51" t="inlineStr">
        <is>
          <t>U6X</t>
        </is>
      </c>
      <c r="R257" s="51" t="inlineStr">
        <is>
          <t>U6Y</t>
        </is>
      </c>
      <c r="S257" s="51" t="inlineStr">
        <is>
          <t>U6θ</t>
        </is>
      </c>
      <c r="T257" s="51" t="inlineStr">
        <is>
          <t>U7X</t>
        </is>
      </c>
      <c r="U257" s="51" t="inlineStr">
        <is>
          <t>U7Y</t>
        </is>
      </c>
      <c r="V257" s="51" t="inlineStr">
        <is>
          <t>U7θ</t>
        </is>
      </c>
      <c r="W257" s="51" t="inlineStr">
        <is>
          <t>U8X</t>
        </is>
      </c>
      <c r="X257" s="51" t="inlineStr">
        <is>
          <t>U8Y</t>
        </is>
      </c>
      <c r="Y257" s="51" t="inlineStr">
        <is>
          <t>U8θ</t>
        </is>
      </c>
      <c r="Z257" s="51" t="inlineStr">
        <is>
          <t>U9X</t>
        </is>
      </c>
      <c r="AA257" s="51" t="inlineStr">
        <is>
          <t>U9Y</t>
        </is>
      </c>
      <c r="AB257" s="51" t="inlineStr">
        <is>
          <t>U9θ</t>
        </is>
      </c>
      <c r="AC257" s="51" t="inlineStr">
        <is>
          <t>U10X</t>
        </is>
      </c>
      <c r="AD257" s="51" t="inlineStr">
        <is>
          <t>U10Y</t>
        </is>
      </c>
      <c r="AE257" s="51" t="inlineStr">
        <is>
          <t>U10θ</t>
        </is>
      </c>
      <c r="AF257" s="51" t="inlineStr">
        <is>
          <t>U11X</t>
        </is>
      </c>
      <c r="AG257" s="51" t="inlineStr">
        <is>
          <t>U11Y</t>
        </is>
      </c>
      <c r="AH257" s="51" t="inlineStr">
        <is>
          <t>U11θ</t>
        </is>
      </c>
    </row>
    <row r="258">
      <c r="B258" s="189" t="n"/>
      <c r="C258" s="189" t="n"/>
      <c r="D258" s="189" t="n"/>
      <c r="E258" s="189" t="n"/>
      <c r="F258" s="189" t="n"/>
      <c r="G258" s="189" t="n"/>
      <c r="H258" s="189" t="n"/>
      <c r="I258" s="189" t="n"/>
      <c r="J258" s="189" t="n"/>
      <c r="K258" s="189" t="n"/>
      <c r="L258" s="189" t="n"/>
      <c r="M258" s="189" t="n"/>
      <c r="N258" s="189" t="n"/>
      <c r="O258" s="189" t="n"/>
      <c r="P258" s="189" t="n"/>
      <c r="Q258" s="189" t="n"/>
      <c r="R258" s="189" t="n"/>
      <c r="S258" s="189" t="n"/>
      <c r="T258" s="189" t="n"/>
      <c r="U258" s="189" t="n"/>
      <c r="V258" s="189" t="n"/>
      <c r="W258" s="189" t="n"/>
      <c r="X258" s="189" t="n"/>
      <c r="Y258" s="189" t="n"/>
      <c r="Z258" s="189" t="n"/>
      <c r="AA258" s="189" t="n"/>
      <c r="AB258" s="189" t="n"/>
      <c r="AC258" s="189" t="n"/>
      <c r="AD258" s="189" t="n"/>
      <c r="AE258" s="189" t="n"/>
      <c r="AF258" s="189" t="n"/>
      <c r="AG258" s="189" t="n"/>
      <c r="AH258" s="189" t="n"/>
      <c r="AI258" s="51" t="inlineStr">
        <is>
          <t>U1X</t>
        </is>
      </c>
    </row>
    <row r="259">
      <c r="B259" s="189" t="n"/>
      <c r="C259" s="189" t="n"/>
      <c r="D259" s="189" t="n"/>
      <c r="E259" s="189" t="n"/>
      <c r="F259" s="189" t="n"/>
      <c r="G259" s="189" t="n"/>
      <c r="H259" s="189" t="n"/>
      <c r="I259" s="189" t="n"/>
      <c r="J259" s="189" t="n"/>
      <c r="K259" s="189" t="n"/>
      <c r="L259" s="189" t="n"/>
      <c r="M259" s="189" t="n"/>
      <c r="N259" s="189" t="n"/>
      <c r="O259" s="189" t="n"/>
      <c r="P259" s="189" t="n"/>
      <c r="Q259" s="189" t="n"/>
      <c r="R259" s="189" t="n"/>
      <c r="S259" s="189" t="n"/>
      <c r="T259" s="189" t="n"/>
      <c r="U259" s="189" t="n"/>
      <c r="V259" s="189" t="n"/>
      <c r="W259" s="189" t="n"/>
      <c r="X259" s="189" t="n"/>
      <c r="Y259" s="189" t="n"/>
      <c r="Z259" s="189" t="n"/>
      <c r="AA259" s="189" t="n"/>
      <c r="AB259" s="189" t="n"/>
      <c r="AC259" s="189" t="n"/>
      <c r="AD259" s="189" t="n"/>
      <c r="AE259" s="189" t="n"/>
      <c r="AF259" s="189" t="n"/>
      <c r="AG259" s="189" t="n"/>
      <c r="AH259" s="189" t="n"/>
      <c r="AI259" s="51" t="inlineStr">
        <is>
          <t>U1Y</t>
        </is>
      </c>
    </row>
    <row r="260">
      <c r="B260" s="189" t="n"/>
      <c r="C260" s="189" t="n"/>
      <c r="D260" s="189" t="n"/>
      <c r="E260" s="189" t="n"/>
      <c r="F260" s="189" t="n"/>
      <c r="G260" s="189" t="n"/>
      <c r="H260" s="189" t="n"/>
      <c r="I260" s="189" t="n"/>
      <c r="J260" s="189" t="n"/>
      <c r="K260" s="189" t="n"/>
      <c r="L260" s="189" t="n"/>
      <c r="M260" s="189" t="n"/>
      <c r="N260" s="189" t="n"/>
      <c r="O260" s="189" t="n"/>
      <c r="P260" s="189" t="n"/>
      <c r="Q260" s="189" t="n"/>
      <c r="R260" s="189" t="n"/>
      <c r="S260" s="189" t="n"/>
      <c r="T260" s="189" t="n"/>
      <c r="U260" s="189" t="n"/>
      <c r="V260" s="189" t="n"/>
      <c r="W260" s="189" t="n"/>
      <c r="X260" s="189" t="n"/>
      <c r="Y260" s="189" t="n"/>
      <c r="Z260" s="189" t="n"/>
      <c r="AA260" s="189" t="n"/>
      <c r="AB260" s="189" t="n"/>
      <c r="AC260" s="189" t="n"/>
      <c r="AD260" s="189" t="n"/>
      <c r="AE260" s="189" t="n"/>
      <c r="AF260" s="189" t="n"/>
      <c r="AG260" s="189" t="n"/>
      <c r="AH260" s="189" t="n"/>
      <c r="AI260" s="51" t="inlineStr">
        <is>
          <t>U1θ</t>
        </is>
      </c>
    </row>
    <row r="261">
      <c r="B261" s="189" t="n"/>
      <c r="C261" s="189" t="n"/>
      <c r="D261" s="189" t="n"/>
      <c r="E261" s="189" t="n"/>
      <c r="F261" s="189" t="n"/>
      <c r="G261" s="189" t="n"/>
      <c r="H261" s="189" t="n"/>
      <c r="I261" s="189" t="n"/>
      <c r="J261" s="189" t="n"/>
      <c r="K261" s="189" t="n"/>
      <c r="L261" s="189" t="n"/>
      <c r="M261" s="189" t="n"/>
      <c r="N261" s="189" t="n"/>
      <c r="O261" s="189" t="n"/>
      <c r="P261" s="189" t="n"/>
      <c r="Q261" s="189" t="n"/>
      <c r="R261" s="189" t="n"/>
      <c r="S261" s="189" t="n"/>
      <c r="T261" s="189" t="n"/>
      <c r="U261" s="189" t="n"/>
      <c r="V261" s="189" t="n"/>
      <c r="W261" s="189" t="n"/>
      <c r="X261" s="189" t="n"/>
      <c r="Y261" s="189" t="n"/>
      <c r="Z261" s="189" t="n"/>
      <c r="AA261" s="189" t="n"/>
      <c r="AB261" s="189" t="n"/>
      <c r="AC261" s="189" t="n"/>
      <c r="AD261" s="189" t="n"/>
      <c r="AE261" s="189" t="n"/>
      <c r="AF261" s="189" t="n"/>
      <c r="AG261" s="189" t="n"/>
      <c r="AH261" s="189" t="n"/>
      <c r="AI261" s="51" t="inlineStr">
        <is>
          <t>U2X</t>
        </is>
      </c>
    </row>
    <row r="262">
      <c r="B262" s="189" t="n"/>
      <c r="C262" s="189" t="n"/>
      <c r="D262" s="189" t="n"/>
      <c r="E262" s="189" t="n"/>
      <c r="F262" s="189" t="n"/>
      <c r="G262" s="189" t="n"/>
      <c r="H262" s="189" t="n"/>
      <c r="I262" s="189" t="n"/>
      <c r="J262" s="189" t="n"/>
      <c r="K262" s="189" t="n"/>
      <c r="L262" s="189" t="n"/>
      <c r="M262" s="189" t="n"/>
      <c r="N262" s="189" t="n"/>
      <c r="O262" s="189" t="n"/>
      <c r="P262" s="189" t="n"/>
      <c r="Q262" s="189" t="n"/>
      <c r="R262" s="189" t="n"/>
      <c r="S262" s="189" t="n"/>
      <c r="T262" s="189" t="n"/>
      <c r="U262" s="189" t="n"/>
      <c r="V262" s="189" t="n"/>
      <c r="W262" s="189" t="n"/>
      <c r="X262" s="189" t="n"/>
      <c r="Y262" s="189" t="n"/>
      <c r="Z262" s="189" t="n"/>
      <c r="AA262" s="189" t="n"/>
      <c r="AB262" s="189" t="n"/>
      <c r="AC262" s="189" t="n"/>
      <c r="AD262" s="189" t="n"/>
      <c r="AE262" s="189" t="n"/>
      <c r="AF262" s="189" t="n"/>
      <c r="AG262" s="189" t="n"/>
      <c r="AH262" s="189" t="n"/>
      <c r="AI262" s="51" t="inlineStr">
        <is>
          <t>U2Y</t>
        </is>
      </c>
    </row>
    <row r="263">
      <c r="B263" s="189" t="n"/>
      <c r="C263" s="189" t="n"/>
      <c r="D263" s="189" t="n"/>
      <c r="E263" s="189" t="n"/>
      <c r="F263" s="189" t="n"/>
      <c r="G263" s="189" t="n"/>
      <c r="H263" s="189" t="n"/>
      <c r="I263" s="189" t="n"/>
      <c r="J263" s="189" t="n"/>
      <c r="K263" s="189" t="n"/>
      <c r="L263" s="189" t="n"/>
      <c r="M263" s="189" t="n"/>
      <c r="N263" s="189" t="n"/>
      <c r="O263" s="189" t="n"/>
      <c r="P263" s="189" t="n"/>
      <c r="Q263" s="189" t="n"/>
      <c r="R263" s="189" t="n"/>
      <c r="S263" s="189" t="n"/>
      <c r="T263" s="189" t="n"/>
      <c r="U263" s="189" t="n"/>
      <c r="V263" s="189" t="n"/>
      <c r="W263" s="189" t="n"/>
      <c r="X263" s="189" t="n"/>
      <c r="Y263" s="189" t="n"/>
      <c r="Z263" s="189" t="n"/>
      <c r="AA263" s="189" t="n"/>
      <c r="AB263" s="189" t="n"/>
      <c r="AC263" s="189" t="n"/>
      <c r="AD263" s="189" t="n"/>
      <c r="AE263" s="189" t="n"/>
      <c r="AF263" s="189" t="n"/>
      <c r="AG263" s="189" t="n"/>
      <c r="AH263" s="189" t="n"/>
      <c r="AI263" s="51" t="inlineStr">
        <is>
          <t>U2θ</t>
        </is>
      </c>
    </row>
    <row r="264">
      <c r="B264" s="189" t="n"/>
      <c r="C264" s="189" t="n"/>
      <c r="D264" s="189" t="n"/>
      <c r="E264" s="189" t="n"/>
      <c r="F264" s="189" t="n"/>
      <c r="G264" s="189" t="n"/>
      <c r="H264" s="189" t="n"/>
      <c r="I264" s="189" t="n"/>
      <c r="J264" s="189" t="n"/>
      <c r="K264" s="189" t="n"/>
      <c r="L264" s="189" t="n"/>
      <c r="M264" s="189" t="n"/>
      <c r="N264" s="189" t="n"/>
      <c r="O264" s="189" t="n"/>
      <c r="P264" s="189" t="n"/>
      <c r="Q264" s="189" t="n"/>
      <c r="R264" s="189" t="n"/>
      <c r="S264" s="189" t="n"/>
      <c r="T264" s="189" t="n"/>
      <c r="U264" s="189" t="n"/>
      <c r="V264" s="189" t="n"/>
      <c r="W264" s="189" t="n"/>
      <c r="X264" s="189" t="n"/>
      <c r="Y264" s="189" t="n"/>
      <c r="Z264" s="189" t="n"/>
      <c r="AA264" s="189" t="n"/>
      <c r="AB264" s="189" t="n"/>
      <c r="AC264" s="189" t="n"/>
      <c r="AD264" s="189" t="n"/>
      <c r="AE264" s="189" t="n"/>
      <c r="AF264" s="189" t="n"/>
      <c r="AG264" s="189" t="n"/>
      <c r="AH264" s="189" t="n"/>
      <c r="AI264" s="51" t="inlineStr">
        <is>
          <t>U3X</t>
        </is>
      </c>
    </row>
    <row r="265">
      <c r="B265" s="189" t="n"/>
      <c r="C265" s="189" t="n"/>
      <c r="D265" s="189" t="n"/>
      <c r="E265" s="189" t="n"/>
      <c r="F265" s="189" t="n"/>
      <c r="G265" s="189" t="n"/>
      <c r="H265" s="189" t="n"/>
      <c r="I265" s="189" t="n"/>
      <c r="J265" s="189" t="n"/>
      <c r="K265" s="189" t="n"/>
      <c r="L265" s="189" t="n"/>
      <c r="M265" s="189" t="n"/>
      <c r="N265" s="189" t="n"/>
      <c r="O265" s="189" t="n"/>
      <c r="P265" s="189" t="n"/>
      <c r="Q265" s="189" t="n"/>
      <c r="R265" s="189" t="n"/>
      <c r="S265" s="189" t="n"/>
      <c r="T265" s="189" t="n"/>
      <c r="U265" s="189" t="n"/>
      <c r="V265" s="189" t="n"/>
      <c r="W265" s="189" t="n"/>
      <c r="X265" s="189" t="n"/>
      <c r="Y265" s="189" t="n"/>
      <c r="Z265" s="189" t="n"/>
      <c r="AA265" s="189" t="n"/>
      <c r="AB265" s="189" t="n"/>
      <c r="AC265" s="189" t="n"/>
      <c r="AD265" s="189" t="n"/>
      <c r="AE265" s="189" t="n"/>
      <c r="AF265" s="189" t="n"/>
      <c r="AG265" s="189" t="n"/>
      <c r="AH265" s="189" t="n"/>
      <c r="AI265" s="51" t="inlineStr">
        <is>
          <t>U3Y</t>
        </is>
      </c>
    </row>
    <row r="266">
      <c r="B266" s="189" t="n"/>
      <c r="C266" s="189" t="n"/>
      <c r="D266" s="189" t="n"/>
      <c r="E266" s="189" t="n"/>
      <c r="F266" s="189" t="n"/>
      <c r="G266" s="189" t="n"/>
      <c r="H266" s="189" t="n"/>
      <c r="I266" s="189" t="n"/>
      <c r="J266" s="189" t="n"/>
      <c r="K266" s="189" t="n"/>
      <c r="L266" s="189" t="n"/>
      <c r="M266" s="189" t="n"/>
      <c r="N266" s="189" t="n"/>
      <c r="O266" s="189" t="n"/>
      <c r="P266" s="189" t="n"/>
      <c r="Q266" s="189" t="n"/>
      <c r="R266" s="189" t="n"/>
      <c r="S266" s="189" t="n"/>
      <c r="T266" s="189" t="n"/>
      <c r="U266" s="189" t="n"/>
      <c r="V266" s="189" t="n"/>
      <c r="W266" s="189" t="n"/>
      <c r="X266" s="189" t="n"/>
      <c r="Y266" s="189" t="n"/>
      <c r="Z266" s="189" t="n"/>
      <c r="AA266" s="189" t="n"/>
      <c r="AB266" s="189" t="n"/>
      <c r="AC266" s="189" t="n"/>
      <c r="AD266" s="189" t="n"/>
      <c r="AE266" s="189" t="n"/>
      <c r="AF266" s="189" t="n"/>
      <c r="AG266" s="189" t="n"/>
      <c r="AH266" s="189" t="n"/>
      <c r="AI266" s="51" t="inlineStr">
        <is>
          <t>U3θ</t>
        </is>
      </c>
    </row>
    <row r="267">
      <c r="B267" s="189" t="n"/>
      <c r="C267" s="189" t="n"/>
      <c r="D267" s="189" t="n"/>
      <c r="E267" s="189" t="n"/>
      <c r="F267" s="189" t="n"/>
      <c r="G267" s="189" t="n"/>
      <c r="H267" s="189" t="n"/>
      <c r="I267" s="189" t="n"/>
      <c r="J267" s="189" t="n"/>
      <c r="K267" s="189" t="n"/>
      <c r="L267" s="189" t="n"/>
      <c r="M267" s="189" t="n"/>
      <c r="N267" s="189" t="n"/>
      <c r="O267" s="189" t="n"/>
      <c r="P267" s="189" t="n"/>
      <c r="Q267" s="189" t="n"/>
      <c r="R267" s="189" t="n"/>
      <c r="S267" s="189" t="n"/>
      <c r="T267" s="189" t="n"/>
      <c r="U267" s="189" t="n"/>
      <c r="V267" s="189" t="n"/>
      <c r="W267" s="189" t="n"/>
      <c r="X267" s="189" t="n"/>
      <c r="Y267" s="189" t="n"/>
      <c r="Z267" s="189" t="n"/>
      <c r="AA267" s="189" t="n"/>
      <c r="AB267" s="189" t="n"/>
      <c r="AC267" s="189" t="n"/>
      <c r="AD267" s="189" t="n"/>
      <c r="AE267" s="189" t="n"/>
      <c r="AF267" s="189" t="n"/>
      <c r="AG267" s="189" t="n"/>
      <c r="AH267" s="189" t="n"/>
      <c r="AI267" s="51" t="inlineStr">
        <is>
          <t>U4X</t>
        </is>
      </c>
    </row>
    <row r="268">
      <c r="B268" s="189" t="n"/>
      <c r="C268" s="189" t="n"/>
      <c r="D268" s="189" t="n"/>
      <c r="E268" s="189" t="n"/>
      <c r="F268" s="189" t="n"/>
      <c r="G268" s="189" t="n"/>
      <c r="H268" s="189" t="n"/>
      <c r="I268" s="189" t="n"/>
      <c r="J268" s="189" t="n"/>
      <c r="K268" s="189" t="n"/>
      <c r="L268" s="189" t="n"/>
      <c r="M268" s="189" t="n"/>
      <c r="N268" s="189" t="n"/>
      <c r="O268" s="189" t="n"/>
      <c r="P268" s="189" t="n"/>
      <c r="Q268" s="189" t="n"/>
      <c r="R268" s="189" t="n"/>
      <c r="S268" s="189" t="n"/>
      <c r="T268" s="189" t="n"/>
      <c r="U268" s="189" t="n"/>
      <c r="V268" s="189" t="n"/>
      <c r="W268" s="189" t="n"/>
      <c r="X268" s="189" t="n"/>
      <c r="Y268" s="189" t="n"/>
      <c r="Z268" s="189" t="n"/>
      <c r="AA268" s="189" t="n"/>
      <c r="AB268" s="189" t="n"/>
      <c r="AC268" s="189" t="n"/>
      <c r="AD268" s="189" t="n"/>
      <c r="AE268" s="189" t="n"/>
      <c r="AF268" s="189" t="n"/>
      <c r="AG268" s="189" t="n"/>
      <c r="AH268" s="189" t="n"/>
      <c r="AI268" s="51" t="inlineStr">
        <is>
          <t>U4Y</t>
        </is>
      </c>
    </row>
    <row r="269">
      <c r="B269" s="189" t="n"/>
      <c r="C269" s="189" t="n"/>
      <c r="D269" s="189" t="n"/>
      <c r="E269" s="189" t="n"/>
      <c r="F269" s="189" t="n"/>
      <c r="G269" s="189" t="n"/>
      <c r="H269" s="189" t="n"/>
      <c r="I269" s="189" t="n"/>
      <c r="J269" s="189" t="n"/>
      <c r="K269" s="189" t="n"/>
      <c r="L269" s="189" t="n"/>
      <c r="M269" s="189" t="n"/>
      <c r="N269" s="189" t="n"/>
      <c r="O269" s="189" t="n"/>
      <c r="P269" s="189" t="n"/>
      <c r="Q269" s="189" t="n"/>
      <c r="R269" s="189" t="n"/>
      <c r="S269" s="189" t="n"/>
      <c r="T269" s="189" t="n"/>
      <c r="U269" s="189" t="n"/>
      <c r="V269" s="189" t="n"/>
      <c r="W269" s="189" t="n"/>
      <c r="X269" s="189" t="n"/>
      <c r="Y269" s="189" t="n"/>
      <c r="Z269" s="189" t="n"/>
      <c r="AA269" s="189" t="n"/>
      <c r="AB269" s="189" t="n"/>
      <c r="AC269" s="189" t="n"/>
      <c r="AD269" s="189" t="n"/>
      <c r="AE269" s="189" t="n"/>
      <c r="AF269" s="189" t="n"/>
      <c r="AG269" s="189" t="n"/>
      <c r="AH269" s="189" t="n"/>
      <c r="AI269" s="51" t="inlineStr">
        <is>
          <t>U4θ</t>
        </is>
      </c>
    </row>
    <row r="270">
      <c r="B270" s="189" t="n"/>
      <c r="C270" s="189" t="n"/>
      <c r="D270" s="189" t="n"/>
      <c r="E270" s="189" t="n"/>
      <c r="F270" s="189" t="n"/>
      <c r="G270" s="189" t="n"/>
      <c r="H270" s="189" t="n"/>
      <c r="I270" s="189" t="n"/>
      <c r="J270" s="189" t="n"/>
      <c r="K270" s="189" t="n"/>
      <c r="L270" s="189" t="n"/>
      <c r="M270" s="189" t="n"/>
      <c r="N270" s="189" t="n"/>
      <c r="O270" s="189" t="n"/>
      <c r="P270" s="189" t="n"/>
      <c r="Q270" s="189" t="n"/>
      <c r="R270" s="189" t="n"/>
      <c r="S270" s="189" t="n"/>
      <c r="T270" s="189" t="n"/>
      <c r="U270" s="189" t="n"/>
      <c r="V270" s="189" t="n"/>
      <c r="W270" s="189" t="n"/>
      <c r="X270" s="189" t="n"/>
      <c r="Y270" s="189" t="n"/>
      <c r="Z270" s="189" t="n"/>
      <c r="AA270" s="189" t="n"/>
      <c r="AB270" s="189" t="n"/>
      <c r="AC270" s="189" t="n"/>
      <c r="AD270" s="189" t="n"/>
      <c r="AE270" s="189" t="n"/>
      <c r="AF270" s="189" t="n"/>
      <c r="AG270" s="189" t="n"/>
      <c r="AH270" s="189" t="n"/>
      <c r="AI270" s="51" t="inlineStr">
        <is>
          <t>U5X</t>
        </is>
      </c>
    </row>
    <row r="271">
      <c r="B271" s="189" t="n"/>
      <c r="C271" s="189" t="n"/>
      <c r="D271" s="189" t="n"/>
      <c r="E271" s="189" t="n"/>
      <c r="F271" s="189" t="n"/>
      <c r="G271" s="189" t="n"/>
      <c r="H271" s="189" t="n"/>
      <c r="I271" s="189" t="n"/>
      <c r="J271" s="189" t="n"/>
      <c r="K271" s="189" t="n"/>
      <c r="L271" s="189" t="n"/>
      <c r="M271" s="189" t="n"/>
      <c r="N271" s="189" t="n"/>
      <c r="O271" s="189" t="n"/>
      <c r="P271" s="189" t="n"/>
      <c r="Q271" s="189" t="n"/>
      <c r="R271" s="189" t="n"/>
      <c r="S271" s="189" t="n"/>
      <c r="T271" s="189" t="n"/>
      <c r="U271" s="189" t="n"/>
      <c r="V271" s="189" t="n"/>
      <c r="W271" s="189" t="n"/>
      <c r="X271" s="189" t="n"/>
      <c r="Y271" s="189" t="n"/>
      <c r="Z271" s="189" t="n"/>
      <c r="AA271" s="189" t="n"/>
      <c r="AB271" s="189" t="n"/>
      <c r="AC271" s="189" t="n"/>
      <c r="AD271" s="189" t="n"/>
      <c r="AE271" s="189" t="n"/>
      <c r="AF271" s="189" t="n"/>
      <c r="AG271" s="189" t="n"/>
      <c r="AH271" s="189" t="n"/>
      <c r="AI271" s="51" t="inlineStr">
        <is>
          <t>U5Y</t>
        </is>
      </c>
    </row>
    <row r="272">
      <c r="B272" s="189" t="n"/>
      <c r="C272" s="189" t="n"/>
      <c r="D272" s="189" t="n"/>
      <c r="E272" s="189" t="n"/>
      <c r="F272" s="189" t="n"/>
      <c r="G272" s="189" t="n"/>
      <c r="H272" s="189" t="n"/>
      <c r="I272" s="189" t="n"/>
      <c r="J272" s="189" t="n"/>
      <c r="K272" s="189" t="n"/>
      <c r="L272" s="189" t="n"/>
      <c r="M272" s="189" t="n"/>
      <c r="N272" s="189" t="n"/>
      <c r="O272" s="189" t="n"/>
      <c r="P272" s="189" t="n"/>
      <c r="Q272" s="189" t="n"/>
      <c r="R272" s="189" t="n"/>
      <c r="S272" s="189" t="n"/>
      <c r="T272" s="189" t="n"/>
      <c r="U272" s="189" t="n"/>
      <c r="V272" s="189" t="n"/>
      <c r="W272" s="189" t="n"/>
      <c r="X272" s="189" t="n"/>
      <c r="Y272" s="189" t="n"/>
      <c r="Z272" s="189" t="n"/>
      <c r="AA272" s="189" t="n"/>
      <c r="AB272" s="189" t="n"/>
      <c r="AC272" s="189" t="n"/>
      <c r="AD272" s="189" t="n"/>
      <c r="AE272" s="189" t="n"/>
      <c r="AF272" s="189" t="n"/>
      <c r="AG272" s="189" t="n"/>
      <c r="AH272" s="189" t="n"/>
      <c r="AI272" s="51" t="inlineStr">
        <is>
          <t>U5θ</t>
        </is>
      </c>
    </row>
    <row r="273">
      <c r="A273" s="118" t="inlineStr">
        <is>
          <t>K6 =</t>
        </is>
      </c>
      <c r="B273" s="189" t="n"/>
      <c r="C273" s="189" t="n"/>
      <c r="D273" s="189" t="n"/>
      <c r="E273" s="189" t="n"/>
      <c r="F273" s="189" t="n"/>
      <c r="G273" s="189" t="n"/>
      <c r="H273" s="189" t="n"/>
      <c r="I273" s="189" t="n"/>
      <c r="J273" s="189" t="n"/>
      <c r="K273" s="189" t="n"/>
      <c r="L273" s="189" t="n"/>
      <c r="M273" s="189" t="n"/>
      <c r="N273" s="189" t="n"/>
      <c r="O273" s="189" t="n"/>
      <c r="P273" s="189" t="n"/>
      <c r="Q273" s="189">
        <f>B250</f>
        <v/>
      </c>
      <c r="R273" s="189">
        <f>C250</f>
        <v/>
      </c>
      <c r="S273" s="189">
        <f>D250</f>
        <v/>
      </c>
      <c r="T273" s="189">
        <f>E250</f>
        <v/>
      </c>
      <c r="U273" s="189">
        <f>F250</f>
        <v/>
      </c>
      <c r="V273" s="189">
        <f>G250</f>
        <v/>
      </c>
      <c r="W273" s="189" t="n"/>
      <c r="X273" s="189" t="n"/>
      <c r="Y273" s="189" t="n"/>
      <c r="Z273" s="189" t="n"/>
      <c r="AA273" s="189" t="n"/>
      <c r="AB273" s="189" t="n"/>
      <c r="AC273" s="189" t="n"/>
      <c r="AD273" s="189" t="n"/>
      <c r="AE273" s="189" t="n"/>
      <c r="AF273" s="189" t="n"/>
      <c r="AG273" s="189" t="n"/>
      <c r="AH273" s="189" t="n"/>
      <c r="AI273" s="51" t="inlineStr">
        <is>
          <t>U6X</t>
        </is>
      </c>
    </row>
    <row r="274">
      <c r="B274" s="189" t="n"/>
      <c r="C274" s="189" t="n"/>
      <c r="D274" s="189" t="n"/>
      <c r="E274" s="189" t="n"/>
      <c r="F274" s="189" t="n"/>
      <c r="G274" s="189" t="n"/>
      <c r="H274" s="189" t="n"/>
      <c r="I274" s="189" t="n"/>
      <c r="J274" s="189" t="n"/>
      <c r="K274" s="189" t="n"/>
      <c r="L274" s="189" t="n"/>
      <c r="M274" s="189" t="n"/>
      <c r="N274" s="189" t="n"/>
      <c r="O274" s="189" t="n"/>
      <c r="P274" s="189" t="n"/>
      <c r="Q274" s="189">
        <f>B251</f>
        <v/>
      </c>
      <c r="R274" s="189">
        <f>C251</f>
        <v/>
      </c>
      <c r="S274" s="189">
        <f>D251</f>
        <v/>
      </c>
      <c r="T274" s="189">
        <f>E251</f>
        <v/>
      </c>
      <c r="U274" s="189">
        <f>F251</f>
        <v/>
      </c>
      <c r="V274" s="189">
        <f>G251</f>
        <v/>
      </c>
      <c r="W274" s="189" t="n"/>
      <c r="X274" s="189" t="n"/>
      <c r="Y274" s="189" t="n"/>
      <c r="Z274" s="189" t="n"/>
      <c r="AA274" s="189" t="n"/>
      <c r="AB274" s="189" t="n"/>
      <c r="AC274" s="189" t="n"/>
      <c r="AD274" s="189" t="n"/>
      <c r="AE274" s="189" t="n"/>
      <c r="AF274" s="189" t="n"/>
      <c r="AG274" s="189" t="n"/>
      <c r="AH274" s="189" t="n"/>
      <c r="AI274" s="51" t="inlineStr">
        <is>
          <t>U6Y</t>
        </is>
      </c>
    </row>
    <row r="275">
      <c r="B275" s="189" t="n"/>
      <c r="C275" s="189" t="n"/>
      <c r="D275" s="189" t="n"/>
      <c r="E275" s="189" t="n"/>
      <c r="F275" s="189" t="n"/>
      <c r="G275" s="189" t="n"/>
      <c r="H275" s="189" t="n"/>
      <c r="I275" s="189" t="n"/>
      <c r="J275" s="189" t="n"/>
      <c r="K275" s="189" t="n"/>
      <c r="L275" s="189" t="n"/>
      <c r="M275" s="189" t="n"/>
      <c r="N275" s="189" t="n"/>
      <c r="O275" s="189" t="n"/>
      <c r="P275" s="189" t="n"/>
      <c r="Q275" s="189">
        <f>B252</f>
        <v/>
      </c>
      <c r="R275" s="189">
        <f>C252</f>
        <v/>
      </c>
      <c r="S275" s="189">
        <f>D252</f>
        <v/>
      </c>
      <c r="T275" s="189">
        <f>E252</f>
        <v/>
      </c>
      <c r="U275" s="189">
        <f>F252</f>
        <v/>
      </c>
      <c r="V275" s="189">
        <f>G252</f>
        <v/>
      </c>
      <c r="W275" s="189" t="n"/>
      <c r="X275" s="189" t="n"/>
      <c r="Y275" s="189" t="n"/>
      <c r="Z275" s="189" t="n"/>
      <c r="AA275" s="189" t="n"/>
      <c r="AB275" s="189" t="n"/>
      <c r="AC275" s="189" t="n"/>
      <c r="AD275" s="189" t="n"/>
      <c r="AE275" s="189" t="n"/>
      <c r="AF275" s="189" t="n"/>
      <c r="AG275" s="189" t="n"/>
      <c r="AH275" s="189" t="n"/>
      <c r="AI275" s="51" t="inlineStr">
        <is>
          <t>U6θ</t>
        </is>
      </c>
    </row>
    <row r="276">
      <c r="B276" s="189" t="n"/>
      <c r="C276" s="189" t="n"/>
      <c r="D276" s="189" t="n"/>
      <c r="E276" s="189" t="n"/>
      <c r="F276" s="189" t="n"/>
      <c r="G276" s="189" t="n"/>
      <c r="H276" s="189" t="n"/>
      <c r="I276" s="189" t="n"/>
      <c r="J276" s="189" t="n"/>
      <c r="K276" s="189" t="n"/>
      <c r="L276" s="189" t="n"/>
      <c r="M276" s="189" t="n"/>
      <c r="N276" s="189" t="n"/>
      <c r="O276" s="189" t="n"/>
      <c r="P276" s="189" t="n"/>
      <c r="Q276" s="189">
        <f>B253</f>
        <v/>
      </c>
      <c r="R276" s="189">
        <f>C253</f>
        <v/>
      </c>
      <c r="S276" s="189">
        <f>D253</f>
        <v/>
      </c>
      <c r="T276" s="189">
        <f>E253</f>
        <v/>
      </c>
      <c r="U276" s="189">
        <f>F253</f>
        <v/>
      </c>
      <c r="V276" s="189">
        <f>G253</f>
        <v/>
      </c>
      <c r="W276" s="189" t="n"/>
      <c r="X276" s="189" t="n"/>
      <c r="Y276" s="189" t="n"/>
      <c r="Z276" s="189" t="n"/>
      <c r="AA276" s="189" t="n"/>
      <c r="AB276" s="189" t="n"/>
      <c r="AC276" s="189" t="n"/>
      <c r="AD276" s="189" t="n"/>
      <c r="AE276" s="189" t="n"/>
      <c r="AF276" s="189" t="n"/>
      <c r="AG276" s="189" t="n"/>
      <c r="AH276" s="189" t="n"/>
      <c r="AI276" s="51" t="inlineStr">
        <is>
          <t>U7X</t>
        </is>
      </c>
    </row>
    <row r="277">
      <c r="B277" s="189" t="n"/>
      <c r="C277" s="189" t="n"/>
      <c r="D277" s="189" t="n"/>
      <c r="E277" s="189" t="n"/>
      <c r="F277" s="189" t="n"/>
      <c r="G277" s="189" t="n"/>
      <c r="H277" s="189" t="n"/>
      <c r="I277" s="189" t="n"/>
      <c r="J277" s="189" t="n"/>
      <c r="K277" s="189" t="n"/>
      <c r="L277" s="189" t="n"/>
      <c r="M277" s="189" t="n"/>
      <c r="N277" s="189" t="n"/>
      <c r="O277" s="189" t="n"/>
      <c r="P277" s="189" t="n"/>
      <c r="Q277" s="189">
        <f>B254</f>
        <v/>
      </c>
      <c r="R277" s="189">
        <f>C254</f>
        <v/>
      </c>
      <c r="S277" s="189">
        <f>D254</f>
        <v/>
      </c>
      <c r="T277" s="189">
        <f>E254</f>
        <v/>
      </c>
      <c r="U277" s="189">
        <f>F254</f>
        <v/>
      </c>
      <c r="V277" s="189">
        <f>G254</f>
        <v/>
      </c>
      <c r="W277" s="189" t="n"/>
      <c r="X277" s="189" t="n"/>
      <c r="Y277" s="189" t="n"/>
      <c r="Z277" s="189" t="n"/>
      <c r="AA277" s="189" t="n"/>
      <c r="AB277" s="189" t="n"/>
      <c r="AC277" s="189" t="n"/>
      <c r="AD277" s="189" t="n"/>
      <c r="AE277" s="189" t="n"/>
      <c r="AF277" s="189" t="n"/>
      <c r="AG277" s="189" t="n"/>
      <c r="AH277" s="189" t="n"/>
      <c r="AI277" s="51" t="inlineStr">
        <is>
          <t>U7Y</t>
        </is>
      </c>
    </row>
    <row r="278">
      <c r="B278" s="189" t="n"/>
      <c r="C278" s="189" t="n"/>
      <c r="D278" s="189" t="n"/>
      <c r="E278" s="189" t="n"/>
      <c r="F278" s="189" t="n"/>
      <c r="G278" s="189" t="n"/>
      <c r="H278" s="189" t="n"/>
      <c r="I278" s="189" t="n"/>
      <c r="J278" s="189" t="n"/>
      <c r="K278" s="189" t="n"/>
      <c r="L278" s="189" t="n"/>
      <c r="M278" s="189" t="n"/>
      <c r="N278" s="189" t="n"/>
      <c r="O278" s="189" t="n"/>
      <c r="P278" s="189" t="n"/>
      <c r="Q278" s="189">
        <f>B255</f>
        <v/>
      </c>
      <c r="R278" s="189">
        <f>C255</f>
        <v/>
      </c>
      <c r="S278" s="189">
        <f>D255</f>
        <v/>
      </c>
      <c r="T278" s="189">
        <f>E255</f>
        <v/>
      </c>
      <c r="U278" s="189">
        <f>F255</f>
        <v/>
      </c>
      <c r="V278" s="189">
        <f>G255</f>
        <v/>
      </c>
      <c r="W278" s="189" t="n"/>
      <c r="X278" s="189" t="n"/>
      <c r="Y278" s="189" t="n"/>
      <c r="Z278" s="189" t="n"/>
      <c r="AA278" s="189" t="n"/>
      <c r="AB278" s="189" t="n"/>
      <c r="AC278" s="189" t="n"/>
      <c r="AD278" s="189" t="n"/>
      <c r="AE278" s="189" t="n"/>
      <c r="AF278" s="189" t="n"/>
      <c r="AG278" s="189" t="n"/>
      <c r="AH278" s="189" t="n"/>
      <c r="AI278" s="51" t="inlineStr">
        <is>
          <t>U7θ</t>
        </is>
      </c>
    </row>
    <row r="279">
      <c r="B279" s="189" t="n"/>
      <c r="C279" s="189" t="n"/>
      <c r="D279" s="189" t="n"/>
      <c r="E279" s="189" t="n"/>
      <c r="F279" s="189" t="n"/>
      <c r="G279" s="189" t="n"/>
      <c r="H279" s="189" t="n"/>
      <c r="I279" s="189" t="n"/>
      <c r="J279" s="189" t="n"/>
      <c r="K279" s="189" t="n"/>
      <c r="L279" s="189" t="n"/>
      <c r="M279" s="189" t="n"/>
      <c r="N279" s="189" t="n"/>
      <c r="O279" s="189" t="n"/>
      <c r="P279" s="189" t="n"/>
      <c r="Q279" s="189" t="n"/>
      <c r="R279" s="189" t="n"/>
      <c r="S279" s="189" t="n"/>
      <c r="T279" s="189" t="n"/>
      <c r="U279" s="189" t="n"/>
      <c r="V279" s="189" t="n"/>
      <c r="W279" s="189" t="n"/>
      <c r="X279" s="189" t="n"/>
      <c r="Y279" s="189" t="n"/>
      <c r="Z279" s="189" t="n"/>
      <c r="AA279" s="189" t="n"/>
      <c r="AB279" s="189" t="n"/>
      <c r="AC279" s="189" t="n"/>
      <c r="AD279" s="189" t="n"/>
      <c r="AE279" s="189" t="n"/>
      <c r="AF279" s="189" t="n"/>
      <c r="AG279" s="189" t="n"/>
      <c r="AH279" s="189" t="n"/>
      <c r="AI279" s="51" t="inlineStr">
        <is>
          <t>U8X</t>
        </is>
      </c>
    </row>
    <row r="280">
      <c r="B280" s="189" t="n"/>
      <c r="C280" s="189" t="n"/>
      <c r="D280" s="189" t="n"/>
      <c r="E280" s="189" t="n"/>
      <c r="F280" s="189" t="n"/>
      <c r="G280" s="189" t="n"/>
      <c r="H280" s="189" t="n"/>
      <c r="I280" s="189" t="n"/>
      <c r="J280" s="189" t="n"/>
      <c r="K280" s="189" t="n"/>
      <c r="L280" s="189" t="n"/>
      <c r="M280" s="189" t="n"/>
      <c r="N280" s="189" t="n"/>
      <c r="O280" s="189" t="n"/>
      <c r="P280" s="189" t="n"/>
      <c r="Q280" s="189" t="n"/>
      <c r="R280" s="189" t="n"/>
      <c r="S280" s="189" t="n"/>
      <c r="T280" s="189" t="n"/>
      <c r="U280" s="189" t="n"/>
      <c r="V280" s="189" t="n"/>
      <c r="W280" s="189" t="n"/>
      <c r="X280" s="189" t="n"/>
      <c r="Y280" s="189" t="n"/>
      <c r="Z280" s="189" t="n"/>
      <c r="AA280" s="189" t="n"/>
      <c r="AB280" s="189" t="n"/>
      <c r="AC280" s="189" t="n"/>
      <c r="AD280" s="189" t="n"/>
      <c r="AE280" s="189" t="n"/>
      <c r="AF280" s="189" t="n"/>
      <c r="AG280" s="189" t="n"/>
      <c r="AH280" s="189" t="n"/>
      <c r="AI280" s="51" t="inlineStr">
        <is>
          <t>U8Y</t>
        </is>
      </c>
    </row>
    <row r="281">
      <c r="B281" s="189" t="n"/>
      <c r="C281" s="189" t="n"/>
      <c r="D281" s="189" t="n"/>
      <c r="E281" s="189" t="n"/>
      <c r="F281" s="189" t="n"/>
      <c r="G281" s="189" t="n"/>
      <c r="H281" s="189" t="n"/>
      <c r="I281" s="189" t="n"/>
      <c r="J281" s="189" t="n"/>
      <c r="K281" s="189" t="n"/>
      <c r="L281" s="189" t="n"/>
      <c r="M281" s="189" t="n"/>
      <c r="N281" s="189" t="n"/>
      <c r="O281" s="189" t="n"/>
      <c r="P281" s="189" t="n"/>
      <c r="Q281" s="189" t="n"/>
      <c r="R281" s="189" t="n"/>
      <c r="S281" s="189" t="n"/>
      <c r="T281" s="189" t="n"/>
      <c r="U281" s="189" t="n"/>
      <c r="V281" s="189" t="n"/>
      <c r="W281" s="189" t="n"/>
      <c r="X281" s="189" t="n"/>
      <c r="Y281" s="189" t="n"/>
      <c r="Z281" s="189" t="n"/>
      <c r="AA281" s="189" t="n"/>
      <c r="AB281" s="189" t="n"/>
      <c r="AC281" s="189" t="n"/>
      <c r="AD281" s="189" t="n"/>
      <c r="AE281" s="189" t="n"/>
      <c r="AF281" s="189" t="n"/>
      <c r="AG281" s="189" t="n"/>
      <c r="AH281" s="189" t="n"/>
      <c r="AI281" s="51" t="inlineStr">
        <is>
          <t>U8θ</t>
        </is>
      </c>
    </row>
    <row r="282">
      <c r="B282" s="189" t="n"/>
      <c r="C282" s="189" t="n"/>
      <c r="D282" s="189" t="n"/>
      <c r="E282" s="189" t="n"/>
      <c r="F282" s="189" t="n"/>
      <c r="G282" s="189" t="n"/>
      <c r="H282" s="189" t="n"/>
      <c r="I282" s="189" t="n"/>
      <c r="J282" s="189" t="n"/>
      <c r="K282" s="189" t="n"/>
      <c r="L282" s="189" t="n"/>
      <c r="M282" s="189" t="n"/>
      <c r="N282" s="189" t="n"/>
      <c r="O282" s="189" t="n"/>
      <c r="P282" s="189" t="n"/>
      <c r="Q282" s="189" t="n"/>
      <c r="R282" s="189" t="n"/>
      <c r="S282" s="189" t="n"/>
      <c r="T282" s="189" t="n"/>
      <c r="U282" s="189" t="n"/>
      <c r="V282" s="189" t="n"/>
      <c r="W282" s="189" t="n"/>
      <c r="X282" s="189" t="n"/>
      <c r="Y282" s="189" t="n"/>
      <c r="Z282" s="189" t="n"/>
      <c r="AA282" s="189" t="n"/>
      <c r="AB282" s="189" t="n"/>
      <c r="AC282" s="189" t="n"/>
      <c r="AD282" s="189" t="n"/>
      <c r="AE282" s="189" t="n"/>
      <c r="AF282" s="189" t="n"/>
      <c r="AG282" s="189" t="n"/>
      <c r="AH282" s="189" t="n"/>
      <c r="AI282" s="51" t="inlineStr">
        <is>
          <t>U9X</t>
        </is>
      </c>
    </row>
    <row r="283">
      <c r="B283" s="189" t="n"/>
      <c r="C283" s="189" t="n"/>
      <c r="D283" s="189" t="n"/>
      <c r="E283" s="189" t="n"/>
      <c r="F283" s="189" t="n"/>
      <c r="G283" s="189" t="n"/>
      <c r="H283" s="189" t="n"/>
      <c r="I283" s="189" t="n"/>
      <c r="J283" s="189" t="n"/>
      <c r="K283" s="189" t="n"/>
      <c r="L283" s="189" t="n"/>
      <c r="M283" s="189" t="n"/>
      <c r="N283" s="189" t="n"/>
      <c r="O283" s="189" t="n"/>
      <c r="P283" s="189" t="n"/>
      <c r="Q283" s="189" t="n"/>
      <c r="R283" s="189" t="n"/>
      <c r="S283" s="189" t="n"/>
      <c r="T283" s="189" t="n"/>
      <c r="U283" s="189" t="n"/>
      <c r="V283" s="189" t="n"/>
      <c r="W283" s="189" t="n"/>
      <c r="X283" s="189" t="n"/>
      <c r="Y283" s="189" t="n"/>
      <c r="Z283" s="189" t="n"/>
      <c r="AA283" s="189" t="n"/>
      <c r="AB283" s="189" t="n"/>
      <c r="AC283" s="189" t="n"/>
      <c r="AD283" s="189" t="n"/>
      <c r="AE283" s="189" t="n"/>
      <c r="AF283" s="189" t="n"/>
      <c r="AG283" s="189" t="n"/>
      <c r="AH283" s="189" t="n"/>
      <c r="AI283" s="51" t="inlineStr">
        <is>
          <t>U9Y</t>
        </is>
      </c>
    </row>
    <row r="284">
      <c r="B284" s="189" t="n"/>
      <c r="C284" s="189" t="n"/>
      <c r="D284" s="189" t="n"/>
      <c r="E284" s="189" t="n"/>
      <c r="F284" s="189" t="n"/>
      <c r="G284" s="189" t="n"/>
      <c r="H284" s="189" t="n"/>
      <c r="I284" s="189" t="n"/>
      <c r="J284" s="189" t="n"/>
      <c r="K284" s="189" t="n"/>
      <c r="L284" s="189" t="n"/>
      <c r="M284" s="189" t="n"/>
      <c r="N284" s="189" t="n"/>
      <c r="O284" s="189" t="n"/>
      <c r="P284" s="189" t="n"/>
      <c r="Q284" s="189" t="n"/>
      <c r="R284" s="189" t="n"/>
      <c r="S284" s="189" t="n"/>
      <c r="T284" s="189" t="n"/>
      <c r="U284" s="189" t="n"/>
      <c r="V284" s="189" t="n"/>
      <c r="W284" s="189" t="n"/>
      <c r="X284" s="189" t="n"/>
      <c r="Y284" s="189" t="n"/>
      <c r="Z284" s="189" t="n"/>
      <c r="AA284" s="189" t="n"/>
      <c r="AB284" s="189" t="n"/>
      <c r="AC284" s="189" t="n"/>
      <c r="AD284" s="189" t="n"/>
      <c r="AE284" s="189" t="n"/>
      <c r="AF284" s="189" t="n"/>
      <c r="AG284" s="189" t="n"/>
      <c r="AH284" s="189" t="n"/>
      <c r="AI284" s="51" t="inlineStr">
        <is>
          <t>U9θ</t>
        </is>
      </c>
    </row>
    <row r="285">
      <c r="B285" s="189" t="n"/>
      <c r="C285" s="189" t="n"/>
      <c r="D285" s="189" t="n"/>
      <c r="E285" s="189" t="n"/>
      <c r="F285" s="189" t="n"/>
      <c r="G285" s="189" t="n"/>
      <c r="H285" s="189" t="n"/>
      <c r="I285" s="189" t="n"/>
      <c r="J285" s="189" t="n"/>
      <c r="K285" s="189" t="n"/>
      <c r="L285" s="189" t="n"/>
      <c r="M285" s="189" t="n"/>
      <c r="N285" s="189" t="n"/>
      <c r="O285" s="189" t="n"/>
      <c r="P285" s="189" t="n"/>
      <c r="Q285" s="189" t="n"/>
      <c r="R285" s="189" t="n"/>
      <c r="S285" s="189" t="n"/>
      <c r="T285" s="189" t="n"/>
      <c r="U285" s="189" t="n"/>
      <c r="V285" s="189" t="n"/>
      <c r="W285" s="189" t="n"/>
      <c r="X285" s="189" t="n"/>
      <c r="Y285" s="189" t="n"/>
      <c r="Z285" s="189" t="n"/>
      <c r="AA285" s="189" t="n"/>
      <c r="AB285" s="189" t="n"/>
      <c r="AC285" s="189" t="n"/>
      <c r="AD285" s="189" t="n"/>
      <c r="AE285" s="189" t="n"/>
      <c r="AF285" s="189" t="n"/>
      <c r="AG285" s="189" t="n"/>
      <c r="AH285" s="189" t="n"/>
      <c r="AI285" s="51" t="inlineStr">
        <is>
          <t>U10X</t>
        </is>
      </c>
    </row>
    <row r="286">
      <c r="B286" s="189" t="n"/>
      <c r="C286" s="189" t="n"/>
      <c r="D286" s="189" t="n"/>
      <c r="E286" s="189" t="n"/>
      <c r="F286" s="189" t="n"/>
      <c r="G286" s="189" t="n"/>
      <c r="H286" s="189" t="n"/>
      <c r="I286" s="189" t="n"/>
      <c r="J286" s="189" t="n"/>
      <c r="K286" s="189" t="n"/>
      <c r="L286" s="189" t="n"/>
      <c r="M286" s="189" t="n"/>
      <c r="N286" s="189" t="n"/>
      <c r="O286" s="189" t="n"/>
      <c r="P286" s="189" t="n"/>
      <c r="Q286" s="189" t="n"/>
      <c r="R286" s="189" t="n"/>
      <c r="S286" s="189" t="n"/>
      <c r="T286" s="189" t="n"/>
      <c r="U286" s="189" t="n"/>
      <c r="V286" s="189" t="n"/>
      <c r="W286" s="189" t="n"/>
      <c r="X286" s="189" t="n"/>
      <c r="Y286" s="189" t="n"/>
      <c r="Z286" s="189" t="n"/>
      <c r="AA286" s="189" t="n"/>
      <c r="AB286" s="189" t="n"/>
      <c r="AC286" s="189" t="n"/>
      <c r="AD286" s="189" t="n"/>
      <c r="AE286" s="189" t="n"/>
      <c r="AF286" s="189" t="n"/>
      <c r="AG286" s="189" t="n"/>
      <c r="AH286" s="189" t="n"/>
      <c r="AI286" s="51" t="inlineStr">
        <is>
          <t>U10Y</t>
        </is>
      </c>
    </row>
    <row r="287">
      <c r="B287" s="189" t="n"/>
      <c r="C287" s="189" t="n"/>
      <c r="D287" s="189" t="n"/>
      <c r="E287" s="189" t="n"/>
      <c r="F287" s="189" t="n"/>
      <c r="G287" s="189" t="n"/>
      <c r="H287" s="189" t="n"/>
      <c r="I287" s="189" t="n"/>
      <c r="J287" s="189" t="n"/>
      <c r="K287" s="189" t="n"/>
      <c r="L287" s="189" t="n"/>
      <c r="M287" s="189" t="n"/>
      <c r="N287" s="189" t="n"/>
      <c r="O287" s="189" t="n"/>
      <c r="P287" s="189" t="n"/>
      <c r="Q287" s="189" t="n"/>
      <c r="R287" s="189" t="n"/>
      <c r="S287" s="189" t="n"/>
      <c r="T287" s="189" t="n"/>
      <c r="U287" s="189" t="n"/>
      <c r="V287" s="189" t="n"/>
      <c r="W287" s="189" t="n"/>
      <c r="X287" s="189" t="n"/>
      <c r="Y287" s="189" t="n"/>
      <c r="Z287" s="189" t="n"/>
      <c r="AA287" s="189" t="n"/>
      <c r="AB287" s="189" t="n"/>
      <c r="AC287" s="189" t="n"/>
      <c r="AD287" s="189" t="n"/>
      <c r="AE287" s="189" t="n"/>
      <c r="AF287" s="189" t="n"/>
      <c r="AG287" s="189" t="n"/>
      <c r="AH287" s="189" t="n"/>
      <c r="AI287" s="51" t="inlineStr">
        <is>
          <t>U10θ</t>
        </is>
      </c>
    </row>
    <row r="288">
      <c r="B288" s="189" t="n"/>
      <c r="C288" s="189" t="n"/>
      <c r="D288" s="189" t="n"/>
      <c r="E288" s="189" t="n"/>
      <c r="F288" s="189" t="n"/>
      <c r="G288" s="189" t="n"/>
      <c r="H288" s="189" t="n"/>
      <c r="I288" s="189" t="n"/>
      <c r="J288" s="189" t="n"/>
      <c r="K288" s="189" t="n"/>
      <c r="L288" s="189" t="n"/>
      <c r="M288" s="189" t="n"/>
      <c r="N288" s="189" t="n"/>
      <c r="O288" s="189" t="n"/>
      <c r="P288" s="189" t="n"/>
      <c r="Q288" s="189" t="n"/>
      <c r="R288" s="189" t="n"/>
      <c r="S288" s="189" t="n"/>
      <c r="T288" s="189" t="n"/>
      <c r="U288" s="189" t="n"/>
      <c r="V288" s="189" t="n"/>
      <c r="W288" s="189" t="n"/>
      <c r="X288" s="189" t="n"/>
      <c r="Y288" s="189" t="n"/>
      <c r="Z288" s="189" t="n"/>
      <c r="AA288" s="189" t="n"/>
      <c r="AB288" s="189" t="n"/>
      <c r="AC288" s="189" t="n"/>
      <c r="AD288" s="189" t="n"/>
      <c r="AE288" s="189" t="n"/>
      <c r="AF288" s="189" t="n"/>
      <c r="AG288" s="189" t="n"/>
      <c r="AH288" s="189" t="n"/>
      <c r="AI288" s="51" t="inlineStr">
        <is>
          <t>U11X</t>
        </is>
      </c>
    </row>
    <row r="289">
      <c r="B289" s="189" t="n"/>
      <c r="C289" s="189" t="n"/>
      <c r="D289" s="189" t="n"/>
      <c r="E289" s="189" t="n"/>
      <c r="F289" s="189" t="n"/>
      <c r="G289" s="189" t="n"/>
      <c r="H289" s="189" t="n"/>
      <c r="I289" s="189" t="n"/>
      <c r="J289" s="189" t="n"/>
      <c r="K289" s="189" t="n"/>
      <c r="L289" s="189" t="n"/>
      <c r="M289" s="189" t="n"/>
      <c r="N289" s="189" t="n"/>
      <c r="O289" s="189" t="n"/>
      <c r="P289" s="189" t="n"/>
      <c r="Q289" s="189" t="n"/>
      <c r="R289" s="189" t="n"/>
      <c r="S289" s="189" t="n"/>
      <c r="T289" s="189" t="n"/>
      <c r="U289" s="189" t="n"/>
      <c r="V289" s="189" t="n"/>
      <c r="W289" s="189" t="n"/>
      <c r="X289" s="189" t="n"/>
      <c r="Y289" s="189" t="n"/>
      <c r="Z289" s="189" t="n"/>
      <c r="AA289" s="189" t="n"/>
      <c r="AB289" s="189" t="n"/>
      <c r="AC289" s="189" t="n"/>
      <c r="AD289" s="189" t="n"/>
      <c r="AE289" s="189" t="n"/>
      <c r="AF289" s="189" t="n"/>
      <c r="AG289" s="189" t="n"/>
      <c r="AH289" s="189" t="n"/>
      <c r="AI289" s="51" t="inlineStr">
        <is>
          <t>U11Y</t>
        </is>
      </c>
    </row>
    <row r="290">
      <c r="B290" s="189" t="n"/>
      <c r="C290" s="189" t="n"/>
      <c r="D290" s="189" t="n"/>
      <c r="E290" s="189" t="n"/>
      <c r="F290" s="189" t="n"/>
      <c r="G290" s="189" t="n"/>
      <c r="H290" s="189" t="n"/>
      <c r="I290" s="189" t="n"/>
      <c r="J290" s="189" t="n"/>
      <c r="K290" s="189" t="n"/>
      <c r="L290" s="189" t="n"/>
      <c r="M290" s="189" t="n"/>
      <c r="N290" s="189" t="n"/>
      <c r="O290" s="189" t="n"/>
      <c r="P290" s="189" t="n"/>
      <c r="Q290" s="189" t="n"/>
      <c r="R290" s="189" t="n"/>
      <c r="S290" s="189" t="n"/>
      <c r="T290" s="189" t="n"/>
      <c r="U290" s="189" t="n"/>
      <c r="V290" s="189" t="n"/>
      <c r="W290" s="189" t="n"/>
      <c r="X290" s="189" t="n"/>
      <c r="Y290" s="189" t="n"/>
      <c r="Z290" s="189" t="n"/>
      <c r="AA290" s="189" t="n"/>
      <c r="AB290" s="189" t="n"/>
      <c r="AC290" s="189" t="n"/>
      <c r="AD290" s="189" t="n"/>
      <c r="AE290" s="189" t="n"/>
      <c r="AF290" s="189" t="n"/>
      <c r="AG290" s="189" t="n"/>
      <c r="AH290" s="189" t="n"/>
      <c r="AI290" s="51" t="inlineStr">
        <is>
          <t>U11θ</t>
        </is>
      </c>
    </row>
    <row r="292">
      <c r="B292" s="51">
        <f>IF(C28="","", CONCATENATE("U",C28,C$21))</f>
        <v/>
      </c>
      <c r="C292" s="51">
        <f>IF(D28="","", CONCATENATE("U",D28,D$21))</f>
        <v/>
      </c>
      <c r="D292" s="51">
        <f>IF(E28="","", CONCATENATE("U",E28,E$21))</f>
        <v/>
      </c>
      <c r="E292" s="51">
        <f>IF(F28="","", CONCATENATE("U",F28,F$21))</f>
        <v/>
      </c>
      <c r="F292" s="51">
        <f>IF(G28="","", CONCATENATE("U",G28,G$21))</f>
        <v/>
      </c>
      <c r="G292" s="51">
        <f>IF(H28="","", CONCATENATE("U",H28,H$21))</f>
        <v/>
      </c>
    </row>
    <row r="293">
      <c r="B293" s="8">
        <f>IF(I15="", 0, O15*J15*J15+P15*K15*K15)</f>
        <v/>
      </c>
      <c r="C293" s="189">
        <f>IF(I15="", 0, (O15-P15)*(J15*K15))</f>
        <v/>
      </c>
      <c r="D293" s="189">
        <f>IF(I15="", 0, -Q15*K15)</f>
        <v/>
      </c>
      <c r="E293" s="189">
        <f>-B293</f>
        <v/>
      </c>
      <c r="F293" s="189">
        <f>-C293</f>
        <v/>
      </c>
      <c r="G293" s="189">
        <f>D293</f>
        <v/>
      </c>
      <c r="H293" s="51">
        <f>B292</f>
        <v/>
      </c>
    </row>
    <row r="294">
      <c r="B294" s="189">
        <f>C293</f>
        <v/>
      </c>
      <c r="C294" s="8">
        <f>IF(I15="", 0, O15*K15*K15+P15*J15*J15)</f>
        <v/>
      </c>
      <c r="D294" s="189">
        <f>IF(I15="", 0, Q15*J15)</f>
        <v/>
      </c>
      <c r="E294" s="189">
        <f>-B294</f>
        <v/>
      </c>
      <c r="F294" s="189">
        <f>-C294</f>
        <v/>
      </c>
      <c r="G294" s="189">
        <f>D294</f>
        <v/>
      </c>
      <c r="H294" s="51">
        <f>C292</f>
        <v/>
      </c>
    </row>
    <row r="295">
      <c r="A295" s="118" t="inlineStr">
        <is>
          <t>K7 =</t>
        </is>
      </c>
      <c r="B295" s="189">
        <f>D293</f>
        <v/>
      </c>
      <c r="C295" s="189">
        <f>D294</f>
        <v/>
      </c>
      <c r="D295" s="8">
        <f>IF(I15="", 0, R15)</f>
        <v/>
      </c>
      <c r="E295" s="189">
        <f>-B295</f>
        <v/>
      </c>
      <c r="F295" s="189">
        <f>-C295</f>
        <v/>
      </c>
      <c r="G295" s="189">
        <f>IF(I15="", 0, S15)</f>
        <v/>
      </c>
      <c r="H295" s="51">
        <f>D292</f>
        <v/>
      </c>
    </row>
    <row r="296">
      <c r="B296" s="189">
        <f>E293</f>
        <v/>
      </c>
      <c r="C296" s="189">
        <f>E294</f>
        <v/>
      </c>
      <c r="D296" s="189">
        <f>E295</f>
        <v/>
      </c>
      <c r="E296" s="8">
        <f>B293</f>
        <v/>
      </c>
      <c r="F296" s="189">
        <f>C293</f>
        <v/>
      </c>
      <c r="G296" s="189">
        <f>-D293</f>
        <v/>
      </c>
      <c r="H296" s="51">
        <f>E292</f>
        <v/>
      </c>
    </row>
    <row r="297">
      <c r="B297" s="189">
        <f>F293</f>
        <v/>
      </c>
      <c r="C297" s="189">
        <f>F294</f>
        <v/>
      </c>
      <c r="D297" s="189">
        <f>F295</f>
        <v/>
      </c>
      <c r="E297" s="189">
        <f>F296</f>
        <v/>
      </c>
      <c r="F297" s="8">
        <f>C294</f>
        <v/>
      </c>
      <c r="G297" s="189">
        <f>-D294</f>
        <v/>
      </c>
      <c r="H297" s="51">
        <f>F292</f>
        <v/>
      </c>
    </row>
    <row r="298">
      <c r="B298" s="189">
        <f>G293</f>
        <v/>
      </c>
      <c r="C298" s="189">
        <f>G294</f>
        <v/>
      </c>
      <c r="D298" s="189">
        <f>G295</f>
        <v/>
      </c>
      <c r="E298" s="189">
        <f>G296</f>
        <v/>
      </c>
      <c r="F298" s="189">
        <f>G297</f>
        <v/>
      </c>
      <c r="G298" s="8">
        <f>D295</f>
        <v/>
      </c>
      <c r="H298" s="51">
        <f>G292</f>
        <v/>
      </c>
    </row>
    <row r="300">
      <c r="B300" s="51" t="inlineStr">
        <is>
          <t>U1X</t>
        </is>
      </c>
      <c r="C300" s="51" t="inlineStr">
        <is>
          <t>U1Y</t>
        </is>
      </c>
      <c r="D300" s="51" t="inlineStr">
        <is>
          <t>U1θ</t>
        </is>
      </c>
      <c r="E300" s="51" t="inlineStr">
        <is>
          <t>U2X</t>
        </is>
      </c>
      <c r="F300" s="51" t="inlineStr">
        <is>
          <t>U2Y</t>
        </is>
      </c>
      <c r="G300" s="51" t="inlineStr">
        <is>
          <t>U2θ</t>
        </is>
      </c>
      <c r="H300" s="51" t="inlineStr">
        <is>
          <t>U3X</t>
        </is>
      </c>
      <c r="I300" s="51" t="inlineStr">
        <is>
          <t>U3Y</t>
        </is>
      </c>
      <c r="J300" s="51" t="inlineStr">
        <is>
          <t>U3θ</t>
        </is>
      </c>
      <c r="K300" s="51" t="inlineStr">
        <is>
          <t>U4X</t>
        </is>
      </c>
      <c r="L300" s="51" t="inlineStr">
        <is>
          <t>U4Y</t>
        </is>
      </c>
      <c r="M300" s="51" t="inlineStr">
        <is>
          <t>U4θ</t>
        </is>
      </c>
      <c r="N300" s="51" t="inlineStr">
        <is>
          <t>U5X</t>
        </is>
      </c>
      <c r="O300" s="51" t="inlineStr">
        <is>
          <t>U5Y</t>
        </is>
      </c>
      <c r="P300" s="51" t="inlineStr">
        <is>
          <t>U5θ</t>
        </is>
      </c>
      <c r="Q300" s="51" t="inlineStr">
        <is>
          <t>U6X</t>
        </is>
      </c>
      <c r="R300" s="51" t="inlineStr">
        <is>
          <t>U6Y</t>
        </is>
      </c>
      <c r="S300" s="51" t="inlineStr">
        <is>
          <t>U6θ</t>
        </is>
      </c>
      <c r="T300" s="51" t="inlineStr">
        <is>
          <t>U7X</t>
        </is>
      </c>
      <c r="U300" s="51" t="inlineStr">
        <is>
          <t>U7Y</t>
        </is>
      </c>
      <c r="V300" s="51" t="inlineStr">
        <is>
          <t>U7θ</t>
        </is>
      </c>
      <c r="W300" s="51" t="inlineStr">
        <is>
          <t>U8X</t>
        </is>
      </c>
      <c r="X300" s="51" t="inlineStr">
        <is>
          <t>U8Y</t>
        </is>
      </c>
      <c r="Y300" s="51" t="inlineStr">
        <is>
          <t>U8θ</t>
        </is>
      </c>
      <c r="Z300" s="51" t="inlineStr">
        <is>
          <t>U9X</t>
        </is>
      </c>
      <c r="AA300" s="51" t="inlineStr">
        <is>
          <t>U9Y</t>
        </is>
      </c>
      <c r="AB300" s="51" t="inlineStr">
        <is>
          <t>U9θ</t>
        </is>
      </c>
      <c r="AC300" s="51" t="inlineStr">
        <is>
          <t>U10X</t>
        </is>
      </c>
      <c r="AD300" s="51" t="inlineStr">
        <is>
          <t>U10Y</t>
        </is>
      </c>
      <c r="AE300" s="51" t="inlineStr">
        <is>
          <t>U10θ</t>
        </is>
      </c>
      <c r="AF300" s="51" t="inlineStr">
        <is>
          <t>U11X</t>
        </is>
      </c>
      <c r="AG300" s="51" t="inlineStr">
        <is>
          <t>U11Y</t>
        </is>
      </c>
      <c r="AH300" s="51" t="inlineStr">
        <is>
          <t>U11θ</t>
        </is>
      </c>
    </row>
    <row r="301">
      <c r="B301" s="189" t="n"/>
      <c r="C301" s="189" t="n"/>
      <c r="D301" s="189" t="n"/>
      <c r="E301" s="189" t="n"/>
      <c r="F301" s="189" t="n"/>
      <c r="G301" s="189" t="n"/>
      <c r="H301" s="189" t="n"/>
      <c r="I301" s="189" t="n"/>
      <c r="J301" s="189" t="n"/>
      <c r="K301" s="189" t="n"/>
      <c r="L301" s="189" t="n"/>
      <c r="M301" s="189" t="n"/>
      <c r="N301" s="189" t="n"/>
      <c r="O301" s="189" t="n"/>
      <c r="P301" s="189" t="n"/>
      <c r="Q301" s="189" t="n"/>
      <c r="R301" s="189" t="n"/>
      <c r="S301" s="189" t="n"/>
      <c r="T301" s="189" t="n"/>
      <c r="U301" s="189" t="n"/>
      <c r="V301" s="189" t="n"/>
      <c r="W301" s="189" t="n"/>
      <c r="X301" s="189" t="n"/>
      <c r="Y301" s="189" t="n"/>
      <c r="Z301" s="189" t="n"/>
      <c r="AA301" s="189" t="n"/>
      <c r="AB301" s="189" t="n"/>
      <c r="AC301" s="189" t="n"/>
      <c r="AD301" s="189" t="n"/>
      <c r="AE301" s="189" t="n"/>
      <c r="AF301" s="189" t="n"/>
      <c r="AG301" s="189" t="n"/>
      <c r="AH301" s="189" t="n"/>
      <c r="AI301" s="51" t="inlineStr">
        <is>
          <t>U1X</t>
        </is>
      </c>
    </row>
    <row r="302">
      <c r="B302" s="189" t="n"/>
      <c r="C302" s="189" t="n"/>
      <c r="D302" s="189" t="n"/>
      <c r="E302" s="189" t="n"/>
      <c r="F302" s="189" t="n"/>
      <c r="G302" s="189" t="n"/>
      <c r="H302" s="189" t="n"/>
      <c r="I302" s="189" t="n"/>
      <c r="J302" s="189" t="n"/>
      <c r="K302" s="189" t="n"/>
      <c r="L302" s="189" t="n"/>
      <c r="M302" s="189" t="n"/>
      <c r="N302" s="189" t="n"/>
      <c r="O302" s="189" t="n"/>
      <c r="P302" s="189" t="n"/>
      <c r="Q302" s="189" t="n"/>
      <c r="R302" s="189" t="n"/>
      <c r="S302" s="189" t="n"/>
      <c r="T302" s="189" t="n"/>
      <c r="U302" s="189" t="n"/>
      <c r="V302" s="189" t="n"/>
      <c r="W302" s="189" t="n"/>
      <c r="X302" s="189" t="n"/>
      <c r="Y302" s="189" t="n"/>
      <c r="Z302" s="189" t="n"/>
      <c r="AA302" s="189" t="n"/>
      <c r="AB302" s="189" t="n"/>
      <c r="AC302" s="189" t="n"/>
      <c r="AD302" s="189" t="n"/>
      <c r="AE302" s="189" t="n"/>
      <c r="AF302" s="189" t="n"/>
      <c r="AG302" s="189" t="n"/>
      <c r="AH302" s="189" t="n"/>
      <c r="AI302" s="51" t="inlineStr">
        <is>
          <t>U1Y</t>
        </is>
      </c>
    </row>
    <row r="303">
      <c r="B303" s="189" t="n"/>
      <c r="C303" s="189" t="n"/>
      <c r="D303" s="189" t="n"/>
      <c r="E303" s="189" t="n"/>
      <c r="F303" s="189" t="n"/>
      <c r="G303" s="189" t="n"/>
      <c r="H303" s="189" t="n"/>
      <c r="I303" s="189" t="n"/>
      <c r="J303" s="189" t="n"/>
      <c r="K303" s="189" t="n"/>
      <c r="L303" s="189" t="n"/>
      <c r="M303" s="189" t="n"/>
      <c r="N303" s="189" t="n"/>
      <c r="O303" s="189" t="n"/>
      <c r="P303" s="189" t="n"/>
      <c r="Q303" s="189" t="n"/>
      <c r="R303" s="189" t="n"/>
      <c r="S303" s="189" t="n"/>
      <c r="T303" s="189" t="n"/>
      <c r="U303" s="189" t="n"/>
      <c r="V303" s="189" t="n"/>
      <c r="W303" s="189" t="n"/>
      <c r="X303" s="189" t="n"/>
      <c r="Y303" s="189" t="n"/>
      <c r="Z303" s="189" t="n"/>
      <c r="AA303" s="189" t="n"/>
      <c r="AB303" s="189" t="n"/>
      <c r="AC303" s="189" t="n"/>
      <c r="AD303" s="189" t="n"/>
      <c r="AE303" s="189" t="n"/>
      <c r="AF303" s="189" t="n"/>
      <c r="AG303" s="189" t="n"/>
      <c r="AH303" s="189" t="n"/>
      <c r="AI303" s="51" t="inlineStr">
        <is>
          <t>U1θ</t>
        </is>
      </c>
    </row>
    <row r="304">
      <c r="B304" s="189" t="n"/>
      <c r="C304" s="189" t="n"/>
      <c r="D304" s="189" t="n"/>
      <c r="E304" s="189" t="n"/>
      <c r="F304" s="189" t="n"/>
      <c r="G304" s="189" t="n"/>
      <c r="H304" s="189" t="n"/>
      <c r="I304" s="189" t="n"/>
      <c r="J304" s="189" t="n"/>
      <c r="K304" s="189" t="n"/>
      <c r="L304" s="189" t="n"/>
      <c r="M304" s="189" t="n"/>
      <c r="N304" s="189" t="n"/>
      <c r="O304" s="189" t="n"/>
      <c r="P304" s="189" t="n"/>
      <c r="Q304" s="189" t="n"/>
      <c r="R304" s="189" t="n"/>
      <c r="S304" s="189" t="n"/>
      <c r="T304" s="189" t="n"/>
      <c r="U304" s="189" t="n"/>
      <c r="V304" s="189" t="n"/>
      <c r="W304" s="189" t="n"/>
      <c r="X304" s="189" t="n"/>
      <c r="Y304" s="189" t="n"/>
      <c r="Z304" s="189" t="n"/>
      <c r="AA304" s="189" t="n"/>
      <c r="AB304" s="189" t="n"/>
      <c r="AC304" s="189" t="n"/>
      <c r="AD304" s="189" t="n"/>
      <c r="AE304" s="189" t="n"/>
      <c r="AF304" s="189" t="n"/>
      <c r="AG304" s="189" t="n"/>
      <c r="AH304" s="189" t="n"/>
      <c r="AI304" s="51" t="inlineStr">
        <is>
          <t>U2X</t>
        </is>
      </c>
    </row>
    <row r="305">
      <c r="B305" s="189" t="n"/>
      <c r="C305" s="189" t="n"/>
      <c r="D305" s="189" t="n"/>
      <c r="E305" s="189" t="n"/>
      <c r="F305" s="189" t="n"/>
      <c r="G305" s="189" t="n"/>
      <c r="H305" s="189" t="n"/>
      <c r="I305" s="189" t="n"/>
      <c r="J305" s="189" t="n"/>
      <c r="K305" s="189" t="n"/>
      <c r="L305" s="189" t="n"/>
      <c r="M305" s="189" t="n"/>
      <c r="N305" s="189" t="n"/>
      <c r="O305" s="189" t="n"/>
      <c r="P305" s="189" t="n"/>
      <c r="Q305" s="189" t="n"/>
      <c r="R305" s="189" t="n"/>
      <c r="S305" s="189" t="n"/>
      <c r="T305" s="189" t="n"/>
      <c r="U305" s="189" t="n"/>
      <c r="V305" s="189" t="n"/>
      <c r="W305" s="189" t="n"/>
      <c r="X305" s="189" t="n"/>
      <c r="Y305" s="189" t="n"/>
      <c r="Z305" s="189" t="n"/>
      <c r="AA305" s="189" t="n"/>
      <c r="AB305" s="189" t="n"/>
      <c r="AC305" s="189" t="n"/>
      <c r="AD305" s="189" t="n"/>
      <c r="AE305" s="189" t="n"/>
      <c r="AF305" s="189" t="n"/>
      <c r="AG305" s="189" t="n"/>
      <c r="AH305" s="189" t="n"/>
      <c r="AI305" s="51" t="inlineStr">
        <is>
          <t>U2Y</t>
        </is>
      </c>
    </row>
    <row r="306">
      <c r="B306" s="189" t="n"/>
      <c r="C306" s="189" t="n"/>
      <c r="D306" s="189" t="n"/>
      <c r="E306" s="189" t="n"/>
      <c r="F306" s="189" t="n"/>
      <c r="G306" s="189" t="n"/>
      <c r="H306" s="189" t="n"/>
      <c r="I306" s="189" t="n"/>
      <c r="J306" s="189" t="n"/>
      <c r="K306" s="189" t="n"/>
      <c r="L306" s="189" t="n"/>
      <c r="M306" s="189" t="n"/>
      <c r="N306" s="189" t="n"/>
      <c r="O306" s="189" t="n"/>
      <c r="P306" s="189" t="n"/>
      <c r="Q306" s="189" t="n"/>
      <c r="R306" s="189" t="n"/>
      <c r="S306" s="189" t="n"/>
      <c r="T306" s="189" t="n"/>
      <c r="U306" s="189" t="n"/>
      <c r="V306" s="189" t="n"/>
      <c r="W306" s="189" t="n"/>
      <c r="X306" s="189" t="n"/>
      <c r="Y306" s="189" t="n"/>
      <c r="Z306" s="189" t="n"/>
      <c r="AA306" s="189" t="n"/>
      <c r="AB306" s="189" t="n"/>
      <c r="AC306" s="189" t="n"/>
      <c r="AD306" s="189" t="n"/>
      <c r="AE306" s="189" t="n"/>
      <c r="AF306" s="189" t="n"/>
      <c r="AG306" s="189" t="n"/>
      <c r="AH306" s="189" t="n"/>
      <c r="AI306" s="51" t="inlineStr">
        <is>
          <t>U2θ</t>
        </is>
      </c>
    </row>
    <row r="307">
      <c r="B307" s="189" t="n"/>
      <c r="C307" s="189" t="n"/>
      <c r="D307" s="189" t="n"/>
      <c r="E307" s="189" t="n"/>
      <c r="F307" s="189" t="n"/>
      <c r="G307" s="189" t="n"/>
      <c r="H307" s="189" t="n"/>
      <c r="I307" s="189" t="n"/>
      <c r="J307" s="189" t="n"/>
      <c r="K307" s="189" t="n"/>
      <c r="L307" s="189" t="n"/>
      <c r="M307" s="189" t="n"/>
      <c r="N307" s="189" t="n"/>
      <c r="O307" s="189" t="n"/>
      <c r="P307" s="189" t="n"/>
      <c r="Q307" s="189" t="n"/>
      <c r="R307" s="189" t="n"/>
      <c r="S307" s="189" t="n"/>
      <c r="T307" s="189" t="n"/>
      <c r="U307" s="189" t="n"/>
      <c r="V307" s="189" t="n"/>
      <c r="W307" s="189" t="n"/>
      <c r="X307" s="189" t="n"/>
      <c r="Y307" s="189" t="n"/>
      <c r="Z307" s="189" t="n"/>
      <c r="AA307" s="189" t="n"/>
      <c r="AB307" s="189" t="n"/>
      <c r="AC307" s="189" t="n"/>
      <c r="AD307" s="189" t="n"/>
      <c r="AE307" s="189" t="n"/>
      <c r="AF307" s="189" t="n"/>
      <c r="AG307" s="189" t="n"/>
      <c r="AH307" s="189" t="n"/>
      <c r="AI307" s="51" t="inlineStr">
        <is>
          <t>U3X</t>
        </is>
      </c>
    </row>
    <row r="308">
      <c r="B308" s="189" t="n"/>
      <c r="C308" s="189" t="n"/>
      <c r="D308" s="189" t="n"/>
      <c r="E308" s="189" t="n"/>
      <c r="F308" s="189" t="n"/>
      <c r="G308" s="189" t="n"/>
      <c r="H308" s="189" t="n"/>
      <c r="I308" s="189" t="n"/>
      <c r="J308" s="189" t="n"/>
      <c r="K308" s="189" t="n"/>
      <c r="L308" s="189" t="n"/>
      <c r="M308" s="189" t="n"/>
      <c r="N308" s="189" t="n"/>
      <c r="O308" s="189" t="n"/>
      <c r="P308" s="189" t="n"/>
      <c r="Q308" s="189" t="n"/>
      <c r="R308" s="189" t="n"/>
      <c r="S308" s="189" t="n"/>
      <c r="T308" s="189" t="n"/>
      <c r="U308" s="189" t="n"/>
      <c r="V308" s="189" t="n"/>
      <c r="W308" s="189" t="n"/>
      <c r="X308" s="189" t="n"/>
      <c r="Y308" s="189" t="n"/>
      <c r="Z308" s="189" t="n"/>
      <c r="AA308" s="189" t="n"/>
      <c r="AB308" s="189" t="n"/>
      <c r="AC308" s="189" t="n"/>
      <c r="AD308" s="189" t="n"/>
      <c r="AE308" s="189" t="n"/>
      <c r="AF308" s="189" t="n"/>
      <c r="AG308" s="189" t="n"/>
      <c r="AH308" s="189" t="n"/>
      <c r="AI308" s="51" t="inlineStr">
        <is>
          <t>U3Y</t>
        </is>
      </c>
    </row>
    <row r="309">
      <c r="B309" s="189" t="n"/>
      <c r="C309" s="189" t="n"/>
      <c r="D309" s="189" t="n"/>
      <c r="E309" s="189" t="n"/>
      <c r="F309" s="189" t="n"/>
      <c r="G309" s="189" t="n"/>
      <c r="H309" s="189" t="n"/>
      <c r="I309" s="189" t="n"/>
      <c r="J309" s="189" t="n"/>
      <c r="K309" s="189" t="n"/>
      <c r="L309" s="189" t="n"/>
      <c r="M309" s="189" t="n"/>
      <c r="N309" s="189" t="n"/>
      <c r="O309" s="189" t="n"/>
      <c r="P309" s="189" t="n"/>
      <c r="Q309" s="189" t="n"/>
      <c r="R309" s="189" t="n"/>
      <c r="S309" s="189" t="n"/>
      <c r="T309" s="189" t="n"/>
      <c r="U309" s="189" t="n"/>
      <c r="V309" s="189" t="n"/>
      <c r="W309" s="189" t="n"/>
      <c r="X309" s="189" t="n"/>
      <c r="Y309" s="189" t="n"/>
      <c r="Z309" s="189" t="n"/>
      <c r="AA309" s="189" t="n"/>
      <c r="AB309" s="189" t="n"/>
      <c r="AC309" s="189" t="n"/>
      <c r="AD309" s="189" t="n"/>
      <c r="AE309" s="189" t="n"/>
      <c r="AF309" s="189" t="n"/>
      <c r="AG309" s="189" t="n"/>
      <c r="AH309" s="189" t="n"/>
      <c r="AI309" s="51" t="inlineStr">
        <is>
          <t>U3θ</t>
        </is>
      </c>
    </row>
    <row r="310">
      <c r="B310" s="189" t="n"/>
      <c r="C310" s="189" t="n"/>
      <c r="D310" s="189" t="n"/>
      <c r="E310" s="189" t="n"/>
      <c r="F310" s="189" t="n"/>
      <c r="G310" s="189" t="n"/>
      <c r="H310" s="189" t="n"/>
      <c r="I310" s="189" t="n"/>
      <c r="J310" s="189" t="n"/>
      <c r="K310" s="189" t="n"/>
      <c r="L310" s="189" t="n"/>
      <c r="M310" s="189" t="n"/>
      <c r="N310" s="189" t="n"/>
      <c r="O310" s="189" t="n"/>
      <c r="P310" s="189" t="n"/>
      <c r="Q310" s="189" t="n"/>
      <c r="R310" s="189" t="n"/>
      <c r="S310" s="189" t="n"/>
      <c r="T310" s="189" t="n"/>
      <c r="U310" s="189" t="n"/>
      <c r="V310" s="189" t="n"/>
      <c r="W310" s="189" t="n"/>
      <c r="X310" s="189" t="n"/>
      <c r="Y310" s="189" t="n"/>
      <c r="Z310" s="189" t="n"/>
      <c r="AA310" s="189" t="n"/>
      <c r="AB310" s="189" t="n"/>
      <c r="AC310" s="189" t="n"/>
      <c r="AD310" s="189" t="n"/>
      <c r="AE310" s="189" t="n"/>
      <c r="AF310" s="189" t="n"/>
      <c r="AG310" s="189" t="n"/>
      <c r="AH310" s="189" t="n"/>
      <c r="AI310" s="51" t="inlineStr">
        <is>
          <t>U4X</t>
        </is>
      </c>
    </row>
    <row r="311">
      <c r="B311" s="189" t="n"/>
      <c r="C311" s="189" t="n"/>
      <c r="D311" s="189" t="n"/>
      <c r="E311" s="189" t="n"/>
      <c r="F311" s="189" t="n"/>
      <c r="G311" s="189" t="n"/>
      <c r="H311" s="189" t="n"/>
      <c r="I311" s="189" t="n"/>
      <c r="J311" s="189" t="n"/>
      <c r="K311" s="189" t="n"/>
      <c r="L311" s="189" t="n"/>
      <c r="M311" s="189" t="n"/>
      <c r="N311" s="189" t="n"/>
      <c r="O311" s="189" t="n"/>
      <c r="P311" s="189" t="n"/>
      <c r="Q311" s="189" t="n"/>
      <c r="R311" s="189" t="n"/>
      <c r="S311" s="189" t="n"/>
      <c r="T311" s="189" t="n"/>
      <c r="U311" s="189" t="n"/>
      <c r="V311" s="189" t="n"/>
      <c r="W311" s="189" t="n"/>
      <c r="X311" s="189" t="n"/>
      <c r="Y311" s="189" t="n"/>
      <c r="Z311" s="189" t="n"/>
      <c r="AA311" s="189" t="n"/>
      <c r="AB311" s="189" t="n"/>
      <c r="AC311" s="189" t="n"/>
      <c r="AD311" s="189" t="n"/>
      <c r="AE311" s="189" t="n"/>
      <c r="AF311" s="189" t="n"/>
      <c r="AG311" s="189" t="n"/>
      <c r="AH311" s="189" t="n"/>
      <c r="AI311" s="51" t="inlineStr">
        <is>
          <t>U4Y</t>
        </is>
      </c>
    </row>
    <row r="312">
      <c r="B312" s="189" t="n"/>
      <c r="C312" s="189" t="n"/>
      <c r="D312" s="189" t="n"/>
      <c r="E312" s="189" t="n"/>
      <c r="F312" s="189" t="n"/>
      <c r="G312" s="189" t="n"/>
      <c r="H312" s="189" t="n"/>
      <c r="I312" s="189" t="n"/>
      <c r="J312" s="189" t="n"/>
      <c r="K312" s="189" t="n"/>
      <c r="L312" s="189" t="n"/>
      <c r="M312" s="189" t="n"/>
      <c r="N312" s="189" t="n"/>
      <c r="O312" s="189" t="n"/>
      <c r="P312" s="189" t="n"/>
      <c r="Q312" s="189" t="n"/>
      <c r="R312" s="189" t="n"/>
      <c r="S312" s="189" t="n"/>
      <c r="T312" s="189" t="n"/>
      <c r="U312" s="189" t="n"/>
      <c r="V312" s="189" t="n"/>
      <c r="W312" s="189" t="n"/>
      <c r="X312" s="189" t="n"/>
      <c r="Y312" s="189" t="n"/>
      <c r="Z312" s="189" t="n"/>
      <c r="AA312" s="189" t="n"/>
      <c r="AB312" s="189" t="n"/>
      <c r="AC312" s="189" t="n"/>
      <c r="AD312" s="189" t="n"/>
      <c r="AE312" s="189" t="n"/>
      <c r="AF312" s="189" t="n"/>
      <c r="AG312" s="189" t="n"/>
      <c r="AH312" s="189" t="n"/>
      <c r="AI312" s="51" t="inlineStr">
        <is>
          <t>U4θ</t>
        </is>
      </c>
    </row>
    <row r="313">
      <c r="B313" s="189" t="n"/>
      <c r="C313" s="189" t="n"/>
      <c r="D313" s="189" t="n"/>
      <c r="E313" s="189" t="n"/>
      <c r="F313" s="189" t="n"/>
      <c r="G313" s="189" t="n"/>
      <c r="H313" s="189" t="n"/>
      <c r="I313" s="189" t="n"/>
      <c r="J313" s="189" t="n"/>
      <c r="K313" s="189" t="n"/>
      <c r="L313" s="189" t="n"/>
      <c r="M313" s="189" t="n"/>
      <c r="N313" s="189" t="n"/>
      <c r="O313" s="189" t="n"/>
      <c r="P313" s="189" t="n"/>
      <c r="Q313" s="189" t="n"/>
      <c r="R313" s="189" t="n"/>
      <c r="S313" s="189" t="n"/>
      <c r="T313" s="189" t="n"/>
      <c r="U313" s="189" t="n"/>
      <c r="V313" s="189" t="n"/>
      <c r="W313" s="189" t="n"/>
      <c r="X313" s="189" t="n"/>
      <c r="Y313" s="189" t="n"/>
      <c r="Z313" s="189" t="n"/>
      <c r="AA313" s="189" t="n"/>
      <c r="AB313" s="189" t="n"/>
      <c r="AC313" s="189" t="n"/>
      <c r="AD313" s="189" t="n"/>
      <c r="AE313" s="189" t="n"/>
      <c r="AF313" s="189" t="n"/>
      <c r="AG313" s="189" t="n"/>
      <c r="AH313" s="189" t="n"/>
      <c r="AI313" s="51" t="inlineStr">
        <is>
          <t>U5X</t>
        </is>
      </c>
    </row>
    <row r="314">
      <c r="B314" s="189" t="n"/>
      <c r="C314" s="189" t="n"/>
      <c r="D314" s="189" t="n"/>
      <c r="E314" s="189" t="n"/>
      <c r="F314" s="189" t="n"/>
      <c r="G314" s="189" t="n"/>
      <c r="H314" s="189" t="n"/>
      <c r="I314" s="189" t="n"/>
      <c r="J314" s="189" t="n"/>
      <c r="K314" s="189" t="n"/>
      <c r="L314" s="189" t="n"/>
      <c r="M314" s="189" t="n"/>
      <c r="N314" s="189" t="n"/>
      <c r="O314" s="189" t="n"/>
      <c r="P314" s="189" t="n"/>
      <c r="Q314" s="189" t="n"/>
      <c r="R314" s="189" t="n"/>
      <c r="S314" s="189" t="n"/>
      <c r="T314" s="189" t="n"/>
      <c r="U314" s="189" t="n"/>
      <c r="V314" s="189" t="n"/>
      <c r="W314" s="189" t="n"/>
      <c r="X314" s="189" t="n"/>
      <c r="Y314" s="189" t="n"/>
      <c r="Z314" s="189" t="n"/>
      <c r="AA314" s="189" t="n"/>
      <c r="AB314" s="189" t="n"/>
      <c r="AC314" s="189" t="n"/>
      <c r="AD314" s="189" t="n"/>
      <c r="AE314" s="189" t="n"/>
      <c r="AF314" s="189" t="n"/>
      <c r="AG314" s="189" t="n"/>
      <c r="AH314" s="189" t="n"/>
      <c r="AI314" s="51" t="inlineStr">
        <is>
          <t>U5Y</t>
        </is>
      </c>
    </row>
    <row r="315">
      <c r="B315" s="189" t="n"/>
      <c r="C315" s="189" t="n"/>
      <c r="D315" s="189" t="n"/>
      <c r="E315" s="189" t="n"/>
      <c r="F315" s="189" t="n"/>
      <c r="G315" s="189" t="n"/>
      <c r="H315" s="189" t="n"/>
      <c r="I315" s="189" t="n"/>
      <c r="J315" s="189" t="n"/>
      <c r="K315" s="189" t="n"/>
      <c r="L315" s="189" t="n"/>
      <c r="M315" s="189" t="n"/>
      <c r="N315" s="189" t="n"/>
      <c r="O315" s="189" t="n"/>
      <c r="P315" s="189" t="n"/>
      <c r="Q315" s="189" t="n"/>
      <c r="R315" s="189" t="n"/>
      <c r="S315" s="189" t="n"/>
      <c r="T315" s="189" t="n"/>
      <c r="U315" s="189" t="n"/>
      <c r="V315" s="189" t="n"/>
      <c r="W315" s="189" t="n"/>
      <c r="X315" s="189" t="n"/>
      <c r="Y315" s="189" t="n"/>
      <c r="Z315" s="189" t="n"/>
      <c r="AA315" s="189" t="n"/>
      <c r="AB315" s="189" t="n"/>
      <c r="AC315" s="189" t="n"/>
      <c r="AD315" s="189" t="n"/>
      <c r="AE315" s="189" t="n"/>
      <c r="AF315" s="189" t="n"/>
      <c r="AG315" s="189" t="n"/>
      <c r="AH315" s="189" t="n"/>
      <c r="AI315" s="51" t="inlineStr">
        <is>
          <t>U5θ</t>
        </is>
      </c>
    </row>
    <row r="316">
      <c r="A316" s="118" t="inlineStr">
        <is>
          <t>K7 =</t>
        </is>
      </c>
      <c r="B316" s="189" t="n"/>
      <c r="C316" s="189" t="n"/>
      <c r="D316" s="189" t="n"/>
      <c r="E316" s="189" t="n"/>
      <c r="F316" s="189" t="n"/>
      <c r="G316" s="189" t="n"/>
      <c r="H316" s="189" t="n"/>
      <c r="I316" s="189" t="n"/>
      <c r="J316" s="189" t="n"/>
      <c r="K316" s="189" t="n"/>
      <c r="L316" s="189" t="n"/>
      <c r="M316" s="189" t="n"/>
      <c r="N316" s="189" t="n"/>
      <c r="O316" s="189" t="n"/>
      <c r="P316" s="189" t="n"/>
      <c r="Q316" s="189" t="n"/>
      <c r="R316" s="189" t="n"/>
      <c r="S316" s="189" t="n"/>
      <c r="T316" s="189" t="n"/>
      <c r="U316" s="189" t="n"/>
      <c r="V316" s="189" t="n"/>
      <c r="W316" s="189" t="n"/>
      <c r="X316" s="189" t="n"/>
      <c r="Y316" s="189" t="n"/>
      <c r="Z316" s="189" t="n"/>
      <c r="AA316" s="189" t="n"/>
      <c r="AB316" s="189" t="n"/>
      <c r="AC316" s="189" t="n"/>
      <c r="AD316" s="189" t="n"/>
      <c r="AE316" s="189" t="n"/>
      <c r="AF316" s="189" t="n"/>
      <c r="AG316" s="189" t="n"/>
      <c r="AH316" s="189" t="n"/>
      <c r="AI316" s="51" t="inlineStr">
        <is>
          <t>U6X</t>
        </is>
      </c>
    </row>
    <row r="317">
      <c r="B317" s="189" t="n"/>
      <c r="C317" s="189" t="n"/>
      <c r="D317" s="189" t="n"/>
      <c r="E317" s="189" t="n"/>
      <c r="F317" s="189" t="n"/>
      <c r="G317" s="189" t="n"/>
      <c r="H317" s="189" t="n"/>
      <c r="I317" s="189" t="n"/>
      <c r="J317" s="189" t="n"/>
      <c r="K317" s="189" t="n"/>
      <c r="L317" s="189" t="n"/>
      <c r="M317" s="189" t="n"/>
      <c r="N317" s="189" t="n"/>
      <c r="O317" s="189" t="n"/>
      <c r="P317" s="189" t="n"/>
      <c r="Q317" s="189" t="n"/>
      <c r="R317" s="189" t="n"/>
      <c r="S317" s="189" t="n"/>
      <c r="T317" s="189" t="n"/>
      <c r="U317" s="189" t="n"/>
      <c r="V317" s="189" t="n"/>
      <c r="W317" s="189" t="n"/>
      <c r="X317" s="189" t="n"/>
      <c r="Y317" s="189" t="n"/>
      <c r="Z317" s="189" t="n"/>
      <c r="AA317" s="189" t="n"/>
      <c r="AB317" s="189" t="n"/>
      <c r="AC317" s="189" t="n"/>
      <c r="AD317" s="189" t="n"/>
      <c r="AE317" s="189" t="n"/>
      <c r="AF317" s="189" t="n"/>
      <c r="AG317" s="189" t="n"/>
      <c r="AH317" s="189" t="n"/>
      <c r="AI317" s="51" t="inlineStr">
        <is>
          <t>U6Y</t>
        </is>
      </c>
    </row>
    <row r="318">
      <c r="B318" s="189" t="n"/>
      <c r="C318" s="189" t="n"/>
      <c r="D318" s="189" t="n"/>
      <c r="E318" s="189" t="n"/>
      <c r="F318" s="189" t="n"/>
      <c r="G318" s="189" t="n"/>
      <c r="H318" s="189" t="n"/>
      <c r="I318" s="189" t="n"/>
      <c r="J318" s="189" t="n"/>
      <c r="K318" s="189" t="n"/>
      <c r="L318" s="189" t="n"/>
      <c r="M318" s="189" t="n"/>
      <c r="N318" s="189" t="n"/>
      <c r="O318" s="189" t="n"/>
      <c r="P318" s="189" t="n"/>
      <c r="Q318" s="189" t="n"/>
      <c r="R318" s="189" t="n"/>
      <c r="S318" s="189" t="n"/>
      <c r="T318" s="189" t="n"/>
      <c r="U318" s="189" t="n"/>
      <c r="V318" s="189" t="n"/>
      <c r="W318" s="189" t="n"/>
      <c r="X318" s="189" t="n"/>
      <c r="Y318" s="189" t="n"/>
      <c r="Z318" s="189" t="n"/>
      <c r="AA318" s="189" t="n"/>
      <c r="AB318" s="189" t="n"/>
      <c r="AC318" s="189" t="n"/>
      <c r="AD318" s="189" t="n"/>
      <c r="AE318" s="189" t="n"/>
      <c r="AF318" s="189" t="n"/>
      <c r="AG318" s="189" t="n"/>
      <c r="AH318" s="189" t="n"/>
      <c r="AI318" s="51" t="inlineStr">
        <is>
          <t>U6θ</t>
        </is>
      </c>
    </row>
    <row r="319">
      <c r="B319" s="189" t="n"/>
      <c r="C319" s="189" t="n"/>
      <c r="D319" s="189" t="n"/>
      <c r="E319" s="189" t="n"/>
      <c r="F319" s="189" t="n"/>
      <c r="G319" s="189" t="n"/>
      <c r="H319" s="189" t="n"/>
      <c r="I319" s="189" t="n"/>
      <c r="J319" s="189" t="n"/>
      <c r="K319" s="189" t="n"/>
      <c r="L319" s="189" t="n"/>
      <c r="M319" s="189" t="n"/>
      <c r="N319" s="189" t="n"/>
      <c r="O319" s="189" t="n"/>
      <c r="P319" s="189" t="n"/>
      <c r="Q319" s="189" t="n"/>
      <c r="R319" s="189" t="n"/>
      <c r="S319" s="189" t="n"/>
      <c r="T319" s="189">
        <f>B293</f>
        <v/>
      </c>
      <c r="U319" s="189">
        <f>C293</f>
        <v/>
      </c>
      <c r="V319" s="189">
        <f>D293</f>
        <v/>
      </c>
      <c r="W319" s="189">
        <f>E293</f>
        <v/>
      </c>
      <c r="X319" s="189">
        <f>F293</f>
        <v/>
      </c>
      <c r="Y319" s="189">
        <f>G293</f>
        <v/>
      </c>
      <c r="Z319" s="189" t="n"/>
      <c r="AA319" s="189" t="n"/>
      <c r="AB319" s="189" t="n"/>
      <c r="AC319" s="189" t="n"/>
      <c r="AD319" s="189" t="n"/>
      <c r="AE319" s="189" t="n"/>
      <c r="AF319" s="189" t="n"/>
      <c r="AG319" s="189" t="n"/>
      <c r="AH319" s="189" t="n"/>
      <c r="AI319" s="51" t="inlineStr">
        <is>
          <t>U7X</t>
        </is>
      </c>
    </row>
    <row r="320">
      <c r="B320" s="189" t="n"/>
      <c r="C320" s="189" t="n"/>
      <c r="D320" s="189" t="n"/>
      <c r="E320" s="189" t="n"/>
      <c r="F320" s="189" t="n"/>
      <c r="G320" s="189" t="n"/>
      <c r="H320" s="189" t="n"/>
      <c r="I320" s="189" t="n"/>
      <c r="J320" s="189" t="n"/>
      <c r="K320" s="189" t="n"/>
      <c r="L320" s="189" t="n"/>
      <c r="M320" s="189" t="n"/>
      <c r="N320" s="189" t="n"/>
      <c r="O320" s="189" t="n"/>
      <c r="P320" s="189" t="n"/>
      <c r="Q320" s="189" t="n"/>
      <c r="R320" s="189" t="n"/>
      <c r="S320" s="189" t="n"/>
      <c r="T320" s="189">
        <f>B294</f>
        <v/>
      </c>
      <c r="U320" s="189">
        <f>C294</f>
        <v/>
      </c>
      <c r="V320" s="189">
        <f>D294</f>
        <v/>
      </c>
      <c r="W320" s="189">
        <f>E294</f>
        <v/>
      </c>
      <c r="X320" s="189">
        <f>F294</f>
        <v/>
      </c>
      <c r="Y320" s="189">
        <f>G294</f>
        <v/>
      </c>
      <c r="Z320" s="189" t="n"/>
      <c r="AA320" s="189" t="n"/>
      <c r="AB320" s="189" t="n"/>
      <c r="AC320" s="189" t="n"/>
      <c r="AD320" s="189" t="n"/>
      <c r="AE320" s="189" t="n"/>
      <c r="AF320" s="189" t="n"/>
      <c r="AG320" s="189" t="n"/>
      <c r="AH320" s="189" t="n"/>
      <c r="AI320" s="51" t="inlineStr">
        <is>
          <t>U7Y</t>
        </is>
      </c>
    </row>
    <row r="321">
      <c r="B321" s="189" t="n"/>
      <c r="C321" s="189" t="n"/>
      <c r="D321" s="189" t="n"/>
      <c r="E321" s="189" t="n"/>
      <c r="F321" s="189" t="n"/>
      <c r="G321" s="189" t="n"/>
      <c r="H321" s="189" t="n"/>
      <c r="I321" s="189" t="n"/>
      <c r="J321" s="189" t="n"/>
      <c r="K321" s="189" t="n"/>
      <c r="L321" s="189" t="n"/>
      <c r="M321" s="189" t="n"/>
      <c r="N321" s="189" t="n"/>
      <c r="O321" s="189" t="n"/>
      <c r="P321" s="189" t="n"/>
      <c r="Q321" s="189" t="n"/>
      <c r="R321" s="189" t="n"/>
      <c r="S321" s="189" t="n"/>
      <c r="T321" s="189">
        <f>B295</f>
        <v/>
      </c>
      <c r="U321" s="189">
        <f>C295</f>
        <v/>
      </c>
      <c r="V321" s="189">
        <f>D295</f>
        <v/>
      </c>
      <c r="W321" s="189">
        <f>E295</f>
        <v/>
      </c>
      <c r="X321" s="189">
        <f>F295</f>
        <v/>
      </c>
      <c r="Y321" s="189">
        <f>G295</f>
        <v/>
      </c>
      <c r="Z321" s="189" t="n"/>
      <c r="AA321" s="189" t="n"/>
      <c r="AB321" s="189" t="n"/>
      <c r="AC321" s="189" t="n"/>
      <c r="AD321" s="189" t="n"/>
      <c r="AE321" s="189" t="n"/>
      <c r="AF321" s="189" t="n"/>
      <c r="AG321" s="189" t="n"/>
      <c r="AH321" s="189" t="n"/>
      <c r="AI321" s="51" t="inlineStr">
        <is>
          <t>U7θ</t>
        </is>
      </c>
    </row>
    <row r="322">
      <c r="B322" s="189" t="n"/>
      <c r="C322" s="189" t="n"/>
      <c r="D322" s="189" t="n"/>
      <c r="E322" s="189" t="n"/>
      <c r="F322" s="189" t="n"/>
      <c r="G322" s="189" t="n"/>
      <c r="H322" s="189" t="n"/>
      <c r="I322" s="189" t="n"/>
      <c r="J322" s="189" t="n"/>
      <c r="K322" s="189" t="n"/>
      <c r="L322" s="189" t="n"/>
      <c r="M322" s="189" t="n"/>
      <c r="N322" s="189" t="n"/>
      <c r="O322" s="189" t="n"/>
      <c r="P322" s="189" t="n"/>
      <c r="Q322" s="189" t="n"/>
      <c r="R322" s="189" t="n"/>
      <c r="S322" s="189" t="n"/>
      <c r="T322" s="189">
        <f>B296</f>
        <v/>
      </c>
      <c r="U322" s="189">
        <f>C296</f>
        <v/>
      </c>
      <c r="V322" s="189">
        <f>D296</f>
        <v/>
      </c>
      <c r="W322" s="189">
        <f>E296</f>
        <v/>
      </c>
      <c r="X322" s="189">
        <f>F296</f>
        <v/>
      </c>
      <c r="Y322" s="189">
        <f>G296</f>
        <v/>
      </c>
      <c r="Z322" s="189" t="n"/>
      <c r="AA322" s="189" t="n"/>
      <c r="AB322" s="189" t="n"/>
      <c r="AC322" s="189" t="n"/>
      <c r="AD322" s="189" t="n"/>
      <c r="AE322" s="189" t="n"/>
      <c r="AF322" s="189" t="n"/>
      <c r="AG322" s="189" t="n"/>
      <c r="AH322" s="189" t="n"/>
      <c r="AI322" s="51" t="inlineStr">
        <is>
          <t>U8X</t>
        </is>
      </c>
    </row>
    <row r="323">
      <c r="B323" s="189" t="n"/>
      <c r="C323" s="189" t="n"/>
      <c r="D323" s="189" t="n"/>
      <c r="E323" s="189" t="n"/>
      <c r="F323" s="189" t="n"/>
      <c r="G323" s="189" t="n"/>
      <c r="H323" s="189" t="n"/>
      <c r="I323" s="189" t="n"/>
      <c r="J323" s="189" t="n"/>
      <c r="K323" s="189" t="n"/>
      <c r="L323" s="189" t="n"/>
      <c r="M323" s="189" t="n"/>
      <c r="N323" s="189" t="n"/>
      <c r="O323" s="189" t="n"/>
      <c r="P323" s="189" t="n"/>
      <c r="Q323" s="189" t="n"/>
      <c r="R323" s="189" t="n"/>
      <c r="S323" s="189" t="n"/>
      <c r="T323" s="189">
        <f>B297</f>
        <v/>
      </c>
      <c r="U323" s="189">
        <f>C297</f>
        <v/>
      </c>
      <c r="V323" s="189">
        <f>D297</f>
        <v/>
      </c>
      <c r="W323" s="189">
        <f>E297</f>
        <v/>
      </c>
      <c r="X323" s="189">
        <f>F297</f>
        <v/>
      </c>
      <c r="Y323" s="189">
        <f>G297</f>
        <v/>
      </c>
      <c r="Z323" s="189" t="n"/>
      <c r="AA323" s="189" t="n"/>
      <c r="AB323" s="189" t="n"/>
      <c r="AC323" s="189" t="n"/>
      <c r="AD323" s="189" t="n"/>
      <c r="AE323" s="189" t="n"/>
      <c r="AF323" s="189" t="n"/>
      <c r="AG323" s="189" t="n"/>
      <c r="AH323" s="189" t="n"/>
      <c r="AI323" s="51" t="inlineStr">
        <is>
          <t>U8Y</t>
        </is>
      </c>
    </row>
    <row r="324">
      <c r="B324" s="189" t="n"/>
      <c r="C324" s="189" t="n"/>
      <c r="D324" s="189" t="n"/>
      <c r="E324" s="189" t="n"/>
      <c r="F324" s="189" t="n"/>
      <c r="G324" s="189" t="n"/>
      <c r="H324" s="189" t="n"/>
      <c r="I324" s="189" t="n"/>
      <c r="J324" s="189" t="n"/>
      <c r="K324" s="189" t="n"/>
      <c r="L324" s="189" t="n"/>
      <c r="M324" s="189" t="n"/>
      <c r="N324" s="189" t="n"/>
      <c r="O324" s="189" t="n"/>
      <c r="P324" s="189" t="n"/>
      <c r="Q324" s="189" t="n"/>
      <c r="R324" s="189" t="n"/>
      <c r="S324" s="189" t="n"/>
      <c r="T324" s="189">
        <f>B298</f>
        <v/>
      </c>
      <c r="U324" s="189">
        <f>C298</f>
        <v/>
      </c>
      <c r="V324" s="189">
        <f>D298</f>
        <v/>
      </c>
      <c r="W324" s="189">
        <f>E298</f>
        <v/>
      </c>
      <c r="X324" s="189">
        <f>F298</f>
        <v/>
      </c>
      <c r="Y324" s="189">
        <f>G298</f>
        <v/>
      </c>
      <c r="Z324" s="189" t="n"/>
      <c r="AA324" s="189" t="n"/>
      <c r="AB324" s="189" t="n"/>
      <c r="AC324" s="189" t="n"/>
      <c r="AD324" s="189" t="n"/>
      <c r="AE324" s="189" t="n"/>
      <c r="AF324" s="189" t="n"/>
      <c r="AG324" s="189" t="n"/>
      <c r="AH324" s="189" t="n"/>
      <c r="AI324" s="51" t="inlineStr">
        <is>
          <t>U8θ</t>
        </is>
      </c>
    </row>
    <row r="325">
      <c r="B325" s="189" t="n"/>
      <c r="C325" s="189" t="n"/>
      <c r="D325" s="189" t="n"/>
      <c r="E325" s="189" t="n"/>
      <c r="F325" s="189" t="n"/>
      <c r="G325" s="189" t="n"/>
      <c r="H325" s="189" t="n"/>
      <c r="I325" s="189" t="n"/>
      <c r="J325" s="189" t="n"/>
      <c r="K325" s="189" t="n"/>
      <c r="L325" s="189" t="n"/>
      <c r="M325" s="189" t="n"/>
      <c r="N325" s="189" t="n"/>
      <c r="O325" s="189" t="n"/>
      <c r="P325" s="189" t="n"/>
      <c r="Q325" s="189" t="n"/>
      <c r="R325" s="189" t="n"/>
      <c r="S325" s="189" t="n"/>
      <c r="T325" s="189" t="n"/>
      <c r="U325" s="189" t="n"/>
      <c r="V325" s="189" t="n"/>
      <c r="W325" s="189" t="n"/>
      <c r="X325" s="189" t="n"/>
      <c r="Y325" s="189" t="n"/>
      <c r="Z325" s="189" t="n"/>
      <c r="AA325" s="189" t="n"/>
      <c r="AB325" s="189" t="n"/>
      <c r="AC325" s="189" t="n"/>
      <c r="AD325" s="189" t="n"/>
      <c r="AE325" s="189" t="n"/>
      <c r="AF325" s="189" t="n"/>
      <c r="AG325" s="189" t="n"/>
      <c r="AH325" s="189" t="n"/>
      <c r="AI325" s="51" t="inlineStr">
        <is>
          <t>U9X</t>
        </is>
      </c>
    </row>
    <row r="326">
      <c r="B326" s="189" t="n"/>
      <c r="C326" s="189" t="n"/>
      <c r="D326" s="189" t="n"/>
      <c r="E326" s="189" t="n"/>
      <c r="F326" s="189" t="n"/>
      <c r="G326" s="189" t="n"/>
      <c r="H326" s="189" t="n"/>
      <c r="I326" s="189" t="n"/>
      <c r="J326" s="189" t="n"/>
      <c r="K326" s="189" t="n"/>
      <c r="L326" s="189" t="n"/>
      <c r="M326" s="189" t="n"/>
      <c r="N326" s="189" t="n"/>
      <c r="O326" s="189" t="n"/>
      <c r="P326" s="189" t="n"/>
      <c r="Q326" s="189" t="n"/>
      <c r="R326" s="189" t="n"/>
      <c r="S326" s="189" t="n"/>
      <c r="T326" s="189" t="n"/>
      <c r="U326" s="189" t="n"/>
      <c r="V326" s="189" t="n"/>
      <c r="W326" s="189" t="n"/>
      <c r="X326" s="189" t="n"/>
      <c r="Y326" s="189" t="n"/>
      <c r="Z326" s="189" t="n"/>
      <c r="AA326" s="189" t="n"/>
      <c r="AB326" s="189" t="n"/>
      <c r="AC326" s="189" t="n"/>
      <c r="AD326" s="189" t="n"/>
      <c r="AE326" s="189" t="n"/>
      <c r="AF326" s="189" t="n"/>
      <c r="AG326" s="189" t="n"/>
      <c r="AH326" s="189" t="n"/>
      <c r="AI326" s="51" t="inlineStr">
        <is>
          <t>U9Y</t>
        </is>
      </c>
    </row>
    <row r="327">
      <c r="B327" s="189" t="n"/>
      <c r="C327" s="189" t="n"/>
      <c r="D327" s="189" t="n"/>
      <c r="E327" s="189" t="n"/>
      <c r="F327" s="189" t="n"/>
      <c r="G327" s="189" t="n"/>
      <c r="H327" s="189" t="n"/>
      <c r="I327" s="189" t="n"/>
      <c r="J327" s="189" t="n"/>
      <c r="K327" s="189" t="n"/>
      <c r="L327" s="189" t="n"/>
      <c r="M327" s="189" t="n"/>
      <c r="N327" s="189" t="n"/>
      <c r="O327" s="189" t="n"/>
      <c r="P327" s="189" t="n"/>
      <c r="Q327" s="189" t="n"/>
      <c r="R327" s="189" t="n"/>
      <c r="S327" s="189" t="n"/>
      <c r="T327" s="189" t="n"/>
      <c r="U327" s="189" t="n"/>
      <c r="V327" s="189" t="n"/>
      <c r="W327" s="189" t="n"/>
      <c r="X327" s="189" t="n"/>
      <c r="Y327" s="189" t="n"/>
      <c r="Z327" s="189" t="n"/>
      <c r="AA327" s="189" t="n"/>
      <c r="AB327" s="189" t="n"/>
      <c r="AC327" s="189" t="n"/>
      <c r="AD327" s="189" t="n"/>
      <c r="AE327" s="189" t="n"/>
      <c r="AF327" s="189" t="n"/>
      <c r="AG327" s="189" t="n"/>
      <c r="AH327" s="189" t="n"/>
      <c r="AI327" s="51" t="inlineStr">
        <is>
          <t>U9θ</t>
        </is>
      </c>
    </row>
    <row r="328">
      <c r="B328" s="189" t="n"/>
      <c r="C328" s="189" t="n"/>
      <c r="D328" s="189" t="n"/>
      <c r="E328" s="189" t="n"/>
      <c r="F328" s="189" t="n"/>
      <c r="G328" s="189" t="n"/>
      <c r="H328" s="189" t="n"/>
      <c r="I328" s="189" t="n"/>
      <c r="J328" s="189" t="n"/>
      <c r="K328" s="189" t="n"/>
      <c r="L328" s="189" t="n"/>
      <c r="M328" s="189" t="n"/>
      <c r="N328" s="189" t="n"/>
      <c r="O328" s="189" t="n"/>
      <c r="P328" s="189" t="n"/>
      <c r="Q328" s="189" t="n"/>
      <c r="R328" s="189" t="n"/>
      <c r="S328" s="189" t="n"/>
      <c r="T328" s="189" t="n"/>
      <c r="U328" s="189" t="n"/>
      <c r="V328" s="189" t="n"/>
      <c r="W328" s="189" t="n"/>
      <c r="X328" s="189" t="n"/>
      <c r="Y328" s="189" t="n"/>
      <c r="Z328" s="189" t="n"/>
      <c r="AA328" s="189" t="n"/>
      <c r="AB328" s="189" t="n"/>
      <c r="AC328" s="189" t="n"/>
      <c r="AD328" s="189" t="n"/>
      <c r="AE328" s="189" t="n"/>
      <c r="AF328" s="189" t="n"/>
      <c r="AG328" s="189" t="n"/>
      <c r="AH328" s="189" t="n"/>
      <c r="AI328" s="51" t="inlineStr">
        <is>
          <t>U10X</t>
        </is>
      </c>
    </row>
    <row r="329">
      <c r="B329" s="189" t="n"/>
      <c r="C329" s="189" t="n"/>
      <c r="D329" s="189" t="n"/>
      <c r="E329" s="189" t="n"/>
      <c r="F329" s="189" t="n"/>
      <c r="G329" s="189" t="n"/>
      <c r="H329" s="189" t="n"/>
      <c r="I329" s="189" t="n"/>
      <c r="J329" s="189" t="n"/>
      <c r="K329" s="189" t="n"/>
      <c r="L329" s="189" t="n"/>
      <c r="M329" s="189" t="n"/>
      <c r="N329" s="189" t="n"/>
      <c r="O329" s="189" t="n"/>
      <c r="P329" s="189" t="n"/>
      <c r="Q329" s="189" t="n"/>
      <c r="R329" s="189" t="n"/>
      <c r="S329" s="189" t="n"/>
      <c r="T329" s="189" t="n"/>
      <c r="U329" s="189" t="n"/>
      <c r="V329" s="189" t="n"/>
      <c r="W329" s="189" t="n"/>
      <c r="X329" s="189" t="n"/>
      <c r="Y329" s="189" t="n"/>
      <c r="Z329" s="189" t="n"/>
      <c r="AA329" s="189" t="n"/>
      <c r="AB329" s="189" t="n"/>
      <c r="AC329" s="189" t="n"/>
      <c r="AD329" s="189" t="n"/>
      <c r="AE329" s="189" t="n"/>
      <c r="AF329" s="189" t="n"/>
      <c r="AG329" s="189" t="n"/>
      <c r="AH329" s="189" t="n"/>
      <c r="AI329" s="51" t="inlineStr">
        <is>
          <t>U10Y</t>
        </is>
      </c>
    </row>
    <row r="330">
      <c r="B330" s="189" t="n"/>
      <c r="C330" s="189" t="n"/>
      <c r="D330" s="189" t="n"/>
      <c r="E330" s="189" t="n"/>
      <c r="F330" s="189" t="n"/>
      <c r="G330" s="189" t="n"/>
      <c r="H330" s="189" t="n"/>
      <c r="I330" s="189" t="n"/>
      <c r="J330" s="189" t="n"/>
      <c r="K330" s="189" t="n"/>
      <c r="L330" s="189" t="n"/>
      <c r="M330" s="189" t="n"/>
      <c r="N330" s="189" t="n"/>
      <c r="O330" s="189" t="n"/>
      <c r="P330" s="189" t="n"/>
      <c r="Q330" s="189" t="n"/>
      <c r="R330" s="189" t="n"/>
      <c r="S330" s="189" t="n"/>
      <c r="T330" s="189" t="n"/>
      <c r="U330" s="189" t="n"/>
      <c r="V330" s="189" t="n"/>
      <c r="W330" s="189" t="n"/>
      <c r="X330" s="189" t="n"/>
      <c r="Y330" s="189" t="n"/>
      <c r="Z330" s="189" t="n"/>
      <c r="AA330" s="189" t="n"/>
      <c r="AB330" s="189" t="n"/>
      <c r="AC330" s="189" t="n"/>
      <c r="AD330" s="189" t="n"/>
      <c r="AE330" s="189" t="n"/>
      <c r="AF330" s="189" t="n"/>
      <c r="AG330" s="189" t="n"/>
      <c r="AH330" s="189" t="n"/>
      <c r="AI330" s="51" t="inlineStr">
        <is>
          <t>U10θ</t>
        </is>
      </c>
    </row>
    <row r="331">
      <c r="B331" s="189" t="n"/>
      <c r="C331" s="189" t="n"/>
      <c r="D331" s="189" t="n"/>
      <c r="E331" s="189" t="n"/>
      <c r="F331" s="189" t="n"/>
      <c r="G331" s="189" t="n"/>
      <c r="H331" s="189" t="n"/>
      <c r="I331" s="189" t="n"/>
      <c r="J331" s="189" t="n"/>
      <c r="K331" s="189" t="n"/>
      <c r="L331" s="189" t="n"/>
      <c r="M331" s="189" t="n"/>
      <c r="N331" s="189" t="n"/>
      <c r="O331" s="189" t="n"/>
      <c r="P331" s="189" t="n"/>
      <c r="Q331" s="189" t="n"/>
      <c r="R331" s="189" t="n"/>
      <c r="S331" s="189" t="n"/>
      <c r="T331" s="189" t="n"/>
      <c r="U331" s="189" t="n"/>
      <c r="V331" s="189" t="n"/>
      <c r="W331" s="189" t="n"/>
      <c r="X331" s="189" t="n"/>
      <c r="Y331" s="189" t="n"/>
      <c r="Z331" s="189" t="n"/>
      <c r="AA331" s="189" t="n"/>
      <c r="AB331" s="189" t="n"/>
      <c r="AC331" s="189" t="n"/>
      <c r="AD331" s="189" t="n"/>
      <c r="AE331" s="189" t="n"/>
      <c r="AF331" s="189" t="n"/>
      <c r="AG331" s="189" t="n"/>
      <c r="AH331" s="189" t="n"/>
      <c r="AI331" s="51" t="inlineStr">
        <is>
          <t>U11X</t>
        </is>
      </c>
    </row>
    <row r="332">
      <c r="B332" s="189" t="n"/>
      <c r="C332" s="189" t="n"/>
      <c r="D332" s="189" t="n"/>
      <c r="E332" s="189" t="n"/>
      <c r="F332" s="189" t="n"/>
      <c r="G332" s="189" t="n"/>
      <c r="H332" s="189" t="n"/>
      <c r="I332" s="189" t="n"/>
      <c r="J332" s="189" t="n"/>
      <c r="K332" s="189" t="n"/>
      <c r="L332" s="189" t="n"/>
      <c r="M332" s="189" t="n"/>
      <c r="N332" s="189" t="n"/>
      <c r="O332" s="189" t="n"/>
      <c r="P332" s="189" t="n"/>
      <c r="Q332" s="189" t="n"/>
      <c r="R332" s="189" t="n"/>
      <c r="S332" s="189" t="n"/>
      <c r="T332" s="189" t="n"/>
      <c r="U332" s="189" t="n"/>
      <c r="V332" s="189" t="n"/>
      <c r="W332" s="189" t="n"/>
      <c r="X332" s="189" t="n"/>
      <c r="Y332" s="189" t="n"/>
      <c r="Z332" s="189" t="n"/>
      <c r="AA332" s="189" t="n"/>
      <c r="AB332" s="189" t="n"/>
      <c r="AC332" s="189" t="n"/>
      <c r="AD332" s="189" t="n"/>
      <c r="AE332" s="189" t="n"/>
      <c r="AF332" s="189" t="n"/>
      <c r="AG332" s="189" t="n"/>
      <c r="AH332" s="189" t="n"/>
      <c r="AI332" s="51" t="inlineStr">
        <is>
          <t>U11Y</t>
        </is>
      </c>
    </row>
    <row r="333">
      <c r="B333" s="189" t="n"/>
      <c r="C333" s="189" t="n"/>
      <c r="D333" s="189" t="n"/>
      <c r="E333" s="189" t="n"/>
      <c r="F333" s="189" t="n"/>
      <c r="G333" s="189" t="n"/>
      <c r="H333" s="189" t="n"/>
      <c r="I333" s="189" t="n"/>
      <c r="J333" s="189" t="n"/>
      <c r="K333" s="189" t="n"/>
      <c r="L333" s="189" t="n"/>
      <c r="M333" s="189" t="n"/>
      <c r="N333" s="189" t="n"/>
      <c r="O333" s="189" t="n"/>
      <c r="P333" s="189" t="n"/>
      <c r="Q333" s="189" t="n"/>
      <c r="R333" s="189" t="n"/>
      <c r="S333" s="189" t="n"/>
      <c r="T333" s="189" t="n"/>
      <c r="U333" s="189" t="n"/>
      <c r="V333" s="189" t="n"/>
      <c r="W333" s="189" t="n"/>
      <c r="X333" s="189" t="n"/>
      <c r="Y333" s="189" t="n"/>
      <c r="Z333" s="189" t="n"/>
      <c r="AA333" s="189" t="n"/>
      <c r="AB333" s="189" t="n"/>
      <c r="AC333" s="189" t="n"/>
      <c r="AD333" s="189" t="n"/>
      <c r="AE333" s="189" t="n"/>
      <c r="AF333" s="189" t="n"/>
      <c r="AG333" s="189" t="n"/>
      <c r="AH333" s="189" t="n"/>
      <c r="AI333" s="51" t="inlineStr">
        <is>
          <t>U11θ</t>
        </is>
      </c>
    </row>
    <row r="335">
      <c r="B335" s="51">
        <f>IF(C29="","", CONCATENATE("U",C29,C$21))</f>
        <v/>
      </c>
      <c r="C335" s="51">
        <f>IF(D29="","", CONCATENATE("U",D29,D$21))</f>
        <v/>
      </c>
      <c r="D335" s="51">
        <f>IF(E29="","", CONCATENATE("U",E29,E$21))</f>
        <v/>
      </c>
      <c r="E335" s="51">
        <f>IF(F29="","", CONCATENATE("U",F29,F$21))</f>
        <v/>
      </c>
      <c r="F335" s="51">
        <f>IF(G29="","", CONCATENATE("U",G29,G$21))</f>
        <v/>
      </c>
      <c r="G335" s="51">
        <f>IF(H29="","", CONCATENATE("U",H29,H$21))</f>
        <v/>
      </c>
    </row>
    <row r="336">
      <c r="B336" s="8">
        <f>IF(I16="", 0, O16*J16*J16+P16*K16*K16)</f>
        <v/>
      </c>
      <c r="C336" s="189">
        <f>IF(I16="", 0, (O16-P16)*(J16*K16))</f>
        <v/>
      </c>
      <c r="D336" s="189">
        <f>IF(I16="", 0, -Q16*K16)</f>
        <v/>
      </c>
      <c r="E336" s="189">
        <f>-B336</f>
        <v/>
      </c>
      <c r="F336" s="189">
        <f>-C336</f>
        <v/>
      </c>
      <c r="G336" s="189">
        <f>D336</f>
        <v/>
      </c>
      <c r="H336" s="51">
        <f>B335</f>
        <v/>
      </c>
    </row>
    <row r="337">
      <c r="B337" s="189">
        <f>C336</f>
        <v/>
      </c>
      <c r="C337" s="8">
        <f>IF(I16="", 0, O16*K16*K16+P16*J16*J16)</f>
        <v/>
      </c>
      <c r="D337" s="189">
        <f>IF(I16="", 0, Q16*J16)</f>
        <v/>
      </c>
      <c r="E337" s="189">
        <f>-B337</f>
        <v/>
      </c>
      <c r="F337" s="189">
        <f>-C337</f>
        <v/>
      </c>
      <c r="G337" s="189">
        <f>D337</f>
        <v/>
      </c>
      <c r="H337" s="51">
        <f>C335</f>
        <v/>
      </c>
    </row>
    <row r="338">
      <c r="A338" s="118" t="inlineStr">
        <is>
          <t>K8 =</t>
        </is>
      </c>
      <c r="B338" s="189">
        <f>D336</f>
        <v/>
      </c>
      <c r="C338" s="189">
        <f>D337</f>
        <v/>
      </c>
      <c r="D338" s="8">
        <f>IF(I16="", 0, R16)</f>
        <v/>
      </c>
      <c r="E338" s="189">
        <f>-B338</f>
        <v/>
      </c>
      <c r="F338" s="189">
        <f>-C338</f>
        <v/>
      </c>
      <c r="G338" s="189">
        <f>IF(I16="", 0, S16)</f>
        <v/>
      </c>
      <c r="H338" s="51">
        <f>D335</f>
        <v/>
      </c>
    </row>
    <row r="339">
      <c r="B339" s="189">
        <f>E336</f>
        <v/>
      </c>
      <c r="C339" s="189">
        <f>E337</f>
        <v/>
      </c>
      <c r="D339" s="189">
        <f>E338</f>
        <v/>
      </c>
      <c r="E339" s="8">
        <f>B336</f>
        <v/>
      </c>
      <c r="F339" s="189">
        <f>C336</f>
        <v/>
      </c>
      <c r="G339" s="189">
        <f>-D336</f>
        <v/>
      </c>
      <c r="H339" s="51">
        <f>E335</f>
        <v/>
      </c>
    </row>
    <row r="340">
      <c r="B340" s="189">
        <f>F336</f>
        <v/>
      </c>
      <c r="C340" s="189">
        <f>F337</f>
        <v/>
      </c>
      <c r="D340" s="189">
        <f>F338</f>
        <v/>
      </c>
      <c r="E340" s="189">
        <f>F339</f>
        <v/>
      </c>
      <c r="F340" s="8">
        <f>C337</f>
        <v/>
      </c>
      <c r="G340" s="189">
        <f>-D337</f>
        <v/>
      </c>
      <c r="H340" s="51">
        <f>F335</f>
        <v/>
      </c>
    </row>
    <row r="341">
      <c r="B341" s="189">
        <f>G336</f>
        <v/>
      </c>
      <c r="C341" s="189">
        <f>G337</f>
        <v/>
      </c>
      <c r="D341" s="189">
        <f>G338</f>
        <v/>
      </c>
      <c r="E341" s="189">
        <f>G339</f>
        <v/>
      </c>
      <c r="F341" s="189">
        <f>G340</f>
        <v/>
      </c>
      <c r="G341" s="8">
        <f>D338</f>
        <v/>
      </c>
      <c r="H341" s="51">
        <f>G335</f>
        <v/>
      </c>
    </row>
    <row r="343">
      <c r="B343" s="51" t="inlineStr">
        <is>
          <t>U1X</t>
        </is>
      </c>
      <c r="C343" s="51" t="inlineStr">
        <is>
          <t>U1Y</t>
        </is>
      </c>
      <c r="D343" s="51" t="inlineStr">
        <is>
          <t>U1θ</t>
        </is>
      </c>
      <c r="E343" s="51" t="inlineStr">
        <is>
          <t>U2X</t>
        </is>
      </c>
      <c r="F343" s="51" t="inlineStr">
        <is>
          <t>U2Y</t>
        </is>
      </c>
      <c r="G343" s="51" t="inlineStr">
        <is>
          <t>U2θ</t>
        </is>
      </c>
      <c r="H343" s="51" t="inlineStr">
        <is>
          <t>U3X</t>
        </is>
      </c>
      <c r="I343" s="51" t="inlineStr">
        <is>
          <t>U3Y</t>
        </is>
      </c>
      <c r="J343" s="51" t="inlineStr">
        <is>
          <t>U3θ</t>
        </is>
      </c>
      <c r="K343" s="51" t="inlineStr">
        <is>
          <t>U4X</t>
        </is>
      </c>
      <c r="L343" s="51" t="inlineStr">
        <is>
          <t>U4Y</t>
        </is>
      </c>
      <c r="M343" s="51" t="inlineStr">
        <is>
          <t>U4θ</t>
        </is>
      </c>
      <c r="N343" s="51" t="inlineStr">
        <is>
          <t>U5X</t>
        </is>
      </c>
      <c r="O343" s="51" t="inlineStr">
        <is>
          <t>U5Y</t>
        </is>
      </c>
      <c r="P343" s="51" t="inlineStr">
        <is>
          <t>U5θ</t>
        </is>
      </c>
      <c r="Q343" s="51" t="inlineStr">
        <is>
          <t>U6X</t>
        </is>
      </c>
      <c r="R343" s="51" t="inlineStr">
        <is>
          <t>U6Y</t>
        </is>
      </c>
      <c r="S343" s="51" t="inlineStr">
        <is>
          <t>U6θ</t>
        </is>
      </c>
      <c r="T343" s="51" t="inlineStr">
        <is>
          <t>U7X</t>
        </is>
      </c>
      <c r="U343" s="51" t="inlineStr">
        <is>
          <t>U7Y</t>
        </is>
      </c>
      <c r="V343" s="51" t="inlineStr">
        <is>
          <t>U7θ</t>
        </is>
      </c>
      <c r="W343" s="51" t="inlineStr">
        <is>
          <t>U8X</t>
        </is>
      </c>
      <c r="X343" s="51" t="inlineStr">
        <is>
          <t>U8Y</t>
        </is>
      </c>
      <c r="Y343" s="51" t="inlineStr">
        <is>
          <t>U8θ</t>
        </is>
      </c>
      <c r="Z343" s="51" t="inlineStr">
        <is>
          <t>U9X</t>
        </is>
      </c>
      <c r="AA343" s="51" t="inlineStr">
        <is>
          <t>U9Y</t>
        </is>
      </c>
      <c r="AB343" s="51" t="inlineStr">
        <is>
          <t>U9θ</t>
        </is>
      </c>
      <c r="AC343" s="51" t="inlineStr">
        <is>
          <t>U10X</t>
        </is>
      </c>
      <c r="AD343" s="51" t="inlineStr">
        <is>
          <t>U10Y</t>
        </is>
      </c>
      <c r="AE343" s="51" t="inlineStr">
        <is>
          <t>U10θ</t>
        </is>
      </c>
      <c r="AF343" s="51" t="inlineStr">
        <is>
          <t>U11X</t>
        </is>
      </c>
      <c r="AG343" s="51" t="inlineStr">
        <is>
          <t>U11Y</t>
        </is>
      </c>
      <c r="AH343" s="51" t="inlineStr">
        <is>
          <t>U11θ</t>
        </is>
      </c>
    </row>
    <row r="344">
      <c r="B344" s="189" t="n"/>
      <c r="C344" s="189" t="n"/>
      <c r="D344" s="189" t="n"/>
      <c r="E344" s="189" t="n"/>
      <c r="F344" s="189" t="n"/>
      <c r="G344" s="189" t="n"/>
      <c r="H344" s="189" t="n"/>
      <c r="I344" s="189" t="n"/>
      <c r="J344" s="189" t="n"/>
      <c r="K344" s="189" t="n"/>
      <c r="L344" s="189" t="n"/>
      <c r="M344" s="189" t="n"/>
      <c r="N344" s="189" t="n"/>
      <c r="O344" s="189" t="n"/>
      <c r="P344" s="189" t="n"/>
      <c r="Q344" s="189" t="n"/>
      <c r="R344" s="189" t="n"/>
      <c r="S344" s="189" t="n"/>
      <c r="T344" s="189" t="n"/>
      <c r="U344" s="189" t="n"/>
      <c r="V344" s="189" t="n"/>
      <c r="W344" s="189" t="n"/>
      <c r="X344" s="189" t="n"/>
      <c r="Y344" s="189" t="n"/>
      <c r="Z344" s="189" t="n"/>
      <c r="AA344" s="189" t="n"/>
      <c r="AB344" s="189" t="n"/>
      <c r="AC344" s="189" t="n"/>
      <c r="AD344" s="189" t="n"/>
      <c r="AE344" s="189" t="n"/>
      <c r="AF344" s="189" t="n"/>
      <c r="AG344" s="189" t="n"/>
      <c r="AH344" s="189" t="n"/>
      <c r="AI344" s="51" t="inlineStr">
        <is>
          <t>U1X</t>
        </is>
      </c>
    </row>
    <row r="345">
      <c r="B345" s="189" t="n"/>
      <c r="C345" s="189" t="n"/>
      <c r="D345" s="189" t="n"/>
      <c r="E345" s="189" t="n"/>
      <c r="F345" s="189" t="n"/>
      <c r="G345" s="189" t="n"/>
      <c r="H345" s="189" t="n"/>
      <c r="I345" s="189" t="n"/>
      <c r="J345" s="189" t="n"/>
      <c r="K345" s="189" t="n"/>
      <c r="L345" s="189" t="n"/>
      <c r="M345" s="189" t="n"/>
      <c r="N345" s="189" t="n"/>
      <c r="O345" s="189" t="n"/>
      <c r="P345" s="189" t="n"/>
      <c r="Q345" s="189" t="n"/>
      <c r="R345" s="189" t="n"/>
      <c r="S345" s="189" t="n"/>
      <c r="T345" s="189" t="n"/>
      <c r="U345" s="189" t="n"/>
      <c r="V345" s="189" t="n"/>
      <c r="W345" s="189" t="n"/>
      <c r="X345" s="189" t="n"/>
      <c r="Y345" s="189" t="n"/>
      <c r="Z345" s="189" t="n"/>
      <c r="AA345" s="189" t="n"/>
      <c r="AB345" s="189" t="n"/>
      <c r="AC345" s="189" t="n"/>
      <c r="AD345" s="189" t="n"/>
      <c r="AE345" s="189" t="n"/>
      <c r="AF345" s="189" t="n"/>
      <c r="AG345" s="189" t="n"/>
      <c r="AH345" s="189" t="n"/>
      <c r="AI345" s="51" t="inlineStr">
        <is>
          <t>U1Y</t>
        </is>
      </c>
    </row>
    <row r="346">
      <c r="B346" s="189" t="n"/>
      <c r="C346" s="189" t="n"/>
      <c r="D346" s="189" t="n"/>
      <c r="E346" s="189" t="n"/>
      <c r="F346" s="189" t="n"/>
      <c r="G346" s="189" t="n"/>
      <c r="H346" s="189" t="n"/>
      <c r="I346" s="189" t="n"/>
      <c r="J346" s="189" t="n"/>
      <c r="K346" s="189" t="n"/>
      <c r="L346" s="189" t="n"/>
      <c r="M346" s="189" t="n"/>
      <c r="N346" s="189" t="n"/>
      <c r="O346" s="189" t="n"/>
      <c r="P346" s="189" t="n"/>
      <c r="Q346" s="189" t="n"/>
      <c r="R346" s="189" t="n"/>
      <c r="S346" s="189" t="n"/>
      <c r="T346" s="189" t="n"/>
      <c r="U346" s="189" t="n"/>
      <c r="V346" s="189" t="n"/>
      <c r="W346" s="189" t="n"/>
      <c r="X346" s="189" t="n"/>
      <c r="Y346" s="189" t="n"/>
      <c r="Z346" s="189" t="n"/>
      <c r="AA346" s="189" t="n"/>
      <c r="AB346" s="189" t="n"/>
      <c r="AC346" s="189" t="n"/>
      <c r="AD346" s="189" t="n"/>
      <c r="AE346" s="189" t="n"/>
      <c r="AF346" s="189" t="n"/>
      <c r="AG346" s="189" t="n"/>
      <c r="AH346" s="189" t="n"/>
      <c r="AI346" s="51" t="inlineStr">
        <is>
          <t>U1θ</t>
        </is>
      </c>
    </row>
    <row r="347">
      <c r="B347" s="189" t="n"/>
      <c r="C347" s="189" t="n"/>
      <c r="D347" s="189" t="n"/>
      <c r="E347" s="189" t="n"/>
      <c r="F347" s="189" t="n"/>
      <c r="G347" s="189" t="n"/>
      <c r="H347" s="189" t="n"/>
      <c r="I347" s="189" t="n"/>
      <c r="J347" s="189" t="n"/>
      <c r="K347" s="189" t="n"/>
      <c r="L347" s="189" t="n"/>
      <c r="M347" s="189" t="n"/>
      <c r="N347" s="189" t="n"/>
      <c r="O347" s="189" t="n"/>
      <c r="P347" s="189" t="n"/>
      <c r="Q347" s="189" t="n"/>
      <c r="R347" s="189" t="n"/>
      <c r="S347" s="189" t="n"/>
      <c r="T347" s="189" t="n"/>
      <c r="U347" s="189" t="n"/>
      <c r="V347" s="189" t="n"/>
      <c r="W347" s="189" t="n"/>
      <c r="X347" s="189" t="n"/>
      <c r="Y347" s="189" t="n"/>
      <c r="Z347" s="189" t="n"/>
      <c r="AA347" s="189" t="n"/>
      <c r="AB347" s="189" t="n"/>
      <c r="AC347" s="189" t="n"/>
      <c r="AD347" s="189" t="n"/>
      <c r="AE347" s="189" t="n"/>
      <c r="AF347" s="189" t="n"/>
      <c r="AG347" s="189" t="n"/>
      <c r="AH347" s="189" t="n"/>
      <c r="AI347" s="51" t="inlineStr">
        <is>
          <t>U2X</t>
        </is>
      </c>
    </row>
    <row r="348">
      <c r="B348" s="189" t="n"/>
      <c r="C348" s="189" t="n"/>
      <c r="D348" s="189" t="n"/>
      <c r="E348" s="189" t="n"/>
      <c r="F348" s="189" t="n"/>
      <c r="G348" s="189" t="n"/>
      <c r="H348" s="189" t="n"/>
      <c r="I348" s="189" t="n"/>
      <c r="J348" s="189" t="n"/>
      <c r="K348" s="189" t="n"/>
      <c r="L348" s="189" t="n"/>
      <c r="M348" s="189" t="n"/>
      <c r="N348" s="189" t="n"/>
      <c r="O348" s="189" t="n"/>
      <c r="P348" s="189" t="n"/>
      <c r="Q348" s="189" t="n"/>
      <c r="R348" s="189" t="n"/>
      <c r="S348" s="189" t="n"/>
      <c r="T348" s="189" t="n"/>
      <c r="U348" s="189" t="n"/>
      <c r="V348" s="189" t="n"/>
      <c r="W348" s="189" t="n"/>
      <c r="X348" s="189" t="n"/>
      <c r="Y348" s="189" t="n"/>
      <c r="Z348" s="189" t="n"/>
      <c r="AA348" s="189" t="n"/>
      <c r="AB348" s="189" t="n"/>
      <c r="AC348" s="189" t="n"/>
      <c r="AD348" s="189" t="n"/>
      <c r="AE348" s="189" t="n"/>
      <c r="AF348" s="189" t="n"/>
      <c r="AG348" s="189" t="n"/>
      <c r="AH348" s="189" t="n"/>
      <c r="AI348" s="51" t="inlineStr">
        <is>
          <t>U2Y</t>
        </is>
      </c>
    </row>
    <row r="349">
      <c r="B349" s="189" t="n"/>
      <c r="C349" s="189" t="n"/>
      <c r="D349" s="189" t="n"/>
      <c r="E349" s="189" t="n"/>
      <c r="F349" s="189" t="n"/>
      <c r="G349" s="189" t="n"/>
      <c r="H349" s="189" t="n"/>
      <c r="I349" s="189" t="n"/>
      <c r="J349" s="189" t="n"/>
      <c r="K349" s="189" t="n"/>
      <c r="L349" s="189" t="n"/>
      <c r="M349" s="189" t="n"/>
      <c r="N349" s="189" t="n"/>
      <c r="O349" s="189" t="n"/>
      <c r="P349" s="189" t="n"/>
      <c r="Q349" s="189" t="n"/>
      <c r="R349" s="189" t="n"/>
      <c r="S349" s="189" t="n"/>
      <c r="T349" s="189" t="n"/>
      <c r="U349" s="189" t="n"/>
      <c r="V349" s="189" t="n"/>
      <c r="W349" s="189" t="n"/>
      <c r="X349" s="189" t="n"/>
      <c r="Y349" s="189" t="n"/>
      <c r="Z349" s="189" t="n"/>
      <c r="AA349" s="189" t="n"/>
      <c r="AB349" s="189" t="n"/>
      <c r="AC349" s="189" t="n"/>
      <c r="AD349" s="189" t="n"/>
      <c r="AE349" s="189" t="n"/>
      <c r="AF349" s="189" t="n"/>
      <c r="AG349" s="189" t="n"/>
      <c r="AH349" s="189" t="n"/>
      <c r="AI349" s="51" t="inlineStr">
        <is>
          <t>U2θ</t>
        </is>
      </c>
    </row>
    <row r="350">
      <c r="B350" s="189" t="n"/>
      <c r="C350" s="189" t="n"/>
      <c r="D350" s="189" t="n"/>
      <c r="E350" s="189" t="n"/>
      <c r="F350" s="189" t="n"/>
      <c r="G350" s="189" t="n"/>
      <c r="H350" s="189" t="n"/>
      <c r="I350" s="189" t="n"/>
      <c r="J350" s="189" t="n"/>
      <c r="K350" s="189" t="n"/>
      <c r="L350" s="189" t="n"/>
      <c r="M350" s="189" t="n"/>
      <c r="N350" s="189" t="n"/>
      <c r="O350" s="189" t="n"/>
      <c r="P350" s="189" t="n"/>
      <c r="Q350" s="189" t="n"/>
      <c r="R350" s="189" t="n"/>
      <c r="S350" s="189" t="n"/>
      <c r="T350" s="189" t="n"/>
      <c r="U350" s="189" t="n"/>
      <c r="V350" s="189" t="n"/>
      <c r="W350" s="189" t="n"/>
      <c r="X350" s="189" t="n"/>
      <c r="Y350" s="189" t="n"/>
      <c r="Z350" s="189" t="n"/>
      <c r="AA350" s="189" t="n"/>
      <c r="AB350" s="189" t="n"/>
      <c r="AC350" s="189" t="n"/>
      <c r="AD350" s="189" t="n"/>
      <c r="AE350" s="189" t="n"/>
      <c r="AF350" s="189" t="n"/>
      <c r="AG350" s="189" t="n"/>
      <c r="AH350" s="189" t="n"/>
      <c r="AI350" s="51" t="inlineStr">
        <is>
          <t>U3X</t>
        </is>
      </c>
    </row>
    <row r="351">
      <c r="B351" s="189" t="n"/>
      <c r="C351" s="189" t="n"/>
      <c r="D351" s="189" t="n"/>
      <c r="E351" s="189" t="n"/>
      <c r="F351" s="189" t="n"/>
      <c r="G351" s="189" t="n"/>
      <c r="H351" s="189" t="n"/>
      <c r="I351" s="189" t="n"/>
      <c r="J351" s="189" t="n"/>
      <c r="K351" s="189" t="n"/>
      <c r="L351" s="189" t="n"/>
      <c r="M351" s="189" t="n"/>
      <c r="N351" s="189" t="n"/>
      <c r="O351" s="189" t="n"/>
      <c r="P351" s="189" t="n"/>
      <c r="Q351" s="189" t="n"/>
      <c r="R351" s="189" t="n"/>
      <c r="S351" s="189" t="n"/>
      <c r="T351" s="189" t="n"/>
      <c r="U351" s="189" t="n"/>
      <c r="V351" s="189" t="n"/>
      <c r="W351" s="189" t="n"/>
      <c r="X351" s="189" t="n"/>
      <c r="Y351" s="189" t="n"/>
      <c r="Z351" s="189" t="n"/>
      <c r="AA351" s="189" t="n"/>
      <c r="AB351" s="189" t="n"/>
      <c r="AC351" s="189" t="n"/>
      <c r="AD351" s="189" t="n"/>
      <c r="AE351" s="189" t="n"/>
      <c r="AF351" s="189" t="n"/>
      <c r="AG351" s="189" t="n"/>
      <c r="AH351" s="189" t="n"/>
      <c r="AI351" s="51" t="inlineStr">
        <is>
          <t>U3Y</t>
        </is>
      </c>
    </row>
    <row r="352">
      <c r="B352" s="189" t="n"/>
      <c r="C352" s="189" t="n"/>
      <c r="D352" s="189" t="n"/>
      <c r="E352" s="189" t="n"/>
      <c r="F352" s="189" t="n"/>
      <c r="G352" s="189" t="n"/>
      <c r="H352" s="189" t="n"/>
      <c r="I352" s="189" t="n"/>
      <c r="J352" s="189" t="n"/>
      <c r="K352" s="189" t="n"/>
      <c r="L352" s="189" t="n"/>
      <c r="M352" s="189" t="n"/>
      <c r="N352" s="189" t="n"/>
      <c r="O352" s="189" t="n"/>
      <c r="P352" s="189" t="n"/>
      <c r="Q352" s="189" t="n"/>
      <c r="R352" s="189" t="n"/>
      <c r="S352" s="189" t="n"/>
      <c r="T352" s="189" t="n"/>
      <c r="U352" s="189" t="n"/>
      <c r="V352" s="189" t="n"/>
      <c r="W352" s="189" t="n"/>
      <c r="X352" s="189" t="n"/>
      <c r="Y352" s="189" t="n"/>
      <c r="Z352" s="189" t="n"/>
      <c r="AA352" s="189" t="n"/>
      <c r="AB352" s="189" t="n"/>
      <c r="AC352" s="189" t="n"/>
      <c r="AD352" s="189" t="n"/>
      <c r="AE352" s="189" t="n"/>
      <c r="AF352" s="189" t="n"/>
      <c r="AG352" s="189" t="n"/>
      <c r="AH352" s="189" t="n"/>
      <c r="AI352" s="51" t="inlineStr">
        <is>
          <t>U3θ</t>
        </is>
      </c>
    </row>
    <row r="353">
      <c r="B353" s="189" t="n"/>
      <c r="C353" s="189" t="n"/>
      <c r="D353" s="189" t="n"/>
      <c r="E353" s="189" t="n"/>
      <c r="F353" s="189" t="n"/>
      <c r="G353" s="189" t="n"/>
      <c r="H353" s="189" t="n"/>
      <c r="I353" s="189" t="n"/>
      <c r="J353" s="189" t="n"/>
      <c r="K353" s="189" t="n"/>
      <c r="L353" s="189" t="n"/>
      <c r="M353" s="189" t="n"/>
      <c r="N353" s="189" t="n"/>
      <c r="O353" s="189" t="n"/>
      <c r="P353" s="189" t="n"/>
      <c r="Q353" s="189" t="n"/>
      <c r="R353" s="189" t="n"/>
      <c r="S353" s="189" t="n"/>
      <c r="T353" s="189" t="n"/>
      <c r="U353" s="189" t="n"/>
      <c r="V353" s="189" t="n"/>
      <c r="W353" s="189" t="n"/>
      <c r="X353" s="189" t="n"/>
      <c r="Y353" s="189" t="n"/>
      <c r="Z353" s="189" t="n"/>
      <c r="AA353" s="189" t="n"/>
      <c r="AB353" s="189" t="n"/>
      <c r="AC353" s="189" t="n"/>
      <c r="AD353" s="189" t="n"/>
      <c r="AE353" s="189" t="n"/>
      <c r="AF353" s="189" t="n"/>
      <c r="AG353" s="189" t="n"/>
      <c r="AH353" s="189" t="n"/>
      <c r="AI353" s="51" t="inlineStr">
        <is>
          <t>U4X</t>
        </is>
      </c>
    </row>
    <row r="354">
      <c r="B354" s="189" t="n"/>
      <c r="C354" s="189" t="n"/>
      <c r="D354" s="189" t="n"/>
      <c r="E354" s="189" t="n"/>
      <c r="F354" s="189" t="n"/>
      <c r="G354" s="189" t="n"/>
      <c r="H354" s="189" t="n"/>
      <c r="I354" s="189" t="n"/>
      <c r="J354" s="189" t="n"/>
      <c r="K354" s="189" t="n"/>
      <c r="L354" s="189" t="n"/>
      <c r="M354" s="189" t="n"/>
      <c r="N354" s="189" t="n"/>
      <c r="O354" s="189" t="n"/>
      <c r="P354" s="189" t="n"/>
      <c r="Q354" s="189" t="n"/>
      <c r="R354" s="189" t="n"/>
      <c r="S354" s="189" t="n"/>
      <c r="T354" s="189" t="n"/>
      <c r="U354" s="189" t="n"/>
      <c r="V354" s="189" t="n"/>
      <c r="W354" s="189" t="n"/>
      <c r="X354" s="189" t="n"/>
      <c r="Y354" s="189" t="n"/>
      <c r="Z354" s="189" t="n"/>
      <c r="AA354" s="189" t="n"/>
      <c r="AB354" s="189" t="n"/>
      <c r="AC354" s="189" t="n"/>
      <c r="AD354" s="189" t="n"/>
      <c r="AE354" s="189" t="n"/>
      <c r="AF354" s="189" t="n"/>
      <c r="AG354" s="189" t="n"/>
      <c r="AH354" s="189" t="n"/>
      <c r="AI354" s="51" t="inlineStr">
        <is>
          <t>U4Y</t>
        </is>
      </c>
    </row>
    <row r="355">
      <c r="B355" s="189" t="n"/>
      <c r="C355" s="189" t="n"/>
      <c r="D355" s="189" t="n"/>
      <c r="E355" s="189" t="n"/>
      <c r="F355" s="189" t="n"/>
      <c r="G355" s="189" t="n"/>
      <c r="H355" s="189" t="n"/>
      <c r="I355" s="189" t="n"/>
      <c r="J355" s="189" t="n"/>
      <c r="K355" s="189" t="n"/>
      <c r="L355" s="189" t="n"/>
      <c r="M355" s="189" t="n"/>
      <c r="N355" s="189" t="n"/>
      <c r="O355" s="189" t="n"/>
      <c r="P355" s="189" t="n"/>
      <c r="Q355" s="189" t="n"/>
      <c r="R355" s="189" t="n"/>
      <c r="S355" s="189" t="n"/>
      <c r="T355" s="189" t="n"/>
      <c r="U355" s="189" t="n"/>
      <c r="V355" s="189" t="n"/>
      <c r="W355" s="189" t="n"/>
      <c r="X355" s="189" t="n"/>
      <c r="Y355" s="189" t="n"/>
      <c r="Z355" s="189" t="n"/>
      <c r="AA355" s="189" t="n"/>
      <c r="AB355" s="189" t="n"/>
      <c r="AC355" s="189" t="n"/>
      <c r="AD355" s="189" t="n"/>
      <c r="AE355" s="189" t="n"/>
      <c r="AF355" s="189" t="n"/>
      <c r="AG355" s="189" t="n"/>
      <c r="AH355" s="189" t="n"/>
      <c r="AI355" s="51" t="inlineStr">
        <is>
          <t>U4θ</t>
        </is>
      </c>
    </row>
    <row r="356">
      <c r="B356" s="189" t="n"/>
      <c r="C356" s="189" t="n"/>
      <c r="D356" s="189" t="n"/>
      <c r="E356" s="189" t="n"/>
      <c r="F356" s="189" t="n"/>
      <c r="G356" s="189" t="n"/>
      <c r="H356" s="189" t="n"/>
      <c r="I356" s="189" t="n"/>
      <c r="J356" s="189" t="n"/>
      <c r="K356" s="189" t="n"/>
      <c r="L356" s="189" t="n"/>
      <c r="M356" s="189" t="n"/>
      <c r="N356" s="189" t="n"/>
      <c r="O356" s="189" t="n"/>
      <c r="P356" s="189" t="n"/>
      <c r="Q356" s="189" t="n"/>
      <c r="R356" s="189" t="n"/>
      <c r="S356" s="189" t="n"/>
      <c r="T356" s="189" t="n"/>
      <c r="U356" s="189" t="n"/>
      <c r="V356" s="189" t="n"/>
      <c r="W356" s="189" t="n"/>
      <c r="X356" s="189" t="n"/>
      <c r="Y356" s="189" t="n"/>
      <c r="Z356" s="189" t="n"/>
      <c r="AA356" s="189" t="n"/>
      <c r="AB356" s="189" t="n"/>
      <c r="AC356" s="189" t="n"/>
      <c r="AD356" s="189" t="n"/>
      <c r="AE356" s="189" t="n"/>
      <c r="AF356" s="189" t="n"/>
      <c r="AG356" s="189" t="n"/>
      <c r="AH356" s="189" t="n"/>
      <c r="AI356" s="51" t="inlineStr">
        <is>
          <t>U5X</t>
        </is>
      </c>
    </row>
    <row r="357">
      <c r="B357" s="189" t="n"/>
      <c r="C357" s="189" t="n"/>
      <c r="D357" s="189" t="n"/>
      <c r="E357" s="189" t="n"/>
      <c r="F357" s="189" t="n"/>
      <c r="G357" s="189" t="n"/>
      <c r="H357" s="189" t="n"/>
      <c r="I357" s="189" t="n"/>
      <c r="J357" s="189" t="n"/>
      <c r="K357" s="189" t="n"/>
      <c r="L357" s="189" t="n"/>
      <c r="M357" s="189" t="n"/>
      <c r="N357" s="189" t="n"/>
      <c r="O357" s="189" t="n"/>
      <c r="P357" s="189" t="n"/>
      <c r="Q357" s="189" t="n"/>
      <c r="R357" s="189" t="n"/>
      <c r="S357" s="189" t="n"/>
      <c r="T357" s="189" t="n"/>
      <c r="U357" s="189" t="n"/>
      <c r="V357" s="189" t="n"/>
      <c r="W357" s="189" t="n"/>
      <c r="X357" s="189" t="n"/>
      <c r="Y357" s="189" t="n"/>
      <c r="Z357" s="189" t="n"/>
      <c r="AA357" s="189" t="n"/>
      <c r="AB357" s="189" t="n"/>
      <c r="AC357" s="189" t="n"/>
      <c r="AD357" s="189" t="n"/>
      <c r="AE357" s="189" t="n"/>
      <c r="AF357" s="189" t="n"/>
      <c r="AG357" s="189" t="n"/>
      <c r="AH357" s="189" t="n"/>
      <c r="AI357" s="51" t="inlineStr">
        <is>
          <t>U5Y</t>
        </is>
      </c>
    </row>
    <row r="358">
      <c r="B358" s="189" t="n"/>
      <c r="C358" s="189" t="n"/>
      <c r="D358" s="189" t="n"/>
      <c r="E358" s="189" t="n"/>
      <c r="F358" s="189" t="n"/>
      <c r="G358" s="189" t="n"/>
      <c r="H358" s="189" t="n"/>
      <c r="I358" s="189" t="n"/>
      <c r="J358" s="189" t="n"/>
      <c r="K358" s="189" t="n"/>
      <c r="L358" s="189" t="n"/>
      <c r="M358" s="189" t="n"/>
      <c r="N358" s="189" t="n"/>
      <c r="O358" s="189" t="n"/>
      <c r="P358" s="189" t="n"/>
      <c r="Q358" s="189" t="n"/>
      <c r="R358" s="189" t="n"/>
      <c r="S358" s="189" t="n"/>
      <c r="T358" s="189" t="n"/>
      <c r="U358" s="189" t="n"/>
      <c r="V358" s="189" t="n"/>
      <c r="W358" s="189" t="n"/>
      <c r="X358" s="189" t="n"/>
      <c r="Y358" s="189" t="n"/>
      <c r="Z358" s="189" t="n"/>
      <c r="AA358" s="189" t="n"/>
      <c r="AB358" s="189" t="n"/>
      <c r="AC358" s="189" t="n"/>
      <c r="AD358" s="189" t="n"/>
      <c r="AE358" s="189" t="n"/>
      <c r="AF358" s="189" t="n"/>
      <c r="AG358" s="189" t="n"/>
      <c r="AH358" s="189" t="n"/>
      <c r="AI358" s="51" t="inlineStr">
        <is>
          <t>U5θ</t>
        </is>
      </c>
    </row>
    <row r="359">
      <c r="A359" s="118" t="inlineStr">
        <is>
          <t>K8 =</t>
        </is>
      </c>
      <c r="B359" s="189" t="n"/>
      <c r="C359" s="189" t="n"/>
      <c r="D359" s="189" t="n"/>
      <c r="E359" s="189" t="n"/>
      <c r="F359" s="189" t="n"/>
      <c r="G359" s="189" t="n"/>
      <c r="H359" s="189" t="n"/>
      <c r="I359" s="189" t="n"/>
      <c r="J359" s="189" t="n"/>
      <c r="K359" s="189" t="n"/>
      <c r="L359" s="189" t="n"/>
      <c r="M359" s="189" t="n"/>
      <c r="N359" s="189" t="n"/>
      <c r="O359" s="189" t="n"/>
      <c r="P359" s="189" t="n"/>
      <c r="Q359" s="189" t="n"/>
      <c r="R359" s="189" t="n"/>
      <c r="S359" s="189" t="n"/>
      <c r="T359" s="189" t="n"/>
      <c r="U359" s="189" t="n"/>
      <c r="V359" s="189" t="n"/>
      <c r="W359" s="189" t="n"/>
      <c r="X359" s="189" t="n"/>
      <c r="Y359" s="189" t="n"/>
      <c r="Z359" s="189" t="n"/>
      <c r="AA359" s="189" t="n"/>
      <c r="AB359" s="189" t="n"/>
      <c r="AC359" s="189" t="n"/>
      <c r="AD359" s="189" t="n"/>
      <c r="AE359" s="189" t="n"/>
      <c r="AF359" s="189" t="n"/>
      <c r="AG359" s="189" t="n"/>
      <c r="AH359" s="189" t="n"/>
      <c r="AI359" s="51" t="inlineStr">
        <is>
          <t>U6X</t>
        </is>
      </c>
    </row>
    <row r="360">
      <c r="B360" s="189" t="n"/>
      <c r="C360" s="189" t="n"/>
      <c r="D360" s="189" t="n"/>
      <c r="E360" s="189" t="n"/>
      <c r="F360" s="189" t="n"/>
      <c r="G360" s="189" t="n"/>
      <c r="H360" s="189" t="n"/>
      <c r="I360" s="189" t="n"/>
      <c r="J360" s="189" t="n"/>
      <c r="K360" s="189" t="n"/>
      <c r="L360" s="189" t="n"/>
      <c r="M360" s="189" t="n"/>
      <c r="N360" s="189" t="n"/>
      <c r="O360" s="189" t="n"/>
      <c r="P360" s="189" t="n"/>
      <c r="Q360" s="189" t="n"/>
      <c r="R360" s="189" t="n"/>
      <c r="S360" s="189" t="n"/>
      <c r="T360" s="189" t="n"/>
      <c r="U360" s="189" t="n"/>
      <c r="V360" s="189" t="n"/>
      <c r="W360" s="189" t="n"/>
      <c r="X360" s="189" t="n"/>
      <c r="Y360" s="189" t="n"/>
      <c r="Z360" s="189" t="n"/>
      <c r="AA360" s="189" t="n"/>
      <c r="AB360" s="189" t="n"/>
      <c r="AC360" s="189" t="n"/>
      <c r="AD360" s="189" t="n"/>
      <c r="AE360" s="189" t="n"/>
      <c r="AF360" s="189" t="n"/>
      <c r="AG360" s="189" t="n"/>
      <c r="AH360" s="189" t="n"/>
      <c r="AI360" s="51" t="inlineStr">
        <is>
          <t>U6Y</t>
        </is>
      </c>
    </row>
    <row r="361">
      <c r="B361" s="189" t="n"/>
      <c r="C361" s="189" t="n"/>
      <c r="D361" s="189" t="n"/>
      <c r="E361" s="189" t="n"/>
      <c r="F361" s="189" t="n"/>
      <c r="G361" s="189" t="n"/>
      <c r="H361" s="189" t="n"/>
      <c r="I361" s="189" t="n"/>
      <c r="J361" s="189" t="n"/>
      <c r="K361" s="189" t="n"/>
      <c r="L361" s="189" t="n"/>
      <c r="M361" s="189" t="n"/>
      <c r="N361" s="189" t="n"/>
      <c r="O361" s="189" t="n"/>
      <c r="P361" s="189" t="n"/>
      <c r="Q361" s="189" t="n"/>
      <c r="R361" s="189" t="n"/>
      <c r="S361" s="189" t="n"/>
      <c r="T361" s="189" t="n"/>
      <c r="U361" s="189" t="n"/>
      <c r="V361" s="189" t="n"/>
      <c r="W361" s="189" t="n"/>
      <c r="X361" s="189" t="n"/>
      <c r="Y361" s="189" t="n"/>
      <c r="Z361" s="189" t="n"/>
      <c r="AA361" s="189" t="n"/>
      <c r="AB361" s="189" t="n"/>
      <c r="AC361" s="189" t="n"/>
      <c r="AD361" s="189" t="n"/>
      <c r="AE361" s="189" t="n"/>
      <c r="AF361" s="189" t="n"/>
      <c r="AG361" s="189" t="n"/>
      <c r="AH361" s="189" t="n"/>
      <c r="AI361" s="51" t="inlineStr">
        <is>
          <t>U6θ</t>
        </is>
      </c>
    </row>
    <row r="362">
      <c r="B362" s="189" t="n"/>
      <c r="C362" s="189" t="n"/>
      <c r="D362" s="189" t="n"/>
      <c r="E362" s="189" t="n"/>
      <c r="F362" s="189" t="n"/>
      <c r="G362" s="189" t="n"/>
      <c r="H362" s="189" t="n"/>
      <c r="I362" s="189" t="n"/>
      <c r="J362" s="189" t="n"/>
      <c r="K362" s="189" t="n"/>
      <c r="L362" s="189" t="n"/>
      <c r="M362" s="189" t="n"/>
      <c r="N362" s="189" t="n"/>
      <c r="O362" s="189" t="n"/>
      <c r="P362" s="189" t="n"/>
      <c r="Q362" s="189" t="n"/>
      <c r="R362" s="189" t="n"/>
      <c r="S362" s="189" t="n"/>
      <c r="T362" s="189" t="n"/>
      <c r="U362" s="189" t="n"/>
      <c r="V362" s="189" t="n"/>
      <c r="W362" s="189" t="n"/>
      <c r="X362" s="189" t="n"/>
      <c r="Y362" s="189" t="n"/>
      <c r="Z362" s="189" t="n"/>
      <c r="AA362" s="189" t="n"/>
      <c r="AB362" s="189" t="n"/>
      <c r="AC362" s="189" t="n"/>
      <c r="AD362" s="189" t="n"/>
      <c r="AE362" s="189" t="n"/>
      <c r="AF362" s="189" t="n"/>
      <c r="AG362" s="189" t="n"/>
      <c r="AH362" s="189" t="n"/>
      <c r="AI362" s="51" t="inlineStr">
        <is>
          <t>U7X</t>
        </is>
      </c>
    </row>
    <row r="363">
      <c r="B363" s="189" t="n"/>
      <c r="C363" s="189" t="n"/>
      <c r="D363" s="189" t="n"/>
      <c r="E363" s="189" t="n"/>
      <c r="F363" s="189" t="n"/>
      <c r="G363" s="189" t="n"/>
      <c r="H363" s="189" t="n"/>
      <c r="I363" s="189" t="n"/>
      <c r="J363" s="189" t="n"/>
      <c r="K363" s="189" t="n"/>
      <c r="L363" s="189" t="n"/>
      <c r="M363" s="189" t="n"/>
      <c r="N363" s="189" t="n"/>
      <c r="O363" s="189" t="n"/>
      <c r="P363" s="189" t="n"/>
      <c r="Q363" s="189" t="n"/>
      <c r="R363" s="189" t="n"/>
      <c r="S363" s="189" t="n"/>
      <c r="T363" s="189" t="n"/>
      <c r="U363" s="189" t="n"/>
      <c r="V363" s="189" t="n"/>
      <c r="W363" s="189" t="n"/>
      <c r="X363" s="189" t="n"/>
      <c r="Y363" s="189" t="n"/>
      <c r="Z363" s="189" t="n"/>
      <c r="AA363" s="189" t="n"/>
      <c r="AB363" s="189" t="n"/>
      <c r="AC363" s="189" t="n"/>
      <c r="AD363" s="189" t="n"/>
      <c r="AE363" s="189" t="n"/>
      <c r="AF363" s="189" t="n"/>
      <c r="AG363" s="189" t="n"/>
      <c r="AH363" s="189" t="n"/>
      <c r="AI363" s="51" t="inlineStr">
        <is>
          <t>U7Y</t>
        </is>
      </c>
    </row>
    <row r="364">
      <c r="B364" s="189" t="n"/>
      <c r="C364" s="189" t="n"/>
      <c r="D364" s="189" t="n"/>
      <c r="E364" s="189" t="n"/>
      <c r="F364" s="189" t="n"/>
      <c r="G364" s="189" t="n"/>
      <c r="H364" s="189" t="n"/>
      <c r="I364" s="189" t="n"/>
      <c r="J364" s="189" t="n"/>
      <c r="K364" s="189" t="n"/>
      <c r="L364" s="189" t="n"/>
      <c r="M364" s="189" t="n"/>
      <c r="N364" s="189" t="n"/>
      <c r="O364" s="189" t="n"/>
      <c r="P364" s="189" t="n"/>
      <c r="Q364" s="189" t="n"/>
      <c r="R364" s="189" t="n"/>
      <c r="S364" s="189" t="n"/>
      <c r="T364" s="189" t="n"/>
      <c r="U364" s="189" t="n"/>
      <c r="V364" s="189" t="n"/>
      <c r="W364" s="189" t="n"/>
      <c r="X364" s="189" t="n"/>
      <c r="Y364" s="189" t="n"/>
      <c r="Z364" s="189" t="n"/>
      <c r="AA364" s="189" t="n"/>
      <c r="AB364" s="189" t="n"/>
      <c r="AC364" s="189" t="n"/>
      <c r="AD364" s="189" t="n"/>
      <c r="AE364" s="189" t="n"/>
      <c r="AF364" s="189" t="n"/>
      <c r="AG364" s="189" t="n"/>
      <c r="AH364" s="189" t="n"/>
      <c r="AI364" s="51" t="inlineStr">
        <is>
          <t>U7θ</t>
        </is>
      </c>
    </row>
    <row r="365">
      <c r="B365" s="189" t="n"/>
      <c r="C365" s="189" t="n"/>
      <c r="D365" s="189" t="n"/>
      <c r="E365" s="189" t="n"/>
      <c r="F365" s="189" t="n"/>
      <c r="G365" s="189" t="n"/>
      <c r="H365" s="189" t="n"/>
      <c r="I365" s="189" t="n"/>
      <c r="J365" s="189" t="n"/>
      <c r="K365" s="189" t="n"/>
      <c r="L365" s="189" t="n"/>
      <c r="M365" s="189" t="n"/>
      <c r="N365" s="189" t="n"/>
      <c r="O365" s="189" t="n"/>
      <c r="P365" s="189" t="n"/>
      <c r="Q365" s="189" t="n"/>
      <c r="R365" s="189" t="n"/>
      <c r="S365" s="189" t="n"/>
      <c r="T365" s="189" t="n"/>
      <c r="U365" s="189" t="n"/>
      <c r="V365" s="189" t="n"/>
      <c r="W365" s="189">
        <f>B336</f>
        <v/>
      </c>
      <c r="X365" s="189">
        <f>C336</f>
        <v/>
      </c>
      <c r="Y365" s="189">
        <f>D336</f>
        <v/>
      </c>
      <c r="Z365" s="189">
        <f>E336</f>
        <v/>
      </c>
      <c r="AA365" s="189">
        <f>F336</f>
        <v/>
      </c>
      <c r="AB365" s="189">
        <f>G336</f>
        <v/>
      </c>
      <c r="AC365" s="189" t="n"/>
      <c r="AD365" s="189" t="n"/>
      <c r="AE365" s="189" t="n"/>
      <c r="AF365" s="189" t="n"/>
      <c r="AG365" s="189" t="n"/>
      <c r="AH365" s="189" t="n"/>
      <c r="AI365" s="51" t="inlineStr">
        <is>
          <t>U8X</t>
        </is>
      </c>
    </row>
    <row r="366">
      <c r="B366" s="189" t="n"/>
      <c r="C366" s="189" t="n"/>
      <c r="D366" s="189" t="n"/>
      <c r="E366" s="189" t="n"/>
      <c r="F366" s="189" t="n"/>
      <c r="G366" s="189" t="n"/>
      <c r="H366" s="189" t="n"/>
      <c r="I366" s="189" t="n"/>
      <c r="J366" s="189" t="n"/>
      <c r="K366" s="189" t="n"/>
      <c r="L366" s="189" t="n"/>
      <c r="M366" s="189" t="n"/>
      <c r="N366" s="189" t="n"/>
      <c r="O366" s="189" t="n"/>
      <c r="P366" s="189" t="n"/>
      <c r="Q366" s="189" t="n"/>
      <c r="R366" s="189" t="n"/>
      <c r="S366" s="189" t="n"/>
      <c r="T366" s="189" t="n"/>
      <c r="U366" s="189" t="n"/>
      <c r="V366" s="189" t="n"/>
      <c r="W366" s="189">
        <f>B337</f>
        <v/>
      </c>
      <c r="X366" s="189">
        <f>C337</f>
        <v/>
      </c>
      <c r="Y366" s="189">
        <f>D337</f>
        <v/>
      </c>
      <c r="Z366" s="189">
        <f>E337</f>
        <v/>
      </c>
      <c r="AA366" s="189">
        <f>F337</f>
        <v/>
      </c>
      <c r="AB366" s="189">
        <f>G337</f>
        <v/>
      </c>
      <c r="AC366" s="189" t="n"/>
      <c r="AD366" s="189" t="n"/>
      <c r="AE366" s="189" t="n"/>
      <c r="AF366" s="189" t="n"/>
      <c r="AG366" s="189" t="n"/>
      <c r="AH366" s="189" t="n"/>
      <c r="AI366" s="51" t="inlineStr">
        <is>
          <t>U8Y</t>
        </is>
      </c>
    </row>
    <row r="367">
      <c r="B367" s="189" t="n"/>
      <c r="C367" s="189" t="n"/>
      <c r="D367" s="189" t="n"/>
      <c r="E367" s="189" t="n"/>
      <c r="F367" s="189" t="n"/>
      <c r="G367" s="189" t="n"/>
      <c r="H367" s="189" t="n"/>
      <c r="I367" s="189" t="n"/>
      <c r="J367" s="189" t="n"/>
      <c r="K367" s="189" t="n"/>
      <c r="L367" s="189" t="n"/>
      <c r="M367" s="189" t="n"/>
      <c r="N367" s="189" t="n"/>
      <c r="O367" s="189" t="n"/>
      <c r="P367" s="189" t="n"/>
      <c r="Q367" s="189" t="n"/>
      <c r="R367" s="189" t="n"/>
      <c r="S367" s="189" t="n"/>
      <c r="T367" s="189" t="n"/>
      <c r="U367" s="189" t="n"/>
      <c r="V367" s="189" t="n"/>
      <c r="W367" s="189">
        <f>B338</f>
        <v/>
      </c>
      <c r="X367" s="189">
        <f>C338</f>
        <v/>
      </c>
      <c r="Y367" s="189">
        <f>D338</f>
        <v/>
      </c>
      <c r="Z367" s="189">
        <f>E338</f>
        <v/>
      </c>
      <c r="AA367" s="189">
        <f>F338</f>
        <v/>
      </c>
      <c r="AB367" s="189">
        <f>G338</f>
        <v/>
      </c>
      <c r="AC367" s="189" t="n"/>
      <c r="AD367" s="189" t="n"/>
      <c r="AE367" s="189" t="n"/>
      <c r="AF367" s="189" t="n"/>
      <c r="AG367" s="189" t="n"/>
      <c r="AH367" s="189" t="n"/>
      <c r="AI367" s="51" t="inlineStr">
        <is>
          <t>U8θ</t>
        </is>
      </c>
    </row>
    <row r="368">
      <c r="B368" s="189" t="n"/>
      <c r="C368" s="189" t="n"/>
      <c r="D368" s="189" t="n"/>
      <c r="E368" s="189" t="n"/>
      <c r="F368" s="189" t="n"/>
      <c r="G368" s="189" t="n"/>
      <c r="H368" s="189" t="n"/>
      <c r="I368" s="189" t="n"/>
      <c r="J368" s="189" t="n"/>
      <c r="K368" s="189" t="n"/>
      <c r="L368" s="189" t="n"/>
      <c r="M368" s="189" t="n"/>
      <c r="N368" s="189" t="n"/>
      <c r="O368" s="189" t="n"/>
      <c r="P368" s="189" t="n"/>
      <c r="Q368" s="189" t="n"/>
      <c r="R368" s="189" t="n"/>
      <c r="S368" s="189" t="n"/>
      <c r="T368" s="189" t="n"/>
      <c r="U368" s="189" t="n"/>
      <c r="V368" s="189" t="n"/>
      <c r="W368" s="189">
        <f>B339</f>
        <v/>
      </c>
      <c r="X368" s="189">
        <f>C339</f>
        <v/>
      </c>
      <c r="Y368" s="189">
        <f>D339</f>
        <v/>
      </c>
      <c r="Z368" s="189">
        <f>E339</f>
        <v/>
      </c>
      <c r="AA368" s="189">
        <f>F339</f>
        <v/>
      </c>
      <c r="AB368" s="189">
        <f>G339</f>
        <v/>
      </c>
      <c r="AC368" s="189" t="n"/>
      <c r="AD368" s="189" t="n"/>
      <c r="AE368" s="189" t="n"/>
      <c r="AF368" s="189" t="n"/>
      <c r="AG368" s="189" t="n"/>
      <c r="AH368" s="189" t="n"/>
      <c r="AI368" s="51" t="inlineStr">
        <is>
          <t>U9X</t>
        </is>
      </c>
    </row>
    <row r="369">
      <c r="B369" s="189" t="n"/>
      <c r="C369" s="189" t="n"/>
      <c r="D369" s="189" t="n"/>
      <c r="E369" s="189" t="n"/>
      <c r="F369" s="189" t="n"/>
      <c r="G369" s="189" t="n"/>
      <c r="H369" s="189" t="n"/>
      <c r="I369" s="189" t="n"/>
      <c r="J369" s="189" t="n"/>
      <c r="K369" s="189" t="n"/>
      <c r="L369" s="189" t="n"/>
      <c r="M369" s="189" t="n"/>
      <c r="N369" s="189" t="n"/>
      <c r="O369" s="189" t="n"/>
      <c r="P369" s="189" t="n"/>
      <c r="Q369" s="189" t="n"/>
      <c r="R369" s="189" t="n"/>
      <c r="S369" s="189" t="n"/>
      <c r="T369" s="189" t="n"/>
      <c r="U369" s="189" t="n"/>
      <c r="V369" s="189" t="n"/>
      <c r="W369" s="189">
        <f>B340</f>
        <v/>
      </c>
      <c r="X369" s="189">
        <f>C340</f>
        <v/>
      </c>
      <c r="Y369" s="189">
        <f>D340</f>
        <v/>
      </c>
      <c r="Z369" s="189">
        <f>E340</f>
        <v/>
      </c>
      <c r="AA369" s="189">
        <f>F340</f>
        <v/>
      </c>
      <c r="AB369" s="189">
        <f>G340</f>
        <v/>
      </c>
      <c r="AC369" s="189" t="n"/>
      <c r="AD369" s="189" t="n"/>
      <c r="AE369" s="189" t="n"/>
      <c r="AF369" s="189" t="n"/>
      <c r="AG369" s="189" t="n"/>
      <c r="AH369" s="189" t="n"/>
      <c r="AI369" s="51" t="inlineStr">
        <is>
          <t>U9Y</t>
        </is>
      </c>
    </row>
    <row r="370">
      <c r="B370" s="189" t="n"/>
      <c r="C370" s="189" t="n"/>
      <c r="D370" s="189" t="n"/>
      <c r="E370" s="189" t="n"/>
      <c r="F370" s="189" t="n"/>
      <c r="G370" s="189" t="n"/>
      <c r="H370" s="189" t="n"/>
      <c r="I370" s="189" t="n"/>
      <c r="J370" s="189" t="n"/>
      <c r="K370" s="189" t="n"/>
      <c r="L370" s="189" t="n"/>
      <c r="M370" s="189" t="n"/>
      <c r="N370" s="189" t="n"/>
      <c r="O370" s="189" t="n"/>
      <c r="P370" s="189" t="n"/>
      <c r="Q370" s="189" t="n"/>
      <c r="R370" s="189" t="n"/>
      <c r="S370" s="189" t="n"/>
      <c r="T370" s="189" t="n"/>
      <c r="U370" s="189" t="n"/>
      <c r="V370" s="189" t="n"/>
      <c r="W370" s="189">
        <f>B341</f>
        <v/>
      </c>
      <c r="X370" s="189">
        <f>C341</f>
        <v/>
      </c>
      <c r="Y370" s="189">
        <f>D341</f>
        <v/>
      </c>
      <c r="Z370" s="189">
        <f>E341</f>
        <v/>
      </c>
      <c r="AA370" s="189">
        <f>F341</f>
        <v/>
      </c>
      <c r="AB370" s="189">
        <f>G341</f>
        <v/>
      </c>
      <c r="AC370" s="189" t="n"/>
      <c r="AD370" s="189" t="n"/>
      <c r="AE370" s="189" t="n"/>
      <c r="AF370" s="189" t="n"/>
      <c r="AG370" s="189" t="n"/>
      <c r="AH370" s="189" t="n"/>
      <c r="AI370" s="51" t="inlineStr">
        <is>
          <t>U9θ</t>
        </is>
      </c>
    </row>
    <row r="371">
      <c r="B371" s="189" t="n"/>
      <c r="C371" s="189" t="n"/>
      <c r="D371" s="189" t="n"/>
      <c r="E371" s="189" t="n"/>
      <c r="F371" s="189" t="n"/>
      <c r="G371" s="189" t="n"/>
      <c r="H371" s="189" t="n"/>
      <c r="I371" s="189" t="n"/>
      <c r="J371" s="189" t="n"/>
      <c r="K371" s="189" t="n"/>
      <c r="L371" s="189" t="n"/>
      <c r="M371" s="189" t="n"/>
      <c r="N371" s="189" t="n"/>
      <c r="O371" s="189" t="n"/>
      <c r="P371" s="189" t="n"/>
      <c r="Q371" s="189" t="n"/>
      <c r="R371" s="189" t="n"/>
      <c r="S371" s="189" t="n"/>
      <c r="T371" s="189" t="n"/>
      <c r="U371" s="189" t="n"/>
      <c r="V371" s="189" t="n"/>
      <c r="W371" s="189" t="n"/>
      <c r="X371" s="189" t="n"/>
      <c r="Y371" s="189" t="n"/>
      <c r="Z371" s="189" t="n"/>
      <c r="AA371" s="189" t="n"/>
      <c r="AB371" s="189" t="n"/>
      <c r="AC371" s="189" t="n"/>
      <c r="AD371" s="189" t="n"/>
      <c r="AE371" s="189" t="n"/>
      <c r="AF371" s="189" t="n"/>
      <c r="AG371" s="189" t="n"/>
      <c r="AH371" s="189" t="n"/>
      <c r="AI371" s="51" t="inlineStr">
        <is>
          <t>U10X</t>
        </is>
      </c>
    </row>
    <row r="372">
      <c r="B372" s="189" t="n"/>
      <c r="C372" s="189" t="n"/>
      <c r="D372" s="189" t="n"/>
      <c r="E372" s="189" t="n"/>
      <c r="F372" s="189" t="n"/>
      <c r="G372" s="189" t="n"/>
      <c r="H372" s="189" t="n"/>
      <c r="I372" s="189" t="n"/>
      <c r="J372" s="189" t="n"/>
      <c r="K372" s="189" t="n"/>
      <c r="L372" s="189" t="n"/>
      <c r="M372" s="189" t="n"/>
      <c r="N372" s="189" t="n"/>
      <c r="O372" s="189" t="n"/>
      <c r="P372" s="189" t="n"/>
      <c r="Q372" s="189" t="n"/>
      <c r="R372" s="189" t="n"/>
      <c r="S372" s="189" t="n"/>
      <c r="T372" s="189" t="n"/>
      <c r="U372" s="189" t="n"/>
      <c r="V372" s="189" t="n"/>
      <c r="W372" s="189" t="n"/>
      <c r="X372" s="189" t="n"/>
      <c r="Y372" s="189" t="n"/>
      <c r="Z372" s="189" t="n"/>
      <c r="AA372" s="189" t="n"/>
      <c r="AB372" s="189" t="n"/>
      <c r="AC372" s="189" t="n"/>
      <c r="AD372" s="189" t="n"/>
      <c r="AE372" s="189" t="n"/>
      <c r="AF372" s="189" t="n"/>
      <c r="AG372" s="189" t="n"/>
      <c r="AH372" s="189" t="n"/>
      <c r="AI372" s="51" t="inlineStr">
        <is>
          <t>U10Y</t>
        </is>
      </c>
    </row>
    <row r="373">
      <c r="B373" s="189" t="n"/>
      <c r="C373" s="189" t="n"/>
      <c r="D373" s="189" t="n"/>
      <c r="E373" s="189" t="n"/>
      <c r="F373" s="189" t="n"/>
      <c r="G373" s="189" t="n"/>
      <c r="H373" s="189" t="n"/>
      <c r="I373" s="189" t="n"/>
      <c r="J373" s="189" t="n"/>
      <c r="K373" s="189" t="n"/>
      <c r="L373" s="189" t="n"/>
      <c r="M373" s="189" t="n"/>
      <c r="N373" s="189" t="n"/>
      <c r="O373" s="189" t="n"/>
      <c r="P373" s="189" t="n"/>
      <c r="Q373" s="189" t="n"/>
      <c r="R373" s="189" t="n"/>
      <c r="S373" s="189" t="n"/>
      <c r="T373" s="189" t="n"/>
      <c r="U373" s="189" t="n"/>
      <c r="V373" s="189" t="n"/>
      <c r="W373" s="189" t="n"/>
      <c r="X373" s="189" t="n"/>
      <c r="Y373" s="189" t="n"/>
      <c r="Z373" s="189" t="n"/>
      <c r="AA373" s="189" t="n"/>
      <c r="AB373" s="189" t="n"/>
      <c r="AC373" s="189" t="n"/>
      <c r="AD373" s="189" t="n"/>
      <c r="AE373" s="189" t="n"/>
      <c r="AF373" s="189" t="n"/>
      <c r="AG373" s="189" t="n"/>
      <c r="AH373" s="189" t="n"/>
      <c r="AI373" s="51" t="inlineStr">
        <is>
          <t>U10θ</t>
        </is>
      </c>
    </row>
    <row r="374">
      <c r="B374" s="189" t="n"/>
      <c r="C374" s="189" t="n"/>
      <c r="D374" s="189" t="n"/>
      <c r="E374" s="189" t="n"/>
      <c r="F374" s="189" t="n"/>
      <c r="G374" s="189" t="n"/>
      <c r="H374" s="189" t="n"/>
      <c r="I374" s="189" t="n"/>
      <c r="J374" s="189" t="n"/>
      <c r="K374" s="189" t="n"/>
      <c r="L374" s="189" t="n"/>
      <c r="M374" s="189" t="n"/>
      <c r="N374" s="189" t="n"/>
      <c r="O374" s="189" t="n"/>
      <c r="P374" s="189" t="n"/>
      <c r="Q374" s="189" t="n"/>
      <c r="R374" s="189" t="n"/>
      <c r="S374" s="189" t="n"/>
      <c r="T374" s="189" t="n"/>
      <c r="U374" s="189" t="n"/>
      <c r="V374" s="189" t="n"/>
      <c r="W374" s="189" t="n"/>
      <c r="X374" s="189" t="n"/>
      <c r="Y374" s="189" t="n"/>
      <c r="Z374" s="189" t="n"/>
      <c r="AA374" s="189" t="n"/>
      <c r="AB374" s="189" t="n"/>
      <c r="AC374" s="189" t="n"/>
      <c r="AD374" s="189" t="n"/>
      <c r="AE374" s="189" t="n"/>
      <c r="AF374" s="189" t="n"/>
      <c r="AG374" s="189" t="n"/>
      <c r="AH374" s="189" t="n"/>
      <c r="AI374" s="51" t="inlineStr">
        <is>
          <t>U11X</t>
        </is>
      </c>
    </row>
    <row r="375">
      <c r="B375" s="189" t="n"/>
      <c r="C375" s="189" t="n"/>
      <c r="D375" s="189" t="n"/>
      <c r="E375" s="189" t="n"/>
      <c r="F375" s="189" t="n"/>
      <c r="G375" s="189" t="n"/>
      <c r="H375" s="189" t="n"/>
      <c r="I375" s="189" t="n"/>
      <c r="J375" s="189" t="n"/>
      <c r="K375" s="189" t="n"/>
      <c r="L375" s="189" t="n"/>
      <c r="M375" s="189" t="n"/>
      <c r="N375" s="189" t="n"/>
      <c r="O375" s="189" t="n"/>
      <c r="P375" s="189" t="n"/>
      <c r="Q375" s="189" t="n"/>
      <c r="R375" s="189" t="n"/>
      <c r="S375" s="189" t="n"/>
      <c r="T375" s="189" t="n"/>
      <c r="U375" s="189" t="n"/>
      <c r="V375" s="189" t="n"/>
      <c r="W375" s="189" t="n"/>
      <c r="X375" s="189" t="n"/>
      <c r="Y375" s="189" t="n"/>
      <c r="Z375" s="189" t="n"/>
      <c r="AA375" s="189" t="n"/>
      <c r="AB375" s="189" t="n"/>
      <c r="AC375" s="189" t="n"/>
      <c r="AD375" s="189" t="n"/>
      <c r="AE375" s="189" t="n"/>
      <c r="AF375" s="189" t="n"/>
      <c r="AG375" s="189" t="n"/>
      <c r="AH375" s="189" t="n"/>
      <c r="AI375" s="51" t="inlineStr">
        <is>
          <t>U11Y</t>
        </is>
      </c>
    </row>
    <row r="376">
      <c r="B376" s="189" t="n"/>
      <c r="C376" s="189" t="n"/>
      <c r="D376" s="189" t="n"/>
      <c r="E376" s="189" t="n"/>
      <c r="F376" s="189" t="n"/>
      <c r="G376" s="189" t="n"/>
      <c r="H376" s="189" t="n"/>
      <c r="I376" s="189" t="n"/>
      <c r="J376" s="189" t="n"/>
      <c r="K376" s="189" t="n"/>
      <c r="L376" s="189" t="n"/>
      <c r="M376" s="189" t="n"/>
      <c r="N376" s="189" t="n"/>
      <c r="O376" s="189" t="n"/>
      <c r="P376" s="189" t="n"/>
      <c r="Q376" s="189" t="n"/>
      <c r="R376" s="189" t="n"/>
      <c r="S376" s="189" t="n"/>
      <c r="T376" s="189" t="n"/>
      <c r="U376" s="189" t="n"/>
      <c r="V376" s="189" t="n"/>
      <c r="W376" s="189" t="n"/>
      <c r="X376" s="189" t="n"/>
      <c r="Y376" s="189" t="n"/>
      <c r="Z376" s="189" t="n"/>
      <c r="AA376" s="189" t="n"/>
      <c r="AB376" s="189" t="n"/>
      <c r="AC376" s="189" t="n"/>
      <c r="AD376" s="189" t="n"/>
      <c r="AE376" s="189" t="n"/>
      <c r="AF376" s="189" t="n"/>
      <c r="AG376" s="189" t="n"/>
      <c r="AH376" s="189" t="n"/>
      <c r="AI376" s="51" t="inlineStr">
        <is>
          <t>U11θ</t>
        </is>
      </c>
    </row>
    <row r="378">
      <c r="B378" s="51">
        <f>IF(C30="","", CONCATENATE("U",C30,C$21))</f>
        <v/>
      </c>
      <c r="C378" s="51">
        <f>IF(D30="","", CONCATENATE("U",D30,D$21))</f>
        <v/>
      </c>
      <c r="D378" s="51">
        <f>IF(E30="","", CONCATENATE("U",E30,E$21))</f>
        <v/>
      </c>
      <c r="E378" s="51">
        <f>IF(F30="","", CONCATENATE("U",F30,F$21))</f>
        <v/>
      </c>
      <c r="F378" s="51">
        <f>IF(G30="","", CONCATENATE("U",G30,G$21))</f>
        <v/>
      </c>
      <c r="G378" s="51">
        <f>IF(H30="","", CONCATENATE("U",H30,H$21))</f>
        <v/>
      </c>
    </row>
    <row r="379">
      <c r="B379" s="8">
        <f>IF(I17="", 0, O17*J17*J17+P17*K17*K17)</f>
        <v/>
      </c>
      <c r="C379" s="189">
        <f>IF(I17="", 0, (O17-P17)*(J17*K17))</f>
        <v/>
      </c>
      <c r="D379" s="189">
        <f>IF(I17="", 0, -Q17*K17)</f>
        <v/>
      </c>
      <c r="E379" s="189">
        <f>-B379</f>
        <v/>
      </c>
      <c r="F379" s="189">
        <f>-C379</f>
        <v/>
      </c>
      <c r="G379" s="189">
        <f>D379</f>
        <v/>
      </c>
      <c r="H379" s="51">
        <f>B378</f>
        <v/>
      </c>
    </row>
    <row r="380">
      <c r="B380" s="189">
        <f>C379</f>
        <v/>
      </c>
      <c r="C380" s="8">
        <f>IF(I17="", 0, O17*K17*K17+P17*J17*J17)</f>
        <v/>
      </c>
      <c r="D380" s="189">
        <f>IF(I17="", 0, Q17*J17)</f>
        <v/>
      </c>
      <c r="E380" s="189">
        <f>-B380</f>
        <v/>
      </c>
      <c r="F380" s="189">
        <f>-C380</f>
        <v/>
      </c>
      <c r="G380" s="189">
        <f>D380</f>
        <v/>
      </c>
      <c r="H380" s="51">
        <f>C378</f>
        <v/>
      </c>
    </row>
    <row r="381">
      <c r="A381" s="118" t="inlineStr">
        <is>
          <t>K9 =</t>
        </is>
      </c>
      <c r="B381" s="189">
        <f>D379</f>
        <v/>
      </c>
      <c r="C381" s="189">
        <f>D380</f>
        <v/>
      </c>
      <c r="D381" s="8">
        <f>IF(I17="", 0, R17)</f>
        <v/>
      </c>
      <c r="E381" s="189">
        <f>-B381</f>
        <v/>
      </c>
      <c r="F381" s="189">
        <f>-C381</f>
        <v/>
      </c>
      <c r="G381" s="189">
        <f>IF(I17="", 0, S17)</f>
        <v/>
      </c>
      <c r="H381" s="51">
        <f>D378</f>
        <v/>
      </c>
    </row>
    <row r="382">
      <c r="B382" s="189">
        <f>E379</f>
        <v/>
      </c>
      <c r="C382" s="189">
        <f>E380</f>
        <v/>
      </c>
      <c r="D382" s="189">
        <f>E381</f>
        <v/>
      </c>
      <c r="E382" s="8">
        <f>B379</f>
        <v/>
      </c>
      <c r="F382" s="189">
        <f>C379</f>
        <v/>
      </c>
      <c r="G382" s="189">
        <f>-D379</f>
        <v/>
      </c>
      <c r="H382" s="51">
        <f>E378</f>
        <v/>
      </c>
    </row>
    <row r="383">
      <c r="B383" s="189">
        <f>F379</f>
        <v/>
      </c>
      <c r="C383" s="189">
        <f>F380</f>
        <v/>
      </c>
      <c r="D383" s="189">
        <f>F381</f>
        <v/>
      </c>
      <c r="E383" s="189">
        <f>F382</f>
        <v/>
      </c>
      <c r="F383" s="8">
        <f>C380</f>
        <v/>
      </c>
      <c r="G383" s="189">
        <f>-D380</f>
        <v/>
      </c>
      <c r="H383" s="51">
        <f>F378</f>
        <v/>
      </c>
    </row>
    <row r="384">
      <c r="B384" s="189">
        <f>G379</f>
        <v/>
      </c>
      <c r="C384" s="189">
        <f>G380</f>
        <v/>
      </c>
      <c r="D384" s="189">
        <f>G381</f>
        <v/>
      </c>
      <c r="E384" s="189">
        <f>G382</f>
        <v/>
      </c>
      <c r="F384" s="189">
        <f>G383</f>
        <v/>
      </c>
      <c r="G384" s="8">
        <f>D381</f>
        <v/>
      </c>
      <c r="H384" s="51">
        <f>G378</f>
        <v/>
      </c>
    </row>
    <row r="386">
      <c r="B386" s="51" t="inlineStr">
        <is>
          <t>U1X</t>
        </is>
      </c>
      <c r="C386" s="51" t="inlineStr">
        <is>
          <t>U1Y</t>
        </is>
      </c>
      <c r="D386" s="51" t="inlineStr">
        <is>
          <t>U1θ</t>
        </is>
      </c>
      <c r="E386" s="51" t="inlineStr">
        <is>
          <t>U2X</t>
        </is>
      </c>
      <c r="F386" s="51" t="inlineStr">
        <is>
          <t>U2Y</t>
        </is>
      </c>
      <c r="G386" s="51" t="inlineStr">
        <is>
          <t>U2θ</t>
        </is>
      </c>
      <c r="H386" s="51" t="inlineStr">
        <is>
          <t>U3X</t>
        </is>
      </c>
      <c r="I386" s="51" t="inlineStr">
        <is>
          <t>U3Y</t>
        </is>
      </c>
      <c r="J386" s="51" t="inlineStr">
        <is>
          <t>U3θ</t>
        </is>
      </c>
      <c r="K386" s="51" t="inlineStr">
        <is>
          <t>U4X</t>
        </is>
      </c>
      <c r="L386" s="51" t="inlineStr">
        <is>
          <t>U4Y</t>
        </is>
      </c>
      <c r="M386" s="51" t="inlineStr">
        <is>
          <t>U4θ</t>
        </is>
      </c>
      <c r="N386" s="51" t="inlineStr">
        <is>
          <t>U5X</t>
        </is>
      </c>
      <c r="O386" s="51" t="inlineStr">
        <is>
          <t>U5Y</t>
        </is>
      </c>
      <c r="P386" s="51" t="inlineStr">
        <is>
          <t>U5θ</t>
        </is>
      </c>
      <c r="Q386" s="51" t="inlineStr">
        <is>
          <t>U6X</t>
        </is>
      </c>
      <c r="R386" s="51" t="inlineStr">
        <is>
          <t>U6Y</t>
        </is>
      </c>
      <c r="S386" s="51" t="inlineStr">
        <is>
          <t>U6θ</t>
        </is>
      </c>
      <c r="T386" s="51" t="inlineStr">
        <is>
          <t>U7X</t>
        </is>
      </c>
      <c r="U386" s="51" t="inlineStr">
        <is>
          <t>U7Y</t>
        </is>
      </c>
      <c r="V386" s="51" t="inlineStr">
        <is>
          <t>U7θ</t>
        </is>
      </c>
      <c r="W386" s="51" t="inlineStr">
        <is>
          <t>U8X</t>
        </is>
      </c>
      <c r="X386" s="51" t="inlineStr">
        <is>
          <t>U8Y</t>
        </is>
      </c>
      <c r="Y386" s="51" t="inlineStr">
        <is>
          <t>U8θ</t>
        </is>
      </c>
      <c r="Z386" s="51" t="inlineStr">
        <is>
          <t>U9X</t>
        </is>
      </c>
      <c r="AA386" s="51" t="inlineStr">
        <is>
          <t>U9Y</t>
        </is>
      </c>
      <c r="AB386" s="51" t="inlineStr">
        <is>
          <t>U9θ</t>
        </is>
      </c>
      <c r="AC386" s="51" t="inlineStr">
        <is>
          <t>U10X</t>
        </is>
      </c>
      <c r="AD386" s="51" t="inlineStr">
        <is>
          <t>U10Y</t>
        </is>
      </c>
      <c r="AE386" s="51" t="inlineStr">
        <is>
          <t>U10θ</t>
        </is>
      </c>
      <c r="AF386" s="51" t="inlineStr">
        <is>
          <t>U11X</t>
        </is>
      </c>
      <c r="AG386" s="51" t="inlineStr">
        <is>
          <t>U11Y</t>
        </is>
      </c>
      <c r="AH386" s="51" t="inlineStr">
        <is>
          <t>U11θ</t>
        </is>
      </c>
    </row>
    <row r="387">
      <c r="B387" s="189" t="n"/>
      <c r="C387" s="189" t="n"/>
      <c r="D387" s="189" t="n"/>
      <c r="E387" s="189" t="n"/>
      <c r="F387" s="189" t="n"/>
      <c r="G387" s="189" t="n"/>
      <c r="H387" s="189" t="n"/>
      <c r="I387" s="189" t="n"/>
      <c r="J387" s="189" t="n"/>
      <c r="K387" s="189" t="n"/>
      <c r="L387" s="189" t="n"/>
      <c r="M387" s="189" t="n"/>
      <c r="N387" s="189" t="n"/>
      <c r="O387" s="189" t="n"/>
      <c r="P387" s="189" t="n"/>
      <c r="Q387" s="189" t="n"/>
      <c r="R387" s="189" t="n"/>
      <c r="S387" s="189" t="n"/>
      <c r="T387" s="189" t="n"/>
      <c r="U387" s="189" t="n"/>
      <c r="V387" s="189" t="n"/>
      <c r="W387" s="189" t="n"/>
      <c r="X387" s="189" t="n"/>
      <c r="Y387" s="189" t="n"/>
      <c r="Z387" s="189" t="n"/>
      <c r="AA387" s="189" t="n"/>
      <c r="AB387" s="189" t="n"/>
      <c r="AC387" s="189" t="n"/>
      <c r="AD387" s="189" t="n"/>
      <c r="AE387" s="189" t="n"/>
      <c r="AF387" s="189" t="n"/>
      <c r="AG387" s="189" t="n"/>
      <c r="AH387" s="189" t="n"/>
      <c r="AI387" s="51" t="inlineStr">
        <is>
          <t>U1X</t>
        </is>
      </c>
    </row>
    <row r="388">
      <c r="B388" s="189" t="n"/>
      <c r="C388" s="189" t="n"/>
      <c r="D388" s="189" t="n"/>
      <c r="E388" s="189" t="n"/>
      <c r="F388" s="189" t="n"/>
      <c r="G388" s="189" t="n"/>
      <c r="H388" s="189" t="n"/>
      <c r="I388" s="189" t="n"/>
      <c r="J388" s="189" t="n"/>
      <c r="K388" s="189" t="n"/>
      <c r="L388" s="189" t="n"/>
      <c r="M388" s="189" t="n"/>
      <c r="N388" s="189" t="n"/>
      <c r="O388" s="189" t="n"/>
      <c r="P388" s="189" t="n"/>
      <c r="Q388" s="189" t="n"/>
      <c r="R388" s="189" t="n"/>
      <c r="S388" s="189" t="n"/>
      <c r="T388" s="189" t="n"/>
      <c r="U388" s="189" t="n"/>
      <c r="V388" s="189" t="n"/>
      <c r="W388" s="189" t="n"/>
      <c r="X388" s="189" t="n"/>
      <c r="Y388" s="189" t="n"/>
      <c r="Z388" s="189" t="n"/>
      <c r="AA388" s="189" t="n"/>
      <c r="AB388" s="189" t="n"/>
      <c r="AC388" s="189" t="n"/>
      <c r="AD388" s="189" t="n"/>
      <c r="AE388" s="189" t="n"/>
      <c r="AF388" s="189" t="n"/>
      <c r="AG388" s="189" t="n"/>
      <c r="AH388" s="189" t="n"/>
      <c r="AI388" s="51" t="inlineStr">
        <is>
          <t>U1Y</t>
        </is>
      </c>
    </row>
    <row r="389">
      <c r="B389" s="189" t="n"/>
      <c r="C389" s="189" t="n"/>
      <c r="D389" s="189" t="n"/>
      <c r="E389" s="189" t="n"/>
      <c r="F389" s="189" t="n"/>
      <c r="G389" s="189" t="n"/>
      <c r="H389" s="189" t="n"/>
      <c r="I389" s="189" t="n"/>
      <c r="J389" s="189" t="n"/>
      <c r="K389" s="189" t="n"/>
      <c r="L389" s="189" t="n"/>
      <c r="M389" s="189" t="n"/>
      <c r="N389" s="189" t="n"/>
      <c r="O389" s="189" t="n"/>
      <c r="P389" s="189" t="n"/>
      <c r="Q389" s="189" t="n"/>
      <c r="R389" s="189" t="n"/>
      <c r="S389" s="189" t="n"/>
      <c r="T389" s="189" t="n"/>
      <c r="U389" s="189" t="n"/>
      <c r="V389" s="189" t="n"/>
      <c r="W389" s="189" t="n"/>
      <c r="X389" s="189" t="n"/>
      <c r="Y389" s="189" t="n"/>
      <c r="Z389" s="189" t="n"/>
      <c r="AA389" s="189" t="n"/>
      <c r="AB389" s="189" t="n"/>
      <c r="AC389" s="189" t="n"/>
      <c r="AD389" s="189" t="n"/>
      <c r="AE389" s="189" t="n"/>
      <c r="AF389" s="189" t="n"/>
      <c r="AG389" s="189" t="n"/>
      <c r="AH389" s="189" t="n"/>
      <c r="AI389" s="51" t="inlineStr">
        <is>
          <t>U1θ</t>
        </is>
      </c>
    </row>
    <row r="390">
      <c r="B390" s="189" t="n"/>
      <c r="C390" s="189" t="n"/>
      <c r="D390" s="189" t="n"/>
      <c r="E390" s="189" t="n"/>
      <c r="F390" s="189" t="n"/>
      <c r="G390" s="189" t="n"/>
      <c r="H390" s="189" t="n"/>
      <c r="I390" s="189" t="n"/>
      <c r="J390" s="189" t="n"/>
      <c r="K390" s="189" t="n"/>
      <c r="L390" s="189" t="n"/>
      <c r="M390" s="189" t="n"/>
      <c r="N390" s="189" t="n"/>
      <c r="O390" s="189" t="n"/>
      <c r="P390" s="189" t="n"/>
      <c r="Q390" s="189" t="n"/>
      <c r="R390" s="189" t="n"/>
      <c r="S390" s="189" t="n"/>
      <c r="T390" s="189" t="n"/>
      <c r="U390" s="189" t="n"/>
      <c r="V390" s="189" t="n"/>
      <c r="W390" s="189" t="n"/>
      <c r="X390" s="189" t="n"/>
      <c r="Y390" s="189" t="n"/>
      <c r="Z390" s="189" t="n"/>
      <c r="AA390" s="189" t="n"/>
      <c r="AB390" s="189" t="n"/>
      <c r="AC390" s="189" t="n"/>
      <c r="AD390" s="189" t="n"/>
      <c r="AE390" s="189" t="n"/>
      <c r="AF390" s="189" t="n"/>
      <c r="AG390" s="189" t="n"/>
      <c r="AH390" s="189" t="n"/>
      <c r="AI390" s="51" t="inlineStr">
        <is>
          <t>U2X</t>
        </is>
      </c>
    </row>
    <row r="391">
      <c r="B391" s="189" t="n"/>
      <c r="C391" s="189" t="n"/>
      <c r="D391" s="189" t="n"/>
      <c r="E391" s="189" t="n"/>
      <c r="F391" s="189" t="n"/>
      <c r="G391" s="189" t="n"/>
      <c r="H391" s="189" t="n"/>
      <c r="I391" s="189" t="n"/>
      <c r="J391" s="189" t="n"/>
      <c r="K391" s="189" t="n"/>
      <c r="L391" s="189" t="n"/>
      <c r="M391" s="189" t="n"/>
      <c r="N391" s="189" t="n"/>
      <c r="O391" s="189" t="n"/>
      <c r="P391" s="189" t="n"/>
      <c r="Q391" s="189" t="n"/>
      <c r="R391" s="189" t="n"/>
      <c r="S391" s="189" t="n"/>
      <c r="T391" s="189" t="n"/>
      <c r="U391" s="189" t="n"/>
      <c r="V391" s="189" t="n"/>
      <c r="W391" s="189" t="n"/>
      <c r="X391" s="189" t="n"/>
      <c r="Y391" s="189" t="n"/>
      <c r="Z391" s="189" t="n"/>
      <c r="AA391" s="189" t="n"/>
      <c r="AB391" s="189" t="n"/>
      <c r="AC391" s="189" t="n"/>
      <c r="AD391" s="189" t="n"/>
      <c r="AE391" s="189" t="n"/>
      <c r="AF391" s="189" t="n"/>
      <c r="AG391" s="189" t="n"/>
      <c r="AH391" s="189" t="n"/>
      <c r="AI391" s="51" t="inlineStr">
        <is>
          <t>U2Y</t>
        </is>
      </c>
    </row>
    <row r="392">
      <c r="B392" s="189" t="n"/>
      <c r="C392" s="189" t="n"/>
      <c r="D392" s="189" t="n"/>
      <c r="E392" s="189" t="n"/>
      <c r="F392" s="189" t="n"/>
      <c r="G392" s="189" t="n"/>
      <c r="H392" s="189" t="n"/>
      <c r="I392" s="189" t="n"/>
      <c r="J392" s="189" t="n"/>
      <c r="K392" s="189" t="n"/>
      <c r="L392" s="189" t="n"/>
      <c r="M392" s="189" t="n"/>
      <c r="N392" s="189" t="n"/>
      <c r="O392" s="189" t="n"/>
      <c r="P392" s="189" t="n"/>
      <c r="Q392" s="189" t="n"/>
      <c r="R392" s="189" t="n"/>
      <c r="S392" s="189" t="n"/>
      <c r="T392" s="189" t="n"/>
      <c r="U392" s="189" t="n"/>
      <c r="V392" s="189" t="n"/>
      <c r="W392" s="189" t="n"/>
      <c r="X392" s="189" t="n"/>
      <c r="Y392" s="189" t="n"/>
      <c r="Z392" s="189" t="n"/>
      <c r="AA392" s="189" t="n"/>
      <c r="AB392" s="189" t="n"/>
      <c r="AC392" s="189" t="n"/>
      <c r="AD392" s="189" t="n"/>
      <c r="AE392" s="189" t="n"/>
      <c r="AF392" s="189" t="n"/>
      <c r="AG392" s="189" t="n"/>
      <c r="AH392" s="189" t="n"/>
      <c r="AI392" s="51" t="inlineStr">
        <is>
          <t>U2θ</t>
        </is>
      </c>
    </row>
    <row r="393">
      <c r="B393" s="189" t="n"/>
      <c r="C393" s="189" t="n"/>
      <c r="D393" s="189" t="n"/>
      <c r="E393" s="189" t="n"/>
      <c r="F393" s="189" t="n"/>
      <c r="G393" s="189" t="n"/>
      <c r="H393" s="189" t="n"/>
      <c r="I393" s="189" t="n"/>
      <c r="J393" s="189" t="n"/>
      <c r="K393" s="189" t="n"/>
      <c r="L393" s="189" t="n"/>
      <c r="M393" s="189" t="n"/>
      <c r="N393" s="189" t="n"/>
      <c r="O393" s="189" t="n"/>
      <c r="P393" s="189" t="n"/>
      <c r="Q393" s="189" t="n"/>
      <c r="R393" s="189" t="n"/>
      <c r="S393" s="189" t="n"/>
      <c r="T393" s="189" t="n"/>
      <c r="U393" s="189" t="n"/>
      <c r="V393" s="189" t="n"/>
      <c r="W393" s="189" t="n"/>
      <c r="X393" s="189" t="n"/>
      <c r="Y393" s="189" t="n"/>
      <c r="Z393" s="189" t="n"/>
      <c r="AA393" s="189" t="n"/>
      <c r="AB393" s="189" t="n"/>
      <c r="AC393" s="189" t="n"/>
      <c r="AD393" s="189" t="n"/>
      <c r="AE393" s="189" t="n"/>
      <c r="AF393" s="189" t="n"/>
      <c r="AG393" s="189" t="n"/>
      <c r="AH393" s="189" t="n"/>
      <c r="AI393" s="51" t="inlineStr">
        <is>
          <t>U3X</t>
        </is>
      </c>
    </row>
    <row r="394">
      <c r="B394" s="189" t="n"/>
      <c r="C394" s="189" t="n"/>
      <c r="D394" s="189" t="n"/>
      <c r="E394" s="189" t="n"/>
      <c r="F394" s="189" t="n"/>
      <c r="G394" s="189" t="n"/>
      <c r="H394" s="189" t="n"/>
      <c r="I394" s="189" t="n"/>
      <c r="J394" s="189" t="n"/>
      <c r="K394" s="189" t="n"/>
      <c r="L394" s="189" t="n"/>
      <c r="M394" s="189" t="n"/>
      <c r="N394" s="189" t="n"/>
      <c r="O394" s="189" t="n"/>
      <c r="P394" s="189" t="n"/>
      <c r="Q394" s="189" t="n"/>
      <c r="R394" s="189" t="n"/>
      <c r="S394" s="189" t="n"/>
      <c r="T394" s="189" t="n"/>
      <c r="U394" s="189" t="n"/>
      <c r="V394" s="189" t="n"/>
      <c r="W394" s="189" t="n"/>
      <c r="X394" s="189" t="n"/>
      <c r="Y394" s="189" t="n"/>
      <c r="Z394" s="189" t="n"/>
      <c r="AA394" s="189" t="n"/>
      <c r="AB394" s="189" t="n"/>
      <c r="AC394" s="189" t="n"/>
      <c r="AD394" s="189" t="n"/>
      <c r="AE394" s="189" t="n"/>
      <c r="AF394" s="189" t="n"/>
      <c r="AG394" s="189" t="n"/>
      <c r="AH394" s="189" t="n"/>
      <c r="AI394" s="51" t="inlineStr">
        <is>
          <t>U3Y</t>
        </is>
      </c>
    </row>
    <row r="395">
      <c r="B395" s="189" t="n"/>
      <c r="C395" s="189" t="n"/>
      <c r="D395" s="189" t="n"/>
      <c r="E395" s="189" t="n"/>
      <c r="F395" s="189" t="n"/>
      <c r="G395" s="189" t="n"/>
      <c r="H395" s="189" t="n"/>
      <c r="I395" s="189" t="n"/>
      <c r="J395" s="189" t="n"/>
      <c r="K395" s="189" t="n"/>
      <c r="L395" s="189" t="n"/>
      <c r="M395" s="189" t="n"/>
      <c r="N395" s="189" t="n"/>
      <c r="O395" s="189" t="n"/>
      <c r="P395" s="189" t="n"/>
      <c r="Q395" s="189" t="n"/>
      <c r="R395" s="189" t="n"/>
      <c r="S395" s="189" t="n"/>
      <c r="T395" s="189" t="n"/>
      <c r="U395" s="189" t="n"/>
      <c r="V395" s="189" t="n"/>
      <c r="W395" s="189" t="n"/>
      <c r="X395" s="189" t="n"/>
      <c r="Y395" s="189" t="n"/>
      <c r="Z395" s="189" t="n"/>
      <c r="AA395" s="189" t="n"/>
      <c r="AB395" s="189" t="n"/>
      <c r="AC395" s="189" t="n"/>
      <c r="AD395" s="189" t="n"/>
      <c r="AE395" s="189" t="n"/>
      <c r="AF395" s="189" t="n"/>
      <c r="AG395" s="189" t="n"/>
      <c r="AH395" s="189" t="n"/>
      <c r="AI395" s="51" t="inlineStr">
        <is>
          <t>U3θ</t>
        </is>
      </c>
    </row>
    <row r="396">
      <c r="B396" s="189" t="n"/>
      <c r="C396" s="189" t="n"/>
      <c r="D396" s="189" t="n"/>
      <c r="E396" s="189" t="n"/>
      <c r="F396" s="189" t="n"/>
      <c r="G396" s="189" t="n"/>
      <c r="H396" s="189" t="n"/>
      <c r="I396" s="189" t="n"/>
      <c r="J396" s="189" t="n"/>
      <c r="K396" s="189" t="n"/>
      <c r="L396" s="189" t="n"/>
      <c r="M396" s="189" t="n"/>
      <c r="N396" s="189" t="n"/>
      <c r="O396" s="189" t="n"/>
      <c r="P396" s="189" t="n"/>
      <c r="Q396" s="189" t="n"/>
      <c r="R396" s="189" t="n"/>
      <c r="S396" s="189" t="n"/>
      <c r="T396" s="189" t="n"/>
      <c r="U396" s="189" t="n"/>
      <c r="V396" s="189" t="n"/>
      <c r="W396" s="189" t="n"/>
      <c r="X396" s="189" t="n"/>
      <c r="Y396" s="189" t="n"/>
      <c r="Z396" s="189" t="n"/>
      <c r="AA396" s="189" t="n"/>
      <c r="AB396" s="189" t="n"/>
      <c r="AC396" s="189" t="n"/>
      <c r="AD396" s="189" t="n"/>
      <c r="AE396" s="189" t="n"/>
      <c r="AF396" s="189" t="n"/>
      <c r="AG396" s="189" t="n"/>
      <c r="AH396" s="189" t="n"/>
      <c r="AI396" s="51" t="inlineStr">
        <is>
          <t>U4X</t>
        </is>
      </c>
    </row>
    <row r="397">
      <c r="B397" s="189" t="n"/>
      <c r="C397" s="189" t="n"/>
      <c r="D397" s="189" t="n"/>
      <c r="E397" s="189" t="n"/>
      <c r="F397" s="189" t="n"/>
      <c r="G397" s="189" t="n"/>
      <c r="H397" s="189" t="n"/>
      <c r="I397" s="189" t="n"/>
      <c r="J397" s="189" t="n"/>
      <c r="K397" s="189" t="n"/>
      <c r="L397" s="189" t="n"/>
      <c r="M397" s="189" t="n"/>
      <c r="N397" s="189" t="n"/>
      <c r="O397" s="189" t="n"/>
      <c r="P397" s="189" t="n"/>
      <c r="Q397" s="189" t="n"/>
      <c r="R397" s="189" t="n"/>
      <c r="S397" s="189" t="n"/>
      <c r="T397" s="189" t="n"/>
      <c r="U397" s="189" t="n"/>
      <c r="V397" s="189" t="n"/>
      <c r="W397" s="189" t="n"/>
      <c r="X397" s="189" t="n"/>
      <c r="Y397" s="189" t="n"/>
      <c r="Z397" s="189" t="n"/>
      <c r="AA397" s="189" t="n"/>
      <c r="AB397" s="189" t="n"/>
      <c r="AC397" s="189" t="n"/>
      <c r="AD397" s="189" t="n"/>
      <c r="AE397" s="189" t="n"/>
      <c r="AF397" s="189" t="n"/>
      <c r="AG397" s="189" t="n"/>
      <c r="AH397" s="189" t="n"/>
      <c r="AI397" s="51" t="inlineStr">
        <is>
          <t>U4Y</t>
        </is>
      </c>
    </row>
    <row r="398">
      <c r="B398" s="189" t="n"/>
      <c r="C398" s="189" t="n"/>
      <c r="D398" s="189" t="n"/>
      <c r="E398" s="189" t="n"/>
      <c r="F398" s="189" t="n"/>
      <c r="G398" s="189" t="n"/>
      <c r="H398" s="189" t="n"/>
      <c r="I398" s="189" t="n"/>
      <c r="J398" s="189" t="n"/>
      <c r="K398" s="189" t="n"/>
      <c r="L398" s="189" t="n"/>
      <c r="M398" s="189" t="n"/>
      <c r="N398" s="189" t="n"/>
      <c r="O398" s="189" t="n"/>
      <c r="P398" s="189" t="n"/>
      <c r="Q398" s="189" t="n"/>
      <c r="R398" s="189" t="n"/>
      <c r="S398" s="189" t="n"/>
      <c r="T398" s="189" t="n"/>
      <c r="U398" s="189" t="n"/>
      <c r="V398" s="189" t="n"/>
      <c r="W398" s="189" t="n"/>
      <c r="X398" s="189" t="n"/>
      <c r="Y398" s="189" t="n"/>
      <c r="Z398" s="189" t="n"/>
      <c r="AA398" s="189" t="n"/>
      <c r="AB398" s="189" t="n"/>
      <c r="AC398" s="189" t="n"/>
      <c r="AD398" s="189" t="n"/>
      <c r="AE398" s="189" t="n"/>
      <c r="AF398" s="189" t="n"/>
      <c r="AG398" s="189" t="n"/>
      <c r="AH398" s="189" t="n"/>
      <c r="AI398" s="51" t="inlineStr">
        <is>
          <t>U4θ</t>
        </is>
      </c>
    </row>
    <row r="399">
      <c r="B399" s="189" t="n"/>
      <c r="C399" s="189" t="n"/>
      <c r="D399" s="189" t="n"/>
      <c r="E399" s="189" t="n"/>
      <c r="F399" s="189" t="n"/>
      <c r="G399" s="189" t="n"/>
      <c r="H399" s="189" t="n"/>
      <c r="I399" s="189" t="n"/>
      <c r="J399" s="189" t="n"/>
      <c r="K399" s="189" t="n"/>
      <c r="L399" s="189" t="n"/>
      <c r="M399" s="189" t="n"/>
      <c r="N399" s="189" t="n"/>
      <c r="O399" s="189" t="n"/>
      <c r="P399" s="189" t="n"/>
      <c r="Q399" s="189" t="n"/>
      <c r="R399" s="189" t="n"/>
      <c r="S399" s="189" t="n"/>
      <c r="T399" s="189" t="n"/>
      <c r="U399" s="189" t="n"/>
      <c r="V399" s="189" t="n"/>
      <c r="W399" s="189" t="n"/>
      <c r="X399" s="189" t="n"/>
      <c r="Y399" s="189" t="n"/>
      <c r="Z399" s="189" t="n"/>
      <c r="AA399" s="189" t="n"/>
      <c r="AB399" s="189" t="n"/>
      <c r="AC399" s="189" t="n"/>
      <c r="AD399" s="189" t="n"/>
      <c r="AE399" s="189" t="n"/>
      <c r="AF399" s="189" t="n"/>
      <c r="AG399" s="189" t="n"/>
      <c r="AH399" s="189" t="n"/>
      <c r="AI399" s="51" t="inlineStr">
        <is>
          <t>U5X</t>
        </is>
      </c>
    </row>
    <row r="400">
      <c r="B400" s="189" t="n"/>
      <c r="C400" s="189" t="n"/>
      <c r="D400" s="189" t="n"/>
      <c r="E400" s="189" t="n"/>
      <c r="F400" s="189" t="n"/>
      <c r="G400" s="189" t="n"/>
      <c r="H400" s="189" t="n"/>
      <c r="I400" s="189" t="n"/>
      <c r="J400" s="189" t="n"/>
      <c r="K400" s="189" t="n"/>
      <c r="L400" s="189" t="n"/>
      <c r="M400" s="189" t="n"/>
      <c r="N400" s="189" t="n"/>
      <c r="O400" s="189" t="n"/>
      <c r="P400" s="189" t="n"/>
      <c r="Q400" s="189" t="n"/>
      <c r="R400" s="189" t="n"/>
      <c r="S400" s="189" t="n"/>
      <c r="T400" s="189" t="n"/>
      <c r="U400" s="189" t="n"/>
      <c r="V400" s="189" t="n"/>
      <c r="W400" s="189" t="n"/>
      <c r="X400" s="189" t="n"/>
      <c r="Y400" s="189" t="n"/>
      <c r="Z400" s="189" t="n"/>
      <c r="AA400" s="189" t="n"/>
      <c r="AB400" s="189" t="n"/>
      <c r="AC400" s="189" t="n"/>
      <c r="AD400" s="189" t="n"/>
      <c r="AE400" s="189" t="n"/>
      <c r="AF400" s="189" t="n"/>
      <c r="AG400" s="189" t="n"/>
      <c r="AH400" s="189" t="n"/>
      <c r="AI400" s="51" t="inlineStr">
        <is>
          <t>U5Y</t>
        </is>
      </c>
    </row>
    <row r="401">
      <c r="B401" s="189" t="n"/>
      <c r="C401" s="189" t="n"/>
      <c r="D401" s="189" t="n"/>
      <c r="E401" s="189" t="n"/>
      <c r="F401" s="189" t="n"/>
      <c r="G401" s="189" t="n"/>
      <c r="H401" s="189" t="n"/>
      <c r="I401" s="189" t="n"/>
      <c r="J401" s="189" t="n"/>
      <c r="K401" s="189" t="n"/>
      <c r="L401" s="189" t="n"/>
      <c r="M401" s="189" t="n"/>
      <c r="N401" s="189" t="n"/>
      <c r="O401" s="189" t="n"/>
      <c r="P401" s="189" t="n"/>
      <c r="Q401" s="189" t="n"/>
      <c r="R401" s="189" t="n"/>
      <c r="S401" s="189" t="n"/>
      <c r="T401" s="189" t="n"/>
      <c r="U401" s="189" t="n"/>
      <c r="V401" s="189" t="n"/>
      <c r="W401" s="189" t="n"/>
      <c r="X401" s="189" t="n"/>
      <c r="Y401" s="189" t="n"/>
      <c r="Z401" s="189" t="n"/>
      <c r="AA401" s="189" t="n"/>
      <c r="AB401" s="189" t="n"/>
      <c r="AC401" s="189" t="n"/>
      <c r="AD401" s="189" t="n"/>
      <c r="AE401" s="189" t="n"/>
      <c r="AF401" s="189" t="n"/>
      <c r="AG401" s="189" t="n"/>
      <c r="AH401" s="189" t="n"/>
      <c r="AI401" s="51" t="inlineStr">
        <is>
          <t>U5θ</t>
        </is>
      </c>
    </row>
    <row r="402">
      <c r="A402" s="118" t="inlineStr">
        <is>
          <t>K9 =</t>
        </is>
      </c>
      <c r="B402" s="189" t="n"/>
      <c r="C402" s="189" t="n"/>
      <c r="D402" s="189" t="n"/>
      <c r="E402" s="189" t="n"/>
      <c r="F402" s="189" t="n"/>
      <c r="G402" s="189" t="n"/>
      <c r="H402" s="189" t="n"/>
      <c r="I402" s="189" t="n"/>
      <c r="J402" s="189" t="n"/>
      <c r="K402" s="189" t="n"/>
      <c r="L402" s="189" t="n"/>
      <c r="M402" s="189" t="n"/>
      <c r="N402" s="189" t="n"/>
      <c r="O402" s="189" t="n"/>
      <c r="P402" s="189" t="n"/>
      <c r="Q402" s="189" t="n"/>
      <c r="R402" s="189" t="n"/>
      <c r="S402" s="189" t="n"/>
      <c r="T402" s="189" t="n"/>
      <c r="U402" s="189" t="n"/>
      <c r="V402" s="189" t="n"/>
      <c r="W402" s="189" t="n"/>
      <c r="X402" s="189" t="n"/>
      <c r="Y402" s="189" t="n"/>
      <c r="Z402" s="189" t="n"/>
      <c r="AA402" s="189" t="n"/>
      <c r="AB402" s="189" t="n"/>
      <c r="AC402" s="189" t="n"/>
      <c r="AD402" s="189" t="n"/>
      <c r="AE402" s="189" t="n"/>
      <c r="AF402" s="189" t="n"/>
      <c r="AG402" s="189" t="n"/>
      <c r="AH402" s="189" t="n"/>
      <c r="AI402" s="51" t="inlineStr">
        <is>
          <t>U6X</t>
        </is>
      </c>
    </row>
    <row r="403">
      <c r="B403" s="189" t="n"/>
      <c r="C403" s="189" t="n"/>
      <c r="D403" s="189" t="n"/>
      <c r="E403" s="189" t="n"/>
      <c r="F403" s="189" t="n"/>
      <c r="G403" s="189" t="n"/>
      <c r="H403" s="189" t="n"/>
      <c r="I403" s="189" t="n"/>
      <c r="J403" s="189" t="n"/>
      <c r="K403" s="189" t="n"/>
      <c r="L403" s="189" t="n"/>
      <c r="M403" s="189" t="n"/>
      <c r="N403" s="189" t="n"/>
      <c r="O403" s="189" t="n"/>
      <c r="P403" s="189" t="n"/>
      <c r="Q403" s="189" t="n"/>
      <c r="R403" s="189" t="n"/>
      <c r="S403" s="189" t="n"/>
      <c r="T403" s="189" t="n"/>
      <c r="U403" s="189" t="n"/>
      <c r="V403" s="189" t="n"/>
      <c r="W403" s="189" t="n"/>
      <c r="X403" s="189" t="n"/>
      <c r="Y403" s="189" t="n"/>
      <c r="Z403" s="189" t="n"/>
      <c r="AA403" s="189" t="n"/>
      <c r="AB403" s="189" t="n"/>
      <c r="AC403" s="189" t="n"/>
      <c r="AD403" s="189" t="n"/>
      <c r="AE403" s="189" t="n"/>
      <c r="AF403" s="189" t="n"/>
      <c r="AG403" s="189" t="n"/>
      <c r="AH403" s="189" t="n"/>
      <c r="AI403" s="51" t="inlineStr">
        <is>
          <t>U6Y</t>
        </is>
      </c>
    </row>
    <row r="404">
      <c r="B404" s="189" t="n"/>
      <c r="C404" s="189" t="n"/>
      <c r="D404" s="189" t="n"/>
      <c r="E404" s="189" t="n"/>
      <c r="F404" s="189" t="n"/>
      <c r="G404" s="189" t="n"/>
      <c r="H404" s="189" t="n"/>
      <c r="I404" s="189" t="n"/>
      <c r="J404" s="189" t="n"/>
      <c r="K404" s="189" t="n"/>
      <c r="L404" s="189" t="n"/>
      <c r="M404" s="189" t="n"/>
      <c r="N404" s="189" t="n"/>
      <c r="O404" s="189" t="n"/>
      <c r="P404" s="189" t="n"/>
      <c r="Q404" s="189" t="n"/>
      <c r="R404" s="189" t="n"/>
      <c r="S404" s="189" t="n"/>
      <c r="T404" s="189" t="n"/>
      <c r="U404" s="189" t="n"/>
      <c r="V404" s="189" t="n"/>
      <c r="W404" s="189" t="n"/>
      <c r="X404" s="189" t="n"/>
      <c r="Y404" s="189" t="n"/>
      <c r="Z404" s="189" t="n"/>
      <c r="AA404" s="189" t="n"/>
      <c r="AB404" s="189" t="n"/>
      <c r="AC404" s="189" t="n"/>
      <c r="AD404" s="189" t="n"/>
      <c r="AE404" s="189" t="n"/>
      <c r="AF404" s="189" t="n"/>
      <c r="AG404" s="189" t="n"/>
      <c r="AH404" s="189" t="n"/>
      <c r="AI404" s="51" t="inlineStr">
        <is>
          <t>U6θ</t>
        </is>
      </c>
    </row>
    <row r="405">
      <c r="B405" s="189" t="n"/>
      <c r="C405" s="189" t="n"/>
      <c r="D405" s="189" t="n"/>
      <c r="E405" s="189" t="n"/>
      <c r="F405" s="189" t="n"/>
      <c r="G405" s="189" t="n"/>
      <c r="H405" s="189" t="n"/>
      <c r="I405" s="189" t="n"/>
      <c r="J405" s="189" t="n"/>
      <c r="K405" s="189" t="n"/>
      <c r="L405" s="189" t="n"/>
      <c r="M405" s="189" t="n"/>
      <c r="N405" s="189" t="n"/>
      <c r="O405" s="189" t="n"/>
      <c r="P405" s="189" t="n"/>
      <c r="Q405" s="189" t="n"/>
      <c r="R405" s="189" t="n"/>
      <c r="S405" s="189" t="n"/>
      <c r="T405" s="189" t="n"/>
      <c r="U405" s="189" t="n"/>
      <c r="V405" s="189" t="n"/>
      <c r="W405" s="189" t="n"/>
      <c r="X405" s="189" t="n"/>
      <c r="Y405" s="189" t="n"/>
      <c r="Z405" s="189" t="n"/>
      <c r="AA405" s="189" t="n"/>
      <c r="AB405" s="189" t="n"/>
      <c r="AC405" s="189" t="n"/>
      <c r="AD405" s="189" t="n"/>
      <c r="AE405" s="189" t="n"/>
      <c r="AF405" s="189" t="n"/>
      <c r="AG405" s="189" t="n"/>
      <c r="AH405" s="189" t="n"/>
      <c r="AI405" s="51" t="inlineStr">
        <is>
          <t>U7X</t>
        </is>
      </c>
    </row>
    <row r="406">
      <c r="B406" s="189" t="n"/>
      <c r="C406" s="189" t="n"/>
      <c r="D406" s="189" t="n"/>
      <c r="E406" s="189" t="n"/>
      <c r="F406" s="189" t="n"/>
      <c r="G406" s="189" t="n"/>
      <c r="H406" s="189" t="n"/>
      <c r="I406" s="189" t="n"/>
      <c r="J406" s="189" t="n"/>
      <c r="K406" s="189" t="n"/>
      <c r="L406" s="189" t="n"/>
      <c r="M406" s="189" t="n"/>
      <c r="N406" s="189" t="n"/>
      <c r="O406" s="189" t="n"/>
      <c r="P406" s="189" t="n"/>
      <c r="Q406" s="189" t="n"/>
      <c r="R406" s="189" t="n"/>
      <c r="S406" s="189" t="n"/>
      <c r="T406" s="189" t="n"/>
      <c r="U406" s="189" t="n"/>
      <c r="V406" s="189" t="n"/>
      <c r="W406" s="189" t="n"/>
      <c r="X406" s="189" t="n"/>
      <c r="Y406" s="189" t="n"/>
      <c r="Z406" s="189" t="n"/>
      <c r="AA406" s="189" t="n"/>
      <c r="AB406" s="189" t="n"/>
      <c r="AC406" s="189" t="n"/>
      <c r="AD406" s="189" t="n"/>
      <c r="AE406" s="189" t="n"/>
      <c r="AF406" s="189" t="n"/>
      <c r="AG406" s="189" t="n"/>
      <c r="AH406" s="189" t="n"/>
      <c r="AI406" s="51" t="inlineStr">
        <is>
          <t>U7Y</t>
        </is>
      </c>
    </row>
    <row r="407">
      <c r="B407" s="189" t="n"/>
      <c r="C407" s="189" t="n"/>
      <c r="D407" s="189" t="n"/>
      <c r="E407" s="189" t="n"/>
      <c r="F407" s="189" t="n"/>
      <c r="G407" s="189" t="n"/>
      <c r="H407" s="189" t="n"/>
      <c r="I407" s="189" t="n"/>
      <c r="J407" s="189" t="n"/>
      <c r="K407" s="189" t="n"/>
      <c r="L407" s="189" t="n"/>
      <c r="M407" s="189" t="n"/>
      <c r="N407" s="189" t="n"/>
      <c r="O407" s="189" t="n"/>
      <c r="P407" s="189" t="n"/>
      <c r="Q407" s="189" t="n"/>
      <c r="R407" s="189" t="n"/>
      <c r="S407" s="189" t="n"/>
      <c r="T407" s="189" t="n"/>
      <c r="U407" s="189" t="n"/>
      <c r="V407" s="189" t="n"/>
      <c r="W407" s="189" t="n"/>
      <c r="X407" s="189" t="n"/>
      <c r="Y407" s="189" t="n"/>
      <c r="Z407" s="189" t="n"/>
      <c r="AA407" s="189" t="n"/>
      <c r="AB407" s="189" t="n"/>
      <c r="AC407" s="189" t="n"/>
      <c r="AD407" s="189" t="n"/>
      <c r="AE407" s="189" t="n"/>
      <c r="AF407" s="189" t="n"/>
      <c r="AG407" s="189" t="n"/>
      <c r="AH407" s="189" t="n"/>
      <c r="AI407" s="51" t="inlineStr">
        <is>
          <t>U7θ</t>
        </is>
      </c>
    </row>
    <row r="408">
      <c r="B408" s="189" t="n"/>
      <c r="C408" s="189" t="n"/>
      <c r="D408" s="189" t="n"/>
      <c r="E408" s="189" t="n"/>
      <c r="F408" s="189" t="n"/>
      <c r="G408" s="189" t="n"/>
      <c r="H408" s="189" t="n"/>
      <c r="I408" s="189" t="n"/>
      <c r="J408" s="189" t="n"/>
      <c r="K408" s="189" t="n"/>
      <c r="L408" s="189" t="n"/>
      <c r="M408" s="189" t="n"/>
      <c r="N408" s="189" t="n"/>
      <c r="O408" s="189" t="n"/>
      <c r="P408" s="189" t="n"/>
      <c r="Q408" s="189" t="n"/>
      <c r="R408" s="189" t="n"/>
      <c r="S408" s="189" t="n"/>
      <c r="T408" s="189" t="n"/>
      <c r="U408" s="189" t="n"/>
      <c r="V408" s="189" t="n"/>
      <c r="W408" s="189" t="n"/>
      <c r="X408" s="189" t="n"/>
      <c r="Y408" s="189" t="n"/>
      <c r="Z408" s="189" t="n"/>
      <c r="AA408" s="189" t="n"/>
      <c r="AB408" s="189" t="n"/>
      <c r="AC408" s="189" t="n"/>
      <c r="AD408" s="189" t="n"/>
      <c r="AE408" s="189" t="n"/>
      <c r="AF408" s="189" t="n"/>
      <c r="AG408" s="189" t="n"/>
      <c r="AH408" s="189" t="n"/>
      <c r="AI408" s="51" t="inlineStr">
        <is>
          <t>U8X</t>
        </is>
      </c>
    </row>
    <row r="409">
      <c r="B409" s="189" t="n"/>
      <c r="C409" s="189" t="n"/>
      <c r="D409" s="189" t="n"/>
      <c r="E409" s="189" t="n"/>
      <c r="F409" s="189" t="n"/>
      <c r="G409" s="189" t="n"/>
      <c r="H409" s="189" t="n"/>
      <c r="I409" s="189" t="n"/>
      <c r="J409" s="189" t="n"/>
      <c r="K409" s="189" t="n"/>
      <c r="L409" s="189" t="n"/>
      <c r="M409" s="189" t="n"/>
      <c r="N409" s="189" t="n"/>
      <c r="O409" s="189" t="n"/>
      <c r="P409" s="189" t="n"/>
      <c r="Q409" s="189" t="n"/>
      <c r="R409" s="189" t="n"/>
      <c r="S409" s="189" t="n"/>
      <c r="T409" s="189" t="n"/>
      <c r="U409" s="189" t="n"/>
      <c r="V409" s="189" t="n"/>
      <c r="W409" s="189" t="n"/>
      <c r="X409" s="189" t="n"/>
      <c r="Y409" s="189" t="n"/>
      <c r="Z409" s="189" t="n"/>
      <c r="AA409" s="189" t="n"/>
      <c r="AB409" s="189" t="n"/>
      <c r="AC409" s="189" t="n"/>
      <c r="AD409" s="189" t="n"/>
      <c r="AE409" s="189" t="n"/>
      <c r="AF409" s="189" t="n"/>
      <c r="AG409" s="189" t="n"/>
      <c r="AH409" s="189" t="n"/>
      <c r="AI409" s="51" t="inlineStr">
        <is>
          <t>U8Y</t>
        </is>
      </c>
    </row>
    <row r="410">
      <c r="B410" s="189" t="n"/>
      <c r="C410" s="189" t="n"/>
      <c r="D410" s="189" t="n"/>
      <c r="E410" s="189" t="n"/>
      <c r="F410" s="189" t="n"/>
      <c r="G410" s="189" t="n"/>
      <c r="H410" s="189" t="n"/>
      <c r="I410" s="189" t="n"/>
      <c r="J410" s="189" t="n"/>
      <c r="K410" s="189" t="n"/>
      <c r="L410" s="189" t="n"/>
      <c r="M410" s="189" t="n"/>
      <c r="N410" s="189" t="n"/>
      <c r="O410" s="189" t="n"/>
      <c r="P410" s="189" t="n"/>
      <c r="Q410" s="189" t="n"/>
      <c r="R410" s="189" t="n"/>
      <c r="S410" s="189" t="n"/>
      <c r="T410" s="189" t="n"/>
      <c r="U410" s="189" t="n"/>
      <c r="V410" s="189" t="n"/>
      <c r="W410" s="189" t="n"/>
      <c r="X410" s="189" t="n"/>
      <c r="Y410" s="189" t="n"/>
      <c r="Z410" s="189" t="n"/>
      <c r="AA410" s="189" t="n"/>
      <c r="AB410" s="189" t="n"/>
      <c r="AC410" s="189" t="n"/>
      <c r="AD410" s="189" t="n"/>
      <c r="AE410" s="189" t="n"/>
      <c r="AF410" s="189" t="n"/>
      <c r="AG410" s="189" t="n"/>
      <c r="AH410" s="189" t="n"/>
      <c r="AI410" s="51" t="inlineStr">
        <is>
          <t>U8θ</t>
        </is>
      </c>
    </row>
    <row r="411">
      <c r="B411" s="189" t="n"/>
      <c r="C411" s="189" t="n"/>
      <c r="D411" s="189" t="n"/>
      <c r="E411" s="189" t="n"/>
      <c r="F411" s="189" t="n"/>
      <c r="G411" s="189" t="n"/>
      <c r="H411" s="189" t="n"/>
      <c r="I411" s="189" t="n"/>
      <c r="J411" s="189" t="n"/>
      <c r="K411" s="189" t="n"/>
      <c r="L411" s="189" t="n"/>
      <c r="M411" s="189" t="n"/>
      <c r="N411" s="189" t="n"/>
      <c r="O411" s="189" t="n"/>
      <c r="P411" s="189" t="n"/>
      <c r="Q411" s="189" t="n"/>
      <c r="R411" s="189" t="n"/>
      <c r="S411" s="189" t="n"/>
      <c r="T411" s="189" t="n"/>
      <c r="U411" s="189" t="n"/>
      <c r="V411" s="189" t="n"/>
      <c r="W411" s="189" t="n"/>
      <c r="X411" s="189" t="n"/>
      <c r="Y411" s="189" t="n"/>
      <c r="Z411" s="189">
        <f>B379</f>
        <v/>
      </c>
      <c r="AA411" s="189">
        <f>C379</f>
        <v/>
      </c>
      <c r="AB411" s="189">
        <f>D379</f>
        <v/>
      </c>
      <c r="AC411" s="189">
        <f>E379</f>
        <v/>
      </c>
      <c r="AD411" s="189">
        <f>F379</f>
        <v/>
      </c>
      <c r="AE411" s="189">
        <f>G379</f>
        <v/>
      </c>
      <c r="AF411" s="189" t="n"/>
      <c r="AG411" s="189" t="n"/>
      <c r="AH411" s="189" t="n"/>
      <c r="AI411" s="51" t="inlineStr">
        <is>
          <t>U9X</t>
        </is>
      </c>
    </row>
    <row r="412">
      <c r="B412" s="189" t="n"/>
      <c r="C412" s="189" t="n"/>
      <c r="D412" s="189" t="n"/>
      <c r="E412" s="189" t="n"/>
      <c r="F412" s="189" t="n"/>
      <c r="G412" s="189" t="n"/>
      <c r="H412" s="189" t="n"/>
      <c r="I412" s="189" t="n"/>
      <c r="J412" s="189" t="n"/>
      <c r="K412" s="189" t="n"/>
      <c r="L412" s="189" t="n"/>
      <c r="M412" s="189" t="n"/>
      <c r="N412" s="189" t="n"/>
      <c r="O412" s="189" t="n"/>
      <c r="P412" s="189" t="n"/>
      <c r="Q412" s="189" t="n"/>
      <c r="R412" s="189" t="n"/>
      <c r="S412" s="189" t="n"/>
      <c r="T412" s="189" t="n"/>
      <c r="U412" s="189" t="n"/>
      <c r="V412" s="189" t="n"/>
      <c r="W412" s="189" t="n"/>
      <c r="X412" s="189" t="n"/>
      <c r="Y412" s="189" t="n"/>
      <c r="Z412" s="189">
        <f>B380</f>
        <v/>
      </c>
      <c r="AA412" s="189">
        <f>C380</f>
        <v/>
      </c>
      <c r="AB412" s="189">
        <f>D380</f>
        <v/>
      </c>
      <c r="AC412" s="189">
        <f>E380</f>
        <v/>
      </c>
      <c r="AD412" s="189">
        <f>F380</f>
        <v/>
      </c>
      <c r="AE412" s="189">
        <f>G380</f>
        <v/>
      </c>
      <c r="AF412" s="189" t="n"/>
      <c r="AG412" s="189" t="n"/>
      <c r="AH412" s="189" t="n"/>
      <c r="AI412" s="51" t="inlineStr">
        <is>
          <t>U9Y</t>
        </is>
      </c>
    </row>
    <row r="413">
      <c r="B413" s="189" t="n"/>
      <c r="C413" s="189" t="n"/>
      <c r="D413" s="189" t="n"/>
      <c r="E413" s="189" t="n"/>
      <c r="F413" s="189" t="n"/>
      <c r="G413" s="189" t="n"/>
      <c r="H413" s="189" t="n"/>
      <c r="I413" s="189" t="n"/>
      <c r="J413" s="189" t="n"/>
      <c r="K413" s="189" t="n"/>
      <c r="L413" s="189" t="n"/>
      <c r="M413" s="189" t="n"/>
      <c r="N413" s="189" t="n"/>
      <c r="O413" s="189" t="n"/>
      <c r="P413" s="189" t="n"/>
      <c r="Q413" s="189" t="n"/>
      <c r="R413" s="189" t="n"/>
      <c r="S413" s="189" t="n"/>
      <c r="T413" s="189" t="n"/>
      <c r="U413" s="189" t="n"/>
      <c r="V413" s="189" t="n"/>
      <c r="W413" s="189" t="n"/>
      <c r="X413" s="189" t="n"/>
      <c r="Y413" s="189" t="n"/>
      <c r="Z413" s="189">
        <f>B381</f>
        <v/>
      </c>
      <c r="AA413" s="189">
        <f>C381</f>
        <v/>
      </c>
      <c r="AB413" s="189">
        <f>D381</f>
        <v/>
      </c>
      <c r="AC413" s="189">
        <f>E381</f>
        <v/>
      </c>
      <c r="AD413" s="189">
        <f>F381</f>
        <v/>
      </c>
      <c r="AE413" s="189">
        <f>G381</f>
        <v/>
      </c>
      <c r="AF413" s="189" t="n"/>
      <c r="AG413" s="189" t="n"/>
      <c r="AH413" s="189" t="n"/>
      <c r="AI413" s="51" t="inlineStr">
        <is>
          <t>U9θ</t>
        </is>
      </c>
    </row>
    <row r="414">
      <c r="B414" s="189" t="n"/>
      <c r="C414" s="189" t="n"/>
      <c r="D414" s="189" t="n"/>
      <c r="E414" s="189" t="n"/>
      <c r="F414" s="189" t="n"/>
      <c r="G414" s="189" t="n"/>
      <c r="H414" s="189" t="n"/>
      <c r="I414" s="189" t="n"/>
      <c r="J414" s="189" t="n"/>
      <c r="K414" s="189" t="n"/>
      <c r="L414" s="189" t="n"/>
      <c r="M414" s="189" t="n"/>
      <c r="N414" s="189" t="n"/>
      <c r="O414" s="189" t="n"/>
      <c r="P414" s="189" t="n"/>
      <c r="Q414" s="189" t="n"/>
      <c r="R414" s="189" t="n"/>
      <c r="S414" s="189" t="n"/>
      <c r="T414" s="189" t="n"/>
      <c r="U414" s="189" t="n"/>
      <c r="V414" s="189" t="n"/>
      <c r="W414" s="189" t="n"/>
      <c r="X414" s="189" t="n"/>
      <c r="Y414" s="189" t="n"/>
      <c r="Z414" s="189">
        <f>B382</f>
        <v/>
      </c>
      <c r="AA414" s="189">
        <f>C382</f>
        <v/>
      </c>
      <c r="AB414" s="189">
        <f>D382</f>
        <v/>
      </c>
      <c r="AC414" s="189">
        <f>E382</f>
        <v/>
      </c>
      <c r="AD414" s="189">
        <f>F382</f>
        <v/>
      </c>
      <c r="AE414" s="189">
        <f>G382</f>
        <v/>
      </c>
      <c r="AF414" s="189" t="n"/>
      <c r="AG414" s="189" t="n"/>
      <c r="AH414" s="189" t="n"/>
      <c r="AI414" s="51" t="inlineStr">
        <is>
          <t>U10X</t>
        </is>
      </c>
    </row>
    <row r="415">
      <c r="B415" s="189" t="n"/>
      <c r="C415" s="189" t="n"/>
      <c r="D415" s="189" t="n"/>
      <c r="E415" s="189" t="n"/>
      <c r="F415" s="189" t="n"/>
      <c r="G415" s="189" t="n"/>
      <c r="H415" s="189" t="n"/>
      <c r="I415" s="189" t="n"/>
      <c r="J415" s="189" t="n"/>
      <c r="K415" s="189" t="n"/>
      <c r="L415" s="189" t="n"/>
      <c r="M415" s="189" t="n"/>
      <c r="N415" s="189" t="n"/>
      <c r="O415" s="189" t="n"/>
      <c r="P415" s="189" t="n"/>
      <c r="Q415" s="189" t="n"/>
      <c r="R415" s="189" t="n"/>
      <c r="S415" s="189" t="n"/>
      <c r="T415" s="189" t="n"/>
      <c r="U415" s="189" t="n"/>
      <c r="V415" s="189" t="n"/>
      <c r="W415" s="189" t="n"/>
      <c r="X415" s="189" t="n"/>
      <c r="Y415" s="189" t="n"/>
      <c r="Z415" s="189">
        <f>B383</f>
        <v/>
      </c>
      <c r="AA415" s="189">
        <f>C383</f>
        <v/>
      </c>
      <c r="AB415" s="189">
        <f>D383</f>
        <v/>
      </c>
      <c r="AC415" s="189">
        <f>E383</f>
        <v/>
      </c>
      <c r="AD415" s="189">
        <f>F383</f>
        <v/>
      </c>
      <c r="AE415" s="189">
        <f>G383</f>
        <v/>
      </c>
      <c r="AF415" s="189" t="n"/>
      <c r="AG415" s="189" t="n"/>
      <c r="AH415" s="189" t="n"/>
      <c r="AI415" s="51" t="inlineStr">
        <is>
          <t>U10Y</t>
        </is>
      </c>
    </row>
    <row r="416">
      <c r="B416" s="189" t="n"/>
      <c r="C416" s="189" t="n"/>
      <c r="D416" s="189" t="n"/>
      <c r="E416" s="189" t="n"/>
      <c r="F416" s="189" t="n"/>
      <c r="G416" s="189" t="n"/>
      <c r="H416" s="189" t="n"/>
      <c r="I416" s="189" t="n"/>
      <c r="J416" s="189" t="n"/>
      <c r="K416" s="189" t="n"/>
      <c r="L416" s="189" t="n"/>
      <c r="M416" s="189" t="n"/>
      <c r="N416" s="189" t="n"/>
      <c r="O416" s="189" t="n"/>
      <c r="P416" s="189" t="n"/>
      <c r="Q416" s="189" t="n"/>
      <c r="R416" s="189" t="n"/>
      <c r="S416" s="189" t="n"/>
      <c r="T416" s="189" t="n"/>
      <c r="U416" s="189" t="n"/>
      <c r="V416" s="189" t="n"/>
      <c r="W416" s="189" t="n"/>
      <c r="X416" s="189" t="n"/>
      <c r="Y416" s="189" t="n"/>
      <c r="Z416" s="189">
        <f>B384</f>
        <v/>
      </c>
      <c r="AA416" s="189">
        <f>C384</f>
        <v/>
      </c>
      <c r="AB416" s="189">
        <f>D384</f>
        <v/>
      </c>
      <c r="AC416" s="189">
        <f>E384</f>
        <v/>
      </c>
      <c r="AD416" s="189">
        <f>F384</f>
        <v/>
      </c>
      <c r="AE416" s="189">
        <f>G384</f>
        <v/>
      </c>
      <c r="AF416" s="189" t="n"/>
      <c r="AG416" s="189" t="n"/>
      <c r="AH416" s="189" t="n"/>
      <c r="AI416" s="51" t="inlineStr">
        <is>
          <t>U10θ</t>
        </is>
      </c>
    </row>
    <row r="417">
      <c r="B417" s="189" t="n"/>
      <c r="C417" s="189" t="n"/>
      <c r="D417" s="189" t="n"/>
      <c r="E417" s="189" t="n"/>
      <c r="F417" s="189" t="n"/>
      <c r="G417" s="189" t="n"/>
      <c r="H417" s="189" t="n"/>
      <c r="I417" s="189" t="n"/>
      <c r="J417" s="189" t="n"/>
      <c r="K417" s="189" t="n"/>
      <c r="L417" s="189" t="n"/>
      <c r="M417" s="189" t="n"/>
      <c r="N417" s="189" t="n"/>
      <c r="O417" s="189" t="n"/>
      <c r="P417" s="189" t="n"/>
      <c r="Q417" s="189" t="n"/>
      <c r="R417" s="189" t="n"/>
      <c r="S417" s="189" t="n"/>
      <c r="T417" s="189" t="n"/>
      <c r="U417" s="189" t="n"/>
      <c r="V417" s="189" t="n"/>
      <c r="W417" s="189" t="n"/>
      <c r="X417" s="189" t="n"/>
      <c r="Y417" s="189" t="n"/>
      <c r="Z417" s="189" t="n"/>
      <c r="AA417" s="189" t="n"/>
      <c r="AB417" s="189" t="n"/>
      <c r="AC417" s="189" t="n"/>
      <c r="AD417" s="189" t="n"/>
      <c r="AE417" s="189" t="n"/>
      <c r="AF417" s="189" t="n"/>
      <c r="AG417" s="189" t="n"/>
      <c r="AH417" s="189" t="n"/>
      <c r="AI417" s="51" t="inlineStr">
        <is>
          <t>U11X</t>
        </is>
      </c>
    </row>
    <row r="418">
      <c r="B418" s="189" t="n"/>
      <c r="C418" s="189" t="n"/>
      <c r="D418" s="189" t="n"/>
      <c r="E418" s="189" t="n"/>
      <c r="F418" s="189" t="n"/>
      <c r="G418" s="189" t="n"/>
      <c r="H418" s="189" t="n"/>
      <c r="I418" s="189" t="n"/>
      <c r="J418" s="189" t="n"/>
      <c r="K418" s="189" t="n"/>
      <c r="L418" s="189" t="n"/>
      <c r="M418" s="189" t="n"/>
      <c r="N418" s="189" t="n"/>
      <c r="O418" s="189" t="n"/>
      <c r="P418" s="189" t="n"/>
      <c r="Q418" s="189" t="n"/>
      <c r="R418" s="189" t="n"/>
      <c r="S418" s="189" t="n"/>
      <c r="T418" s="189" t="n"/>
      <c r="U418" s="189" t="n"/>
      <c r="V418" s="189" t="n"/>
      <c r="W418" s="189" t="n"/>
      <c r="X418" s="189" t="n"/>
      <c r="Y418" s="189" t="n"/>
      <c r="Z418" s="189" t="n"/>
      <c r="AA418" s="189" t="n"/>
      <c r="AB418" s="189" t="n"/>
      <c r="AC418" s="189" t="n"/>
      <c r="AD418" s="189" t="n"/>
      <c r="AE418" s="189" t="n"/>
      <c r="AF418" s="189" t="n"/>
      <c r="AG418" s="189" t="n"/>
      <c r="AH418" s="189" t="n"/>
      <c r="AI418" s="51" t="inlineStr">
        <is>
          <t>U11Y</t>
        </is>
      </c>
    </row>
    <row r="419">
      <c r="B419" s="189" t="n"/>
      <c r="C419" s="189" t="n"/>
      <c r="D419" s="189" t="n"/>
      <c r="E419" s="189" t="n"/>
      <c r="F419" s="189" t="n"/>
      <c r="G419" s="189" t="n"/>
      <c r="H419" s="189" t="n"/>
      <c r="I419" s="189" t="n"/>
      <c r="J419" s="189" t="n"/>
      <c r="K419" s="189" t="n"/>
      <c r="L419" s="189" t="n"/>
      <c r="M419" s="189" t="n"/>
      <c r="N419" s="189" t="n"/>
      <c r="O419" s="189" t="n"/>
      <c r="P419" s="189" t="n"/>
      <c r="Q419" s="189" t="n"/>
      <c r="R419" s="189" t="n"/>
      <c r="S419" s="189" t="n"/>
      <c r="T419" s="189" t="n"/>
      <c r="U419" s="189" t="n"/>
      <c r="V419" s="189" t="n"/>
      <c r="W419" s="189" t="n"/>
      <c r="X419" s="189" t="n"/>
      <c r="Y419" s="189" t="n"/>
      <c r="Z419" s="189" t="n"/>
      <c r="AA419" s="189" t="n"/>
      <c r="AB419" s="189" t="n"/>
      <c r="AC419" s="189" t="n"/>
      <c r="AD419" s="189" t="n"/>
      <c r="AE419" s="189" t="n"/>
      <c r="AF419" s="189" t="n"/>
      <c r="AG419" s="189" t="n"/>
      <c r="AH419" s="189" t="n"/>
      <c r="AI419" s="51" t="inlineStr">
        <is>
          <t>U11θ</t>
        </is>
      </c>
    </row>
    <row r="421">
      <c r="B421" s="51">
        <f>IF(C31="","", CONCATENATE("U",C31,C$21))</f>
        <v/>
      </c>
      <c r="C421" s="51">
        <f>IF(D31="","", CONCATENATE("U",D31,D$21))</f>
        <v/>
      </c>
      <c r="D421" s="51">
        <f>IF(E31="","", CONCATENATE("U",E31,E$21))</f>
        <v/>
      </c>
      <c r="E421" s="51">
        <f>IF(F31="","", CONCATENATE("U",F31,F$21))</f>
        <v/>
      </c>
      <c r="F421" s="51">
        <f>IF(G31="","", CONCATENATE("U",G31,G$21))</f>
        <v/>
      </c>
      <c r="G421" s="51">
        <f>IF(H31="","", CONCATENATE("U",H31,H$21))</f>
        <v/>
      </c>
    </row>
    <row r="422">
      <c r="B422" s="8">
        <f>IF(I18="", 0, O18*J18*J18+P18*K18*K18)</f>
        <v/>
      </c>
      <c r="C422" s="189">
        <f>IF(I18="", 0, (O18-P18)*(J18*K18))</f>
        <v/>
      </c>
      <c r="D422" s="189">
        <f>IF(I18="", 0, -Q18*K18)</f>
        <v/>
      </c>
      <c r="E422" s="189">
        <f>-B422</f>
        <v/>
      </c>
      <c r="F422" s="189">
        <f>-C422</f>
        <v/>
      </c>
      <c r="G422" s="189">
        <f>D422</f>
        <v/>
      </c>
      <c r="H422" s="51">
        <f>B421</f>
        <v/>
      </c>
    </row>
    <row r="423">
      <c r="B423" s="189">
        <f>C422</f>
        <v/>
      </c>
      <c r="C423" s="8">
        <f>IF(I18="", 0, O18*K18*K18+P18*J18*J18)</f>
        <v/>
      </c>
      <c r="D423" s="189">
        <f>IF(I18="", 0, Q18*J18)</f>
        <v/>
      </c>
      <c r="E423" s="189">
        <f>-B423</f>
        <v/>
      </c>
      <c r="F423" s="189">
        <f>-C423</f>
        <v/>
      </c>
      <c r="G423" s="189">
        <f>D423</f>
        <v/>
      </c>
      <c r="H423" s="51">
        <f>C421</f>
        <v/>
      </c>
    </row>
    <row r="424">
      <c r="A424" s="118" t="inlineStr">
        <is>
          <t>K10 =</t>
        </is>
      </c>
      <c r="B424" s="189">
        <f>D422</f>
        <v/>
      </c>
      <c r="C424" s="189">
        <f>D423</f>
        <v/>
      </c>
      <c r="D424" s="8">
        <f>IF(I18="", 0, R18)</f>
        <v/>
      </c>
      <c r="E424" s="189">
        <f>-B424</f>
        <v/>
      </c>
      <c r="F424" s="189">
        <f>-C424</f>
        <v/>
      </c>
      <c r="G424" s="189">
        <f>IF(I18="", 0, S18)</f>
        <v/>
      </c>
      <c r="H424" s="51">
        <f>D421</f>
        <v/>
      </c>
    </row>
    <row r="425">
      <c r="B425" s="189">
        <f>E422</f>
        <v/>
      </c>
      <c r="C425" s="189">
        <f>E423</f>
        <v/>
      </c>
      <c r="D425" s="189">
        <f>E424</f>
        <v/>
      </c>
      <c r="E425" s="8">
        <f>B422</f>
        <v/>
      </c>
      <c r="F425" s="189">
        <f>C422</f>
        <v/>
      </c>
      <c r="G425" s="189">
        <f>-D422</f>
        <v/>
      </c>
      <c r="H425" s="51">
        <f>E421</f>
        <v/>
      </c>
    </row>
    <row r="426">
      <c r="B426" s="189">
        <f>F422</f>
        <v/>
      </c>
      <c r="C426" s="189">
        <f>F423</f>
        <v/>
      </c>
      <c r="D426" s="189">
        <f>F424</f>
        <v/>
      </c>
      <c r="E426" s="189">
        <f>F425</f>
        <v/>
      </c>
      <c r="F426" s="8">
        <f>C423</f>
        <v/>
      </c>
      <c r="G426" s="189">
        <f>-D423</f>
        <v/>
      </c>
      <c r="H426" s="51">
        <f>F421</f>
        <v/>
      </c>
    </row>
    <row r="427">
      <c r="B427" s="189">
        <f>G422</f>
        <v/>
      </c>
      <c r="C427" s="189">
        <f>G423</f>
        <v/>
      </c>
      <c r="D427" s="189">
        <f>G424</f>
        <v/>
      </c>
      <c r="E427" s="189">
        <f>G425</f>
        <v/>
      </c>
      <c r="F427" s="189">
        <f>G426</f>
        <v/>
      </c>
      <c r="G427" s="8">
        <f>D424</f>
        <v/>
      </c>
      <c r="H427" s="51">
        <f>G421</f>
        <v/>
      </c>
    </row>
    <row r="429">
      <c r="B429" s="51" t="inlineStr">
        <is>
          <t>U1X</t>
        </is>
      </c>
      <c r="C429" s="51" t="inlineStr">
        <is>
          <t>U1Y</t>
        </is>
      </c>
      <c r="D429" s="51" t="inlineStr">
        <is>
          <t>U1θ</t>
        </is>
      </c>
      <c r="E429" s="51" t="inlineStr">
        <is>
          <t>U2X</t>
        </is>
      </c>
      <c r="F429" s="51" t="inlineStr">
        <is>
          <t>U2Y</t>
        </is>
      </c>
      <c r="G429" s="51" t="inlineStr">
        <is>
          <t>U2θ</t>
        </is>
      </c>
      <c r="H429" s="51" t="inlineStr">
        <is>
          <t>U3X</t>
        </is>
      </c>
      <c r="I429" s="51" t="inlineStr">
        <is>
          <t>U3Y</t>
        </is>
      </c>
      <c r="J429" s="51" t="inlineStr">
        <is>
          <t>U3θ</t>
        </is>
      </c>
      <c r="K429" s="51" t="inlineStr">
        <is>
          <t>U4X</t>
        </is>
      </c>
      <c r="L429" s="51" t="inlineStr">
        <is>
          <t>U4Y</t>
        </is>
      </c>
      <c r="M429" s="51" t="inlineStr">
        <is>
          <t>U4θ</t>
        </is>
      </c>
      <c r="N429" s="51" t="inlineStr">
        <is>
          <t>U5X</t>
        </is>
      </c>
      <c r="O429" s="51" t="inlineStr">
        <is>
          <t>U5Y</t>
        </is>
      </c>
      <c r="P429" s="51" t="inlineStr">
        <is>
          <t>U5θ</t>
        </is>
      </c>
      <c r="Q429" s="51" t="inlineStr">
        <is>
          <t>U6X</t>
        </is>
      </c>
      <c r="R429" s="51" t="inlineStr">
        <is>
          <t>U6Y</t>
        </is>
      </c>
      <c r="S429" s="51" t="inlineStr">
        <is>
          <t>U6θ</t>
        </is>
      </c>
      <c r="T429" s="51" t="inlineStr">
        <is>
          <t>U7X</t>
        </is>
      </c>
      <c r="U429" s="51" t="inlineStr">
        <is>
          <t>U7Y</t>
        </is>
      </c>
      <c r="V429" s="51" t="inlineStr">
        <is>
          <t>U7θ</t>
        </is>
      </c>
      <c r="W429" s="51" t="inlineStr">
        <is>
          <t>U8X</t>
        </is>
      </c>
      <c r="X429" s="51" t="inlineStr">
        <is>
          <t>U8Y</t>
        </is>
      </c>
      <c r="Y429" s="51" t="inlineStr">
        <is>
          <t>U8θ</t>
        </is>
      </c>
      <c r="Z429" s="51" t="inlineStr">
        <is>
          <t>U9X</t>
        </is>
      </c>
      <c r="AA429" s="51" t="inlineStr">
        <is>
          <t>U9Y</t>
        </is>
      </c>
      <c r="AB429" s="51" t="inlineStr">
        <is>
          <t>U9θ</t>
        </is>
      </c>
      <c r="AC429" s="51" t="inlineStr">
        <is>
          <t>U10X</t>
        </is>
      </c>
      <c r="AD429" s="51" t="inlineStr">
        <is>
          <t>U10Y</t>
        </is>
      </c>
      <c r="AE429" s="51" t="inlineStr">
        <is>
          <t>U10θ</t>
        </is>
      </c>
      <c r="AF429" s="51" t="inlineStr">
        <is>
          <t>U11X</t>
        </is>
      </c>
      <c r="AG429" s="51" t="inlineStr">
        <is>
          <t>U11Y</t>
        </is>
      </c>
      <c r="AH429" s="51" t="inlineStr">
        <is>
          <t>U11θ</t>
        </is>
      </c>
    </row>
    <row r="430">
      <c r="B430" s="189" t="n"/>
      <c r="C430" s="189" t="n"/>
      <c r="D430" s="189" t="n"/>
      <c r="E430" s="189" t="n"/>
      <c r="F430" s="189" t="n"/>
      <c r="G430" s="189" t="n"/>
      <c r="H430" s="189" t="n"/>
      <c r="I430" s="189" t="n"/>
      <c r="J430" s="189" t="n"/>
      <c r="K430" s="189" t="n"/>
      <c r="L430" s="189" t="n"/>
      <c r="M430" s="189" t="n"/>
      <c r="N430" s="189" t="n"/>
      <c r="O430" s="189" t="n"/>
      <c r="P430" s="189" t="n"/>
      <c r="Q430" s="189" t="n"/>
      <c r="R430" s="189" t="n"/>
      <c r="S430" s="189" t="n"/>
      <c r="T430" s="189" t="n"/>
      <c r="U430" s="189" t="n"/>
      <c r="V430" s="189" t="n"/>
      <c r="W430" s="189" t="n"/>
      <c r="X430" s="189" t="n"/>
      <c r="Y430" s="189" t="n"/>
      <c r="Z430" s="189" t="n"/>
      <c r="AA430" s="189" t="n"/>
      <c r="AB430" s="189" t="n"/>
      <c r="AC430" s="189" t="n"/>
      <c r="AD430" s="189" t="n"/>
      <c r="AE430" s="189" t="n"/>
      <c r="AF430" s="189" t="n"/>
      <c r="AG430" s="189" t="n"/>
      <c r="AH430" s="189" t="n"/>
      <c r="AI430" s="51" t="inlineStr">
        <is>
          <t>U1X</t>
        </is>
      </c>
    </row>
    <row r="431">
      <c r="B431" s="189" t="n"/>
      <c r="C431" s="189" t="n"/>
      <c r="D431" s="189" t="n"/>
      <c r="E431" s="189" t="n"/>
      <c r="F431" s="189" t="n"/>
      <c r="G431" s="189" t="n"/>
      <c r="H431" s="189" t="n"/>
      <c r="I431" s="189" t="n"/>
      <c r="J431" s="189" t="n"/>
      <c r="K431" s="189" t="n"/>
      <c r="L431" s="189" t="n"/>
      <c r="M431" s="189" t="n"/>
      <c r="N431" s="189" t="n"/>
      <c r="O431" s="189" t="n"/>
      <c r="P431" s="189" t="n"/>
      <c r="Q431" s="189" t="n"/>
      <c r="R431" s="189" t="n"/>
      <c r="S431" s="189" t="n"/>
      <c r="T431" s="189" t="n"/>
      <c r="U431" s="189" t="n"/>
      <c r="V431" s="189" t="n"/>
      <c r="W431" s="189" t="n"/>
      <c r="X431" s="189" t="n"/>
      <c r="Y431" s="189" t="n"/>
      <c r="Z431" s="189" t="n"/>
      <c r="AA431" s="189" t="n"/>
      <c r="AB431" s="189" t="n"/>
      <c r="AC431" s="189" t="n"/>
      <c r="AD431" s="189" t="n"/>
      <c r="AE431" s="189" t="n"/>
      <c r="AF431" s="189" t="n"/>
      <c r="AG431" s="189" t="n"/>
      <c r="AH431" s="189" t="n"/>
      <c r="AI431" s="51" t="inlineStr">
        <is>
          <t>U1Y</t>
        </is>
      </c>
    </row>
    <row r="432">
      <c r="B432" s="189" t="n"/>
      <c r="C432" s="189" t="n"/>
      <c r="D432" s="189" t="n"/>
      <c r="E432" s="189" t="n"/>
      <c r="F432" s="189" t="n"/>
      <c r="G432" s="189" t="n"/>
      <c r="H432" s="189" t="n"/>
      <c r="I432" s="189" t="n"/>
      <c r="J432" s="189" t="n"/>
      <c r="K432" s="189" t="n"/>
      <c r="L432" s="189" t="n"/>
      <c r="M432" s="189" t="n"/>
      <c r="N432" s="189" t="n"/>
      <c r="O432" s="189" t="n"/>
      <c r="P432" s="189" t="n"/>
      <c r="Q432" s="189" t="n"/>
      <c r="R432" s="189" t="n"/>
      <c r="S432" s="189" t="n"/>
      <c r="T432" s="189" t="n"/>
      <c r="U432" s="189" t="n"/>
      <c r="V432" s="189" t="n"/>
      <c r="W432" s="189" t="n"/>
      <c r="X432" s="189" t="n"/>
      <c r="Y432" s="189" t="n"/>
      <c r="Z432" s="189" t="n"/>
      <c r="AA432" s="189" t="n"/>
      <c r="AB432" s="189" t="n"/>
      <c r="AC432" s="189" t="n"/>
      <c r="AD432" s="189" t="n"/>
      <c r="AE432" s="189" t="n"/>
      <c r="AF432" s="189" t="n"/>
      <c r="AG432" s="189" t="n"/>
      <c r="AH432" s="189" t="n"/>
      <c r="AI432" s="51" t="inlineStr">
        <is>
          <t>U1θ</t>
        </is>
      </c>
    </row>
    <row r="433">
      <c r="B433" s="189" t="n"/>
      <c r="C433" s="189" t="n"/>
      <c r="D433" s="189" t="n"/>
      <c r="E433" s="189" t="n"/>
      <c r="F433" s="189" t="n"/>
      <c r="G433" s="189" t="n"/>
      <c r="H433" s="189" t="n"/>
      <c r="I433" s="189" t="n"/>
      <c r="J433" s="189" t="n"/>
      <c r="K433" s="189" t="n"/>
      <c r="L433" s="189" t="n"/>
      <c r="M433" s="189" t="n"/>
      <c r="N433" s="189" t="n"/>
      <c r="O433" s="189" t="n"/>
      <c r="P433" s="189" t="n"/>
      <c r="Q433" s="189" t="n"/>
      <c r="R433" s="189" t="n"/>
      <c r="S433" s="189" t="n"/>
      <c r="T433" s="189" t="n"/>
      <c r="U433" s="189" t="n"/>
      <c r="V433" s="189" t="n"/>
      <c r="W433" s="189" t="n"/>
      <c r="X433" s="189" t="n"/>
      <c r="Y433" s="189" t="n"/>
      <c r="Z433" s="189" t="n"/>
      <c r="AA433" s="189" t="n"/>
      <c r="AB433" s="189" t="n"/>
      <c r="AC433" s="189" t="n"/>
      <c r="AD433" s="189" t="n"/>
      <c r="AE433" s="189" t="n"/>
      <c r="AF433" s="189" t="n"/>
      <c r="AG433" s="189" t="n"/>
      <c r="AH433" s="189" t="n"/>
      <c r="AI433" s="51" t="inlineStr">
        <is>
          <t>U2X</t>
        </is>
      </c>
    </row>
    <row r="434">
      <c r="B434" s="189" t="n"/>
      <c r="C434" s="189" t="n"/>
      <c r="D434" s="189" t="n"/>
      <c r="E434" s="189" t="n"/>
      <c r="F434" s="189" t="n"/>
      <c r="G434" s="189" t="n"/>
      <c r="H434" s="189" t="n"/>
      <c r="I434" s="189" t="n"/>
      <c r="J434" s="189" t="n"/>
      <c r="K434" s="189" t="n"/>
      <c r="L434" s="189" t="n"/>
      <c r="M434" s="189" t="n"/>
      <c r="N434" s="189" t="n"/>
      <c r="O434" s="189" t="n"/>
      <c r="P434" s="189" t="n"/>
      <c r="Q434" s="189" t="n"/>
      <c r="R434" s="189" t="n"/>
      <c r="S434" s="189" t="n"/>
      <c r="T434" s="189" t="n"/>
      <c r="U434" s="189" t="n"/>
      <c r="V434" s="189" t="n"/>
      <c r="W434" s="189" t="n"/>
      <c r="X434" s="189" t="n"/>
      <c r="Y434" s="189" t="n"/>
      <c r="Z434" s="189" t="n"/>
      <c r="AA434" s="189" t="n"/>
      <c r="AB434" s="189" t="n"/>
      <c r="AC434" s="189" t="n"/>
      <c r="AD434" s="189" t="n"/>
      <c r="AE434" s="189" t="n"/>
      <c r="AF434" s="189" t="n"/>
      <c r="AG434" s="189" t="n"/>
      <c r="AH434" s="189" t="n"/>
      <c r="AI434" s="51" t="inlineStr">
        <is>
          <t>U2Y</t>
        </is>
      </c>
    </row>
    <row r="435">
      <c r="B435" s="189" t="n"/>
      <c r="C435" s="189" t="n"/>
      <c r="D435" s="189" t="n"/>
      <c r="E435" s="189" t="n"/>
      <c r="F435" s="189" t="n"/>
      <c r="G435" s="189" t="n"/>
      <c r="H435" s="189" t="n"/>
      <c r="I435" s="189" t="n"/>
      <c r="J435" s="189" t="n"/>
      <c r="K435" s="189" t="n"/>
      <c r="L435" s="189" t="n"/>
      <c r="M435" s="189" t="n"/>
      <c r="N435" s="189" t="n"/>
      <c r="O435" s="189" t="n"/>
      <c r="P435" s="189" t="n"/>
      <c r="Q435" s="189" t="n"/>
      <c r="R435" s="189" t="n"/>
      <c r="S435" s="189" t="n"/>
      <c r="T435" s="189" t="n"/>
      <c r="U435" s="189" t="n"/>
      <c r="V435" s="189" t="n"/>
      <c r="W435" s="189" t="n"/>
      <c r="X435" s="189" t="n"/>
      <c r="Y435" s="189" t="n"/>
      <c r="Z435" s="189" t="n"/>
      <c r="AA435" s="189" t="n"/>
      <c r="AB435" s="189" t="n"/>
      <c r="AC435" s="189" t="n"/>
      <c r="AD435" s="189" t="n"/>
      <c r="AE435" s="189" t="n"/>
      <c r="AF435" s="189" t="n"/>
      <c r="AG435" s="189" t="n"/>
      <c r="AH435" s="189" t="n"/>
      <c r="AI435" s="51" t="inlineStr">
        <is>
          <t>U2θ</t>
        </is>
      </c>
    </row>
    <row r="436">
      <c r="B436" s="189" t="n"/>
      <c r="C436" s="189" t="n"/>
      <c r="D436" s="189" t="n"/>
      <c r="E436" s="189" t="n"/>
      <c r="F436" s="189" t="n"/>
      <c r="G436" s="189" t="n"/>
      <c r="H436" s="189" t="n"/>
      <c r="I436" s="189" t="n"/>
      <c r="J436" s="189" t="n"/>
      <c r="K436" s="189" t="n"/>
      <c r="L436" s="189" t="n"/>
      <c r="M436" s="189" t="n"/>
      <c r="N436" s="189" t="n"/>
      <c r="O436" s="189" t="n"/>
      <c r="P436" s="189" t="n"/>
      <c r="Q436" s="189" t="n"/>
      <c r="R436" s="189" t="n"/>
      <c r="S436" s="189" t="n"/>
      <c r="T436" s="189" t="n"/>
      <c r="U436" s="189" t="n"/>
      <c r="V436" s="189" t="n"/>
      <c r="W436" s="189" t="n"/>
      <c r="X436" s="189" t="n"/>
      <c r="Y436" s="189" t="n"/>
      <c r="Z436" s="189" t="n"/>
      <c r="AA436" s="189" t="n"/>
      <c r="AB436" s="189" t="n"/>
      <c r="AC436" s="189" t="n"/>
      <c r="AD436" s="189" t="n"/>
      <c r="AE436" s="189" t="n"/>
      <c r="AF436" s="189" t="n"/>
      <c r="AG436" s="189" t="n"/>
      <c r="AH436" s="189" t="n"/>
      <c r="AI436" s="51" t="inlineStr">
        <is>
          <t>U3X</t>
        </is>
      </c>
    </row>
    <row r="437">
      <c r="B437" s="189" t="n"/>
      <c r="C437" s="189" t="n"/>
      <c r="D437" s="189" t="n"/>
      <c r="E437" s="189" t="n"/>
      <c r="F437" s="189" t="n"/>
      <c r="G437" s="189" t="n"/>
      <c r="H437" s="189" t="n"/>
      <c r="I437" s="189" t="n"/>
      <c r="J437" s="189" t="n"/>
      <c r="K437" s="189" t="n"/>
      <c r="L437" s="189" t="n"/>
      <c r="M437" s="189" t="n"/>
      <c r="N437" s="189" t="n"/>
      <c r="O437" s="189" t="n"/>
      <c r="P437" s="189" t="n"/>
      <c r="Q437" s="189" t="n"/>
      <c r="R437" s="189" t="n"/>
      <c r="S437" s="189" t="n"/>
      <c r="T437" s="189" t="n"/>
      <c r="U437" s="189" t="n"/>
      <c r="V437" s="189" t="n"/>
      <c r="W437" s="189" t="n"/>
      <c r="X437" s="189" t="n"/>
      <c r="Y437" s="189" t="n"/>
      <c r="Z437" s="189" t="n"/>
      <c r="AA437" s="189" t="n"/>
      <c r="AB437" s="189" t="n"/>
      <c r="AC437" s="189" t="n"/>
      <c r="AD437" s="189" t="n"/>
      <c r="AE437" s="189" t="n"/>
      <c r="AF437" s="189" t="n"/>
      <c r="AG437" s="189" t="n"/>
      <c r="AH437" s="189" t="n"/>
      <c r="AI437" s="51" t="inlineStr">
        <is>
          <t>U3Y</t>
        </is>
      </c>
    </row>
    <row r="438">
      <c r="B438" s="189" t="n"/>
      <c r="C438" s="189" t="n"/>
      <c r="D438" s="189" t="n"/>
      <c r="E438" s="189" t="n"/>
      <c r="F438" s="189" t="n"/>
      <c r="G438" s="189" t="n"/>
      <c r="H438" s="189" t="n"/>
      <c r="I438" s="189" t="n"/>
      <c r="J438" s="189" t="n"/>
      <c r="K438" s="189" t="n"/>
      <c r="L438" s="189" t="n"/>
      <c r="M438" s="189" t="n"/>
      <c r="N438" s="189" t="n"/>
      <c r="O438" s="189" t="n"/>
      <c r="P438" s="189" t="n"/>
      <c r="Q438" s="189" t="n"/>
      <c r="R438" s="189" t="n"/>
      <c r="S438" s="189" t="n"/>
      <c r="T438" s="189" t="n"/>
      <c r="U438" s="189" t="n"/>
      <c r="V438" s="189" t="n"/>
      <c r="W438" s="189" t="n"/>
      <c r="X438" s="189" t="n"/>
      <c r="Y438" s="189" t="n"/>
      <c r="Z438" s="189" t="n"/>
      <c r="AA438" s="189" t="n"/>
      <c r="AB438" s="189" t="n"/>
      <c r="AC438" s="189" t="n"/>
      <c r="AD438" s="189" t="n"/>
      <c r="AE438" s="189" t="n"/>
      <c r="AF438" s="189" t="n"/>
      <c r="AG438" s="189" t="n"/>
      <c r="AH438" s="189" t="n"/>
      <c r="AI438" s="51" t="inlineStr">
        <is>
          <t>U3θ</t>
        </is>
      </c>
    </row>
    <row r="439">
      <c r="B439" s="189" t="n"/>
      <c r="C439" s="189" t="n"/>
      <c r="D439" s="189" t="n"/>
      <c r="E439" s="189" t="n"/>
      <c r="F439" s="189" t="n"/>
      <c r="G439" s="189" t="n"/>
      <c r="H439" s="189" t="n"/>
      <c r="I439" s="189" t="n"/>
      <c r="J439" s="189" t="n"/>
      <c r="K439" s="189" t="n"/>
      <c r="L439" s="189" t="n"/>
      <c r="M439" s="189" t="n"/>
      <c r="N439" s="189" t="n"/>
      <c r="O439" s="189" t="n"/>
      <c r="P439" s="189" t="n"/>
      <c r="Q439" s="189" t="n"/>
      <c r="R439" s="189" t="n"/>
      <c r="S439" s="189" t="n"/>
      <c r="T439" s="189" t="n"/>
      <c r="U439" s="189" t="n"/>
      <c r="V439" s="189" t="n"/>
      <c r="W439" s="189" t="n"/>
      <c r="X439" s="189" t="n"/>
      <c r="Y439" s="189" t="n"/>
      <c r="Z439" s="189" t="n"/>
      <c r="AA439" s="189" t="n"/>
      <c r="AB439" s="189" t="n"/>
      <c r="AC439" s="189" t="n"/>
      <c r="AD439" s="189" t="n"/>
      <c r="AE439" s="189" t="n"/>
      <c r="AF439" s="189" t="n"/>
      <c r="AG439" s="189" t="n"/>
      <c r="AH439" s="189" t="n"/>
      <c r="AI439" s="51" t="inlineStr">
        <is>
          <t>U4X</t>
        </is>
      </c>
    </row>
    <row r="440">
      <c r="B440" s="189" t="n"/>
      <c r="C440" s="189" t="n"/>
      <c r="D440" s="189" t="n"/>
      <c r="E440" s="189" t="n"/>
      <c r="F440" s="189" t="n"/>
      <c r="G440" s="189" t="n"/>
      <c r="H440" s="189" t="n"/>
      <c r="I440" s="189" t="n"/>
      <c r="J440" s="189" t="n"/>
      <c r="K440" s="189" t="n"/>
      <c r="L440" s="189" t="n"/>
      <c r="M440" s="189" t="n"/>
      <c r="N440" s="189" t="n"/>
      <c r="O440" s="189" t="n"/>
      <c r="P440" s="189" t="n"/>
      <c r="Q440" s="189" t="n"/>
      <c r="R440" s="189" t="n"/>
      <c r="S440" s="189" t="n"/>
      <c r="T440" s="189" t="n"/>
      <c r="U440" s="189" t="n"/>
      <c r="V440" s="189" t="n"/>
      <c r="W440" s="189" t="n"/>
      <c r="X440" s="189" t="n"/>
      <c r="Y440" s="189" t="n"/>
      <c r="Z440" s="189" t="n"/>
      <c r="AA440" s="189" t="n"/>
      <c r="AB440" s="189" t="n"/>
      <c r="AC440" s="189" t="n"/>
      <c r="AD440" s="189" t="n"/>
      <c r="AE440" s="189" t="n"/>
      <c r="AF440" s="189" t="n"/>
      <c r="AG440" s="189" t="n"/>
      <c r="AH440" s="189" t="n"/>
      <c r="AI440" s="51" t="inlineStr">
        <is>
          <t>U4Y</t>
        </is>
      </c>
    </row>
    <row r="441">
      <c r="B441" s="189" t="n"/>
      <c r="C441" s="189" t="n"/>
      <c r="D441" s="189" t="n"/>
      <c r="E441" s="189" t="n"/>
      <c r="F441" s="189" t="n"/>
      <c r="G441" s="189" t="n"/>
      <c r="H441" s="189" t="n"/>
      <c r="I441" s="189" t="n"/>
      <c r="J441" s="189" t="n"/>
      <c r="K441" s="189" t="n"/>
      <c r="L441" s="189" t="n"/>
      <c r="M441" s="189" t="n"/>
      <c r="N441" s="189" t="n"/>
      <c r="O441" s="189" t="n"/>
      <c r="P441" s="189" t="n"/>
      <c r="Q441" s="189" t="n"/>
      <c r="R441" s="189" t="n"/>
      <c r="S441" s="189" t="n"/>
      <c r="T441" s="189" t="n"/>
      <c r="U441" s="189" t="n"/>
      <c r="V441" s="189" t="n"/>
      <c r="W441" s="189" t="n"/>
      <c r="X441" s="189" t="n"/>
      <c r="Y441" s="189" t="n"/>
      <c r="Z441" s="189" t="n"/>
      <c r="AA441" s="189" t="n"/>
      <c r="AB441" s="189" t="n"/>
      <c r="AC441" s="189" t="n"/>
      <c r="AD441" s="189" t="n"/>
      <c r="AE441" s="189" t="n"/>
      <c r="AF441" s="189" t="n"/>
      <c r="AG441" s="189" t="n"/>
      <c r="AH441" s="189" t="n"/>
      <c r="AI441" s="51" t="inlineStr">
        <is>
          <t>U4θ</t>
        </is>
      </c>
    </row>
    <row r="442">
      <c r="B442" s="189" t="n"/>
      <c r="C442" s="189" t="n"/>
      <c r="D442" s="189" t="n"/>
      <c r="E442" s="189" t="n"/>
      <c r="F442" s="189" t="n"/>
      <c r="G442" s="189" t="n"/>
      <c r="H442" s="189" t="n"/>
      <c r="I442" s="189" t="n"/>
      <c r="J442" s="189" t="n"/>
      <c r="K442" s="189" t="n"/>
      <c r="L442" s="189" t="n"/>
      <c r="M442" s="189" t="n"/>
      <c r="N442" s="189" t="n"/>
      <c r="O442" s="189" t="n"/>
      <c r="P442" s="189" t="n"/>
      <c r="Q442" s="189" t="n"/>
      <c r="R442" s="189" t="n"/>
      <c r="S442" s="189" t="n"/>
      <c r="T442" s="189" t="n"/>
      <c r="U442" s="189" t="n"/>
      <c r="V442" s="189" t="n"/>
      <c r="W442" s="189" t="n"/>
      <c r="X442" s="189" t="n"/>
      <c r="Y442" s="189" t="n"/>
      <c r="Z442" s="189" t="n"/>
      <c r="AA442" s="189" t="n"/>
      <c r="AB442" s="189" t="n"/>
      <c r="AC442" s="189" t="n"/>
      <c r="AD442" s="189" t="n"/>
      <c r="AE442" s="189" t="n"/>
      <c r="AF442" s="189" t="n"/>
      <c r="AG442" s="189" t="n"/>
      <c r="AH442" s="189" t="n"/>
      <c r="AI442" s="51" t="inlineStr">
        <is>
          <t>U5X</t>
        </is>
      </c>
    </row>
    <row r="443">
      <c r="B443" s="189" t="n"/>
      <c r="C443" s="189" t="n"/>
      <c r="D443" s="189" t="n"/>
      <c r="E443" s="189" t="n"/>
      <c r="F443" s="189" t="n"/>
      <c r="G443" s="189" t="n"/>
      <c r="H443" s="189" t="n"/>
      <c r="I443" s="189" t="n"/>
      <c r="J443" s="189" t="n"/>
      <c r="K443" s="189" t="n"/>
      <c r="L443" s="189" t="n"/>
      <c r="M443" s="189" t="n"/>
      <c r="N443" s="189" t="n"/>
      <c r="O443" s="189" t="n"/>
      <c r="P443" s="189" t="n"/>
      <c r="Q443" s="189" t="n"/>
      <c r="R443" s="189" t="n"/>
      <c r="S443" s="189" t="n"/>
      <c r="T443" s="189" t="n"/>
      <c r="U443" s="189" t="n"/>
      <c r="V443" s="189" t="n"/>
      <c r="W443" s="189" t="n"/>
      <c r="X443" s="189" t="n"/>
      <c r="Y443" s="189" t="n"/>
      <c r="Z443" s="189" t="n"/>
      <c r="AA443" s="189" t="n"/>
      <c r="AB443" s="189" t="n"/>
      <c r="AC443" s="189" t="n"/>
      <c r="AD443" s="189" t="n"/>
      <c r="AE443" s="189" t="n"/>
      <c r="AF443" s="189" t="n"/>
      <c r="AG443" s="189" t="n"/>
      <c r="AH443" s="189" t="n"/>
      <c r="AI443" s="51" t="inlineStr">
        <is>
          <t>U5Y</t>
        </is>
      </c>
    </row>
    <row r="444">
      <c r="B444" s="189" t="n"/>
      <c r="C444" s="189" t="n"/>
      <c r="D444" s="189" t="n"/>
      <c r="E444" s="189" t="n"/>
      <c r="F444" s="189" t="n"/>
      <c r="G444" s="189" t="n"/>
      <c r="H444" s="189" t="n"/>
      <c r="I444" s="189" t="n"/>
      <c r="J444" s="189" t="n"/>
      <c r="K444" s="189" t="n"/>
      <c r="L444" s="189" t="n"/>
      <c r="M444" s="189" t="n"/>
      <c r="N444" s="189" t="n"/>
      <c r="O444" s="189" t="n"/>
      <c r="P444" s="189" t="n"/>
      <c r="Q444" s="189" t="n"/>
      <c r="R444" s="189" t="n"/>
      <c r="S444" s="189" t="n"/>
      <c r="T444" s="189" t="n"/>
      <c r="U444" s="189" t="n"/>
      <c r="V444" s="189" t="n"/>
      <c r="W444" s="189" t="n"/>
      <c r="X444" s="189" t="n"/>
      <c r="Y444" s="189" t="n"/>
      <c r="Z444" s="189" t="n"/>
      <c r="AA444" s="189" t="n"/>
      <c r="AB444" s="189" t="n"/>
      <c r="AC444" s="189" t="n"/>
      <c r="AD444" s="189" t="n"/>
      <c r="AE444" s="189" t="n"/>
      <c r="AF444" s="189" t="n"/>
      <c r="AG444" s="189" t="n"/>
      <c r="AH444" s="189" t="n"/>
      <c r="AI444" s="51" t="inlineStr">
        <is>
          <t>U5θ</t>
        </is>
      </c>
    </row>
    <row r="445">
      <c r="A445" s="118" t="inlineStr">
        <is>
          <t>K10 =</t>
        </is>
      </c>
      <c r="B445" s="189" t="n"/>
      <c r="C445" s="189" t="n"/>
      <c r="D445" s="189" t="n"/>
      <c r="E445" s="189" t="n"/>
      <c r="F445" s="189" t="n"/>
      <c r="G445" s="189" t="n"/>
      <c r="H445" s="189" t="n"/>
      <c r="I445" s="189" t="n"/>
      <c r="J445" s="189" t="n"/>
      <c r="K445" s="189" t="n"/>
      <c r="L445" s="189" t="n"/>
      <c r="M445" s="189" t="n"/>
      <c r="N445" s="189" t="n"/>
      <c r="O445" s="189" t="n"/>
      <c r="P445" s="189" t="n"/>
      <c r="Q445" s="189" t="n"/>
      <c r="R445" s="189" t="n"/>
      <c r="S445" s="189" t="n"/>
      <c r="T445" s="189" t="n"/>
      <c r="U445" s="189" t="n"/>
      <c r="V445" s="189" t="n"/>
      <c r="W445" s="189" t="n"/>
      <c r="X445" s="189" t="n"/>
      <c r="Y445" s="189" t="n"/>
      <c r="Z445" s="189" t="n"/>
      <c r="AA445" s="189" t="n"/>
      <c r="AB445" s="189" t="n"/>
      <c r="AC445" s="189" t="n"/>
      <c r="AD445" s="189" t="n"/>
      <c r="AE445" s="189" t="n"/>
      <c r="AF445" s="189" t="n"/>
      <c r="AG445" s="189" t="n"/>
      <c r="AH445" s="189" t="n"/>
      <c r="AI445" s="51" t="inlineStr">
        <is>
          <t>U6X</t>
        </is>
      </c>
    </row>
    <row r="446">
      <c r="B446" s="189" t="n"/>
      <c r="C446" s="189" t="n"/>
      <c r="D446" s="189" t="n"/>
      <c r="E446" s="189" t="n"/>
      <c r="F446" s="189" t="n"/>
      <c r="G446" s="189" t="n"/>
      <c r="H446" s="189" t="n"/>
      <c r="I446" s="189" t="n"/>
      <c r="J446" s="189" t="n"/>
      <c r="K446" s="189" t="n"/>
      <c r="L446" s="189" t="n"/>
      <c r="M446" s="189" t="n"/>
      <c r="N446" s="189" t="n"/>
      <c r="O446" s="189" t="n"/>
      <c r="P446" s="189" t="n"/>
      <c r="Q446" s="189" t="n"/>
      <c r="R446" s="189" t="n"/>
      <c r="S446" s="189" t="n"/>
      <c r="T446" s="189" t="n"/>
      <c r="U446" s="189" t="n"/>
      <c r="V446" s="189" t="n"/>
      <c r="W446" s="189" t="n"/>
      <c r="X446" s="189" t="n"/>
      <c r="Y446" s="189" t="n"/>
      <c r="Z446" s="189" t="n"/>
      <c r="AA446" s="189" t="n"/>
      <c r="AB446" s="189" t="n"/>
      <c r="AC446" s="189" t="n"/>
      <c r="AD446" s="189" t="n"/>
      <c r="AE446" s="189" t="n"/>
      <c r="AF446" s="189" t="n"/>
      <c r="AG446" s="189" t="n"/>
      <c r="AH446" s="189" t="n"/>
      <c r="AI446" s="51" t="inlineStr">
        <is>
          <t>U6Y</t>
        </is>
      </c>
    </row>
    <row r="447">
      <c r="B447" s="189" t="n"/>
      <c r="C447" s="189" t="n"/>
      <c r="D447" s="189" t="n"/>
      <c r="E447" s="189" t="n"/>
      <c r="F447" s="189" t="n"/>
      <c r="G447" s="189" t="n"/>
      <c r="H447" s="189" t="n"/>
      <c r="I447" s="189" t="n"/>
      <c r="J447" s="189" t="n"/>
      <c r="K447" s="189" t="n"/>
      <c r="L447" s="189" t="n"/>
      <c r="M447" s="189" t="n"/>
      <c r="N447" s="189" t="n"/>
      <c r="O447" s="189" t="n"/>
      <c r="P447" s="189" t="n"/>
      <c r="Q447" s="189" t="n"/>
      <c r="R447" s="189" t="n"/>
      <c r="S447" s="189" t="n"/>
      <c r="T447" s="189" t="n"/>
      <c r="U447" s="189" t="n"/>
      <c r="V447" s="189" t="n"/>
      <c r="W447" s="189" t="n"/>
      <c r="X447" s="189" t="n"/>
      <c r="Y447" s="189" t="n"/>
      <c r="Z447" s="189" t="n"/>
      <c r="AA447" s="189" t="n"/>
      <c r="AB447" s="189" t="n"/>
      <c r="AC447" s="189" t="n"/>
      <c r="AD447" s="189" t="n"/>
      <c r="AE447" s="189" t="n"/>
      <c r="AF447" s="189" t="n"/>
      <c r="AG447" s="189" t="n"/>
      <c r="AH447" s="189" t="n"/>
      <c r="AI447" s="51" t="inlineStr">
        <is>
          <t>U6θ</t>
        </is>
      </c>
    </row>
    <row r="448">
      <c r="B448" s="189" t="n"/>
      <c r="C448" s="189" t="n"/>
      <c r="D448" s="189" t="n"/>
      <c r="E448" s="189" t="n"/>
      <c r="F448" s="189" t="n"/>
      <c r="G448" s="189" t="n"/>
      <c r="H448" s="189" t="n"/>
      <c r="I448" s="189" t="n"/>
      <c r="J448" s="189" t="n"/>
      <c r="K448" s="189" t="n"/>
      <c r="L448" s="189" t="n"/>
      <c r="M448" s="189" t="n"/>
      <c r="N448" s="189" t="n"/>
      <c r="O448" s="189" t="n"/>
      <c r="P448" s="189" t="n"/>
      <c r="Q448" s="189" t="n"/>
      <c r="R448" s="189" t="n"/>
      <c r="S448" s="189" t="n"/>
      <c r="T448" s="189" t="n"/>
      <c r="U448" s="189" t="n"/>
      <c r="V448" s="189" t="n"/>
      <c r="W448" s="189" t="n"/>
      <c r="X448" s="189" t="n"/>
      <c r="Y448" s="189" t="n"/>
      <c r="Z448" s="189" t="n"/>
      <c r="AA448" s="189" t="n"/>
      <c r="AB448" s="189" t="n"/>
      <c r="AC448" s="189" t="n"/>
      <c r="AD448" s="189" t="n"/>
      <c r="AE448" s="189" t="n"/>
      <c r="AF448" s="189" t="n"/>
      <c r="AG448" s="189" t="n"/>
      <c r="AH448" s="189" t="n"/>
      <c r="AI448" s="51" t="inlineStr">
        <is>
          <t>U7X</t>
        </is>
      </c>
    </row>
    <row r="449">
      <c r="B449" s="189" t="n"/>
      <c r="C449" s="189" t="n"/>
      <c r="D449" s="189" t="n"/>
      <c r="E449" s="189" t="n"/>
      <c r="F449" s="189" t="n"/>
      <c r="G449" s="189" t="n"/>
      <c r="H449" s="189" t="n"/>
      <c r="I449" s="189" t="n"/>
      <c r="J449" s="189" t="n"/>
      <c r="K449" s="189" t="n"/>
      <c r="L449" s="189" t="n"/>
      <c r="M449" s="189" t="n"/>
      <c r="N449" s="189" t="n"/>
      <c r="O449" s="189" t="n"/>
      <c r="P449" s="189" t="n"/>
      <c r="Q449" s="189" t="n"/>
      <c r="R449" s="189" t="n"/>
      <c r="S449" s="189" t="n"/>
      <c r="T449" s="189" t="n"/>
      <c r="U449" s="189" t="n"/>
      <c r="V449" s="189" t="n"/>
      <c r="W449" s="189" t="n"/>
      <c r="X449" s="189" t="n"/>
      <c r="Y449" s="189" t="n"/>
      <c r="Z449" s="189" t="n"/>
      <c r="AA449" s="189" t="n"/>
      <c r="AB449" s="189" t="n"/>
      <c r="AC449" s="189" t="n"/>
      <c r="AD449" s="189" t="n"/>
      <c r="AE449" s="189" t="n"/>
      <c r="AF449" s="189" t="n"/>
      <c r="AG449" s="189" t="n"/>
      <c r="AH449" s="189" t="n"/>
      <c r="AI449" s="51" t="inlineStr">
        <is>
          <t>U7Y</t>
        </is>
      </c>
    </row>
    <row r="450">
      <c r="B450" s="189" t="n"/>
      <c r="C450" s="189" t="n"/>
      <c r="D450" s="189" t="n"/>
      <c r="E450" s="189" t="n"/>
      <c r="F450" s="189" t="n"/>
      <c r="G450" s="189" t="n"/>
      <c r="H450" s="189" t="n"/>
      <c r="I450" s="189" t="n"/>
      <c r="J450" s="189" t="n"/>
      <c r="K450" s="189" t="n"/>
      <c r="L450" s="189" t="n"/>
      <c r="M450" s="189" t="n"/>
      <c r="N450" s="189" t="n"/>
      <c r="O450" s="189" t="n"/>
      <c r="P450" s="189" t="n"/>
      <c r="Q450" s="189" t="n"/>
      <c r="R450" s="189" t="n"/>
      <c r="S450" s="189" t="n"/>
      <c r="T450" s="189" t="n"/>
      <c r="U450" s="189" t="n"/>
      <c r="V450" s="189" t="n"/>
      <c r="W450" s="189" t="n"/>
      <c r="X450" s="189" t="n"/>
      <c r="Y450" s="189" t="n"/>
      <c r="Z450" s="189" t="n"/>
      <c r="AA450" s="189" t="n"/>
      <c r="AB450" s="189" t="n"/>
      <c r="AC450" s="189" t="n"/>
      <c r="AD450" s="189" t="n"/>
      <c r="AE450" s="189" t="n"/>
      <c r="AF450" s="189" t="n"/>
      <c r="AG450" s="189" t="n"/>
      <c r="AH450" s="189" t="n"/>
      <c r="AI450" s="51" t="inlineStr">
        <is>
          <t>U7θ</t>
        </is>
      </c>
    </row>
    <row r="451">
      <c r="B451" s="189" t="n"/>
      <c r="C451" s="189" t="n"/>
      <c r="D451" s="189" t="n"/>
      <c r="E451" s="189" t="n"/>
      <c r="F451" s="189" t="n"/>
      <c r="G451" s="189" t="n"/>
      <c r="H451" s="189" t="n"/>
      <c r="I451" s="189" t="n"/>
      <c r="J451" s="189" t="n"/>
      <c r="K451" s="189" t="n"/>
      <c r="L451" s="189" t="n"/>
      <c r="M451" s="189" t="n"/>
      <c r="N451" s="189" t="n"/>
      <c r="O451" s="189" t="n"/>
      <c r="P451" s="189" t="n"/>
      <c r="Q451" s="189" t="n"/>
      <c r="R451" s="189" t="n"/>
      <c r="S451" s="189" t="n"/>
      <c r="T451" s="189" t="n"/>
      <c r="U451" s="189" t="n"/>
      <c r="V451" s="189" t="n"/>
      <c r="W451" s="189" t="n"/>
      <c r="X451" s="189" t="n"/>
      <c r="Y451" s="189" t="n"/>
      <c r="Z451" s="189" t="n"/>
      <c r="AA451" s="189" t="n"/>
      <c r="AB451" s="189" t="n"/>
      <c r="AC451" s="189" t="n"/>
      <c r="AD451" s="189" t="n"/>
      <c r="AE451" s="189" t="n"/>
      <c r="AF451" s="189" t="n"/>
      <c r="AG451" s="189" t="n"/>
      <c r="AH451" s="189" t="n"/>
      <c r="AI451" s="51" t="inlineStr">
        <is>
          <t>U8X</t>
        </is>
      </c>
    </row>
    <row r="452">
      <c r="B452" s="189" t="n"/>
      <c r="C452" s="189" t="n"/>
      <c r="D452" s="189" t="n"/>
      <c r="E452" s="189" t="n"/>
      <c r="F452" s="189" t="n"/>
      <c r="G452" s="189" t="n"/>
      <c r="H452" s="189" t="n"/>
      <c r="I452" s="189" t="n"/>
      <c r="J452" s="189" t="n"/>
      <c r="K452" s="189" t="n"/>
      <c r="L452" s="189" t="n"/>
      <c r="M452" s="189" t="n"/>
      <c r="N452" s="189" t="n"/>
      <c r="O452" s="189" t="n"/>
      <c r="P452" s="189" t="n"/>
      <c r="Q452" s="189" t="n"/>
      <c r="R452" s="189" t="n"/>
      <c r="S452" s="189" t="n"/>
      <c r="T452" s="189" t="n"/>
      <c r="U452" s="189" t="n"/>
      <c r="V452" s="189" t="n"/>
      <c r="W452" s="189" t="n"/>
      <c r="X452" s="189" t="n"/>
      <c r="Y452" s="189" t="n"/>
      <c r="Z452" s="189" t="n"/>
      <c r="AA452" s="189" t="n"/>
      <c r="AB452" s="189" t="n"/>
      <c r="AC452" s="189" t="n"/>
      <c r="AD452" s="189" t="n"/>
      <c r="AE452" s="189" t="n"/>
      <c r="AF452" s="189" t="n"/>
      <c r="AG452" s="189" t="n"/>
      <c r="AH452" s="189" t="n"/>
      <c r="AI452" s="51" t="inlineStr">
        <is>
          <t>U8Y</t>
        </is>
      </c>
    </row>
    <row r="453">
      <c r="B453" s="189" t="n"/>
      <c r="C453" s="189" t="n"/>
      <c r="D453" s="189" t="n"/>
      <c r="E453" s="189" t="n"/>
      <c r="F453" s="189" t="n"/>
      <c r="G453" s="189" t="n"/>
      <c r="H453" s="189" t="n"/>
      <c r="I453" s="189" t="n"/>
      <c r="J453" s="189" t="n"/>
      <c r="K453" s="189" t="n"/>
      <c r="L453" s="189" t="n"/>
      <c r="M453" s="189" t="n"/>
      <c r="N453" s="189" t="n"/>
      <c r="O453" s="189" t="n"/>
      <c r="P453" s="189" t="n"/>
      <c r="Q453" s="189" t="n"/>
      <c r="R453" s="189" t="n"/>
      <c r="S453" s="189" t="n"/>
      <c r="T453" s="189" t="n"/>
      <c r="U453" s="189" t="n"/>
      <c r="V453" s="189" t="n"/>
      <c r="W453" s="189" t="n"/>
      <c r="X453" s="189" t="n"/>
      <c r="Y453" s="189" t="n"/>
      <c r="Z453" s="189" t="n"/>
      <c r="AA453" s="189" t="n"/>
      <c r="AB453" s="189" t="n"/>
      <c r="AC453" s="189" t="n"/>
      <c r="AD453" s="189" t="n"/>
      <c r="AE453" s="189" t="n"/>
      <c r="AF453" s="189" t="n"/>
      <c r="AG453" s="189" t="n"/>
      <c r="AH453" s="189" t="n"/>
      <c r="AI453" s="51" t="inlineStr">
        <is>
          <t>U8θ</t>
        </is>
      </c>
    </row>
    <row r="454">
      <c r="B454" s="189" t="n"/>
      <c r="C454" s="189" t="n"/>
      <c r="D454" s="189" t="n"/>
      <c r="E454" s="189" t="n"/>
      <c r="F454" s="189" t="n"/>
      <c r="G454" s="189" t="n"/>
      <c r="H454" s="189" t="n"/>
      <c r="I454" s="189" t="n"/>
      <c r="J454" s="189" t="n"/>
      <c r="K454" s="189" t="n"/>
      <c r="L454" s="189" t="n"/>
      <c r="M454" s="189" t="n"/>
      <c r="N454" s="189" t="n"/>
      <c r="O454" s="189" t="n"/>
      <c r="P454" s="189" t="n"/>
      <c r="Q454" s="189" t="n"/>
      <c r="R454" s="189" t="n"/>
      <c r="S454" s="189" t="n"/>
      <c r="T454" s="189" t="n"/>
      <c r="U454" s="189" t="n"/>
      <c r="V454" s="189" t="n"/>
      <c r="W454" s="189" t="n"/>
      <c r="X454" s="189" t="n"/>
      <c r="Y454" s="189" t="n"/>
      <c r="Z454" s="189" t="n"/>
      <c r="AA454" s="189" t="n"/>
      <c r="AB454" s="189" t="n"/>
      <c r="AC454" s="189" t="n"/>
      <c r="AD454" s="189" t="n"/>
      <c r="AE454" s="189" t="n"/>
      <c r="AF454" s="189" t="n"/>
      <c r="AG454" s="189" t="n"/>
      <c r="AH454" s="189" t="n"/>
      <c r="AI454" s="51" t="inlineStr">
        <is>
          <t>U9X</t>
        </is>
      </c>
    </row>
    <row r="455">
      <c r="B455" s="189" t="n"/>
      <c r="C455" s="189" t="n"/>
      <c r="D455" s="189" t="n"/>
      <c r="E455" s="189" t="n"/>
      <c r="F455" s="189" t="n"/>
      <c r="G455" s="189" t="n"/>
      <c r="H455" s="189" t="n"/>
      <c r="I455" s="189" t="n"/>
      <c r="J455" s="189" t="n"/>
      <c r="K455" s="189" t="n"/>
      <c r="L455" s="189" t="n"/>
      <c r="M455" s="189" t="n"/>
      <c r="N455" s="189" t="n"/>
      <c r="O455" s="189" t="n"/>
      <c r="P455" s="189" t="n"/>
      <c r="Q455" s="189" t="n"/>
      <c r="R455" s="189" t="n"/>
      <c r="S455" s="189" t="n"/>
      <c r="T455" s="189" t="n"/>
      <c r="U455" s="189" t="n"/>
      <c r="V455" s="189" t="n"/>
      <c r="W455" s="189" t="n"/>
      <c r="X455" s="189" t="n"/>
      <c r="Y455" s="189" t="n"/>
      <c r="Z455" s="189" t="n"/>
      <c r="AA455" s="189" t="n"/>
      <c r="AB455" s="189" t="n"/>
      <c r="AC455" s="189" t="n"/>
      <c r="AD455" s="189" t="n"/>
      <c r="AE455" s="189" t="n"/>
      <c r="AF455" s="189" t="n"/>
      <c r="AG455" s="189" t="n"/>
      <c r="AH455" s="189" t="n"/>
      <c r="AI455" s="51" t="inlineStr">
        <is>
          <t>U9Y</t>
        </is>
      </c>
    </row>
    <row r="456">
      <c r="B456" s="189" t="n"/>
      <c r="C456" s="189" t="n"/>
      <c r="D456" s="189" t="n"/>
      <c r="E456" s="189" t="n"/>
      <c r="F456" s="189" t="n"/>
      <c r="G456" s="189" t="n"/>
      <c r="H456" s="189" t="n"/>
      <c r="I456" s="189" t="n"/>
      <c r="J456" s="189" t="n"/>
      <c r="K456" s="189" t="n"/>
      <c r="L456" s="189" t="n"/>
      <c r="M456" s="189" t="n"/>
      <c r="N456" s="189" t="n"/>
      <c r="O456" s="189" t="n"/>
      <c r="P456" s="189" t="n"/>
      <c r="Q456" s="189" t="n"/>
      <c r="R456" s="189" t="n"/>
      <c r="S456" s="189" t="n"/>
      <c r="T456" s="189" t="n"/>
      <c r="U456" s="189" t="n"/>
      <c r="V456" s="189" t="n"/>
      <c r="W456" s="189" t="n"/>
      <c r="X456" s="189" t="n"/>
      <c r="Y456" s="189" t="n"/>
      <c r="Z456" s="189" t="n"/>
      <c r="AA456" s="189" t="n"/>
      <c r="AB456" s="189" t="n"/>
      <c r="AC456" s="189" t="n"/>
      <c r="AD456" s="189" t="n"/>
      <c r="AE456" s="189" t="n"/>
      <c r="AF456" s="189" t="n"/>
      <c r="AG456" s="189" t="n"/>
      <c r="AH456" s="189" t="n"/>
      <c r="AI456" s="51" t="inlineStr">
        <is>
          <t>U9θ</t>
        </is>
      </c>
    </row>
    <row r="457">
      <c r="B457" s="189" t="n"/>
      <c r="C457" s="189" t="n"/>
      <c r="D457" s="189" t="n"/>
      <c r="E457" s="189" t="n"/>
      <c r="F457" s="189" t="n"/>
      <c r="G457" s="189" t="n"/>
      <c r="H457" s="189" t="n"/>
      <c r="I457" s="189" t="n"/>
      <c r="J457" s="189" t="n"/>
      <c r="K457" s="189" t="n"/>
      <c r="L457" s="189" t="n"/>
      <c r="M457" s="189" t="n"/>
      <c r="N457" s="189" t="n"/>
      <c r="O457" s="189" t="n"/>
      <c r="P457" s="189" t="n"/>
      <c r="Q457" s="189" t="n"/>
      <c r="R457" s="189" t="n"/>
      <c r="S457" s="189" t="n"/>
      <c r="T457" s="189" t="n"/>
      <c r="U457" s="189" t="n"/>
      <c r="V457" s="189" t="n"/>
      <c r="W457" s="189" t="n"/>
      <c r="X457" s="189" t="n"/>
      <c r="Y457" s="189" t="n"/>
      <c r="Z457" s="189" t="n"/>
      <c r="AA457" s="189" t="n"/>
      <c r="AB457" s="189" t="n"/>
      <c r="AC457" s="189">
        <f>B422</f>
        <v/>
      </c>
      <c r="AD457" s="189">
        <f>C422</f>
        <v/>
      </c>
      <c r="AE457" s="189">
        <f>D422</f>
        <v/>
      </c>
      <c r="AF457" s="189">
        <f>E422</f>
        <v/>
      </c>
      <c r="AG457" s="189">
        <f>F422</f>
        <v/>
      </c>
      <c r="AH457" s="189">
        <f>G422</f>
        <v/>
      </c>
      <c r="AI457" s="51" t="inlineStr">
        <is>
          <t>U10X</t>
        </is>
      </c>
    </row>
    <row r="458">
      <c r="B458" s="189" t="n"/>
      <c r="C458" s="189" t="n"/>
      <c r="D458" s="189" t="n"/>
      <c r="E458" s="189" t="n"/>
      <c r="F458" s="189" t="n"/>
      <c r="G458" s="189" t="n"/>
      <c r="H458" s="189" t="n"/>
      <c r="I458" s="189" t="n"/>
      <c r="J458" s="189" t="n"/>
      <c r="K458" s="189" t="n"/>
      <c r="L458" s="189" t="n"/>
      <c r="M458" s="189" t="n"/>
      <c r="N458" s="189" t="n"/>
      <c r="O458" s="189" t="n"/>
      <c r="P458" s="189" t="n"/>
      <c r="Q458" s="189" t="n"/>
      <c r="R458" s="189" t="n"/>
      <c r="S458" s="189" t="n"/>
      <c r="T458" s="189" t="n"/>
      <c r="U458" s="189" t="n"/>
      <c r="V458" s="189" t="n"/>
      <c r="W458" s="189" t="n"/>
      <c r="X458" s="189" t="n"/>
      <c r="Y458" s="189" t="n"/>
      <c r="Z458" s="189" t="n"/>
      <c r="AA458" s="189" t="n"/>
      <c r="AB458" s="189" t="n"/>
      <c r="AC458" s="189">
        <f>B423</f>
        <v/>
      </c>
      <c r="AD458" s="189">
        <f>C423</f>
        <v/>
      </c>
      <c r="AE458" s="189">
        <f>D423</f>
        <v/>
      </c>
      <c r="AF458" s="189">
        <f>E423</f>
        <v/>
      </c>
      <c r="AG458" s="189">
        <f>F423</f>
        <v/>
      </c>
      <c r="AH458" s="189">
        <f>G423</f>
        <v/>
      </c>
      <c r="AI458" s="51" t="inlineStr">
        <is>
          <t>U10Y</t>
        </is>
      </c>
    </row>
    <row r="459">
      <c r="B459" s="189" t="n"/>
      <c r="C459" s="189" t="n"/>
      <c r="D459" s="189" t="n"/>
      <c r="E459" s="189" t="n"/>
      <c r="F459" s="189" t="n"/>
      <c r="G459" s="189" t="n"/>
      <c r="H459" s="189" t="n"/>
      <c r="I459" s="189" t="n"/>
      <c r="J459" s="189" t="n"/>
      <c r="K459" s="189" t="n"/>
      <c r="L459" s="189" t="n"/>
      <c r="M459" s="189" t="n"/>
      <c r="N459" s="189" t="n"/>
      <c r="O459" s="189" t="n"/>
      <c r="P459" s="189" t="n"/>
      <c r="Q459" s="189" t="n"/>
      <c r="R459" s="189" t="n"/>
      <c r="S459" s="189" t="n"/>
      <c r="T459" s="189" t="n"/>
      <c r="U459" s="189" t="n"/>
      <c r="V459" s="189" t="n"/>
      <c r="W459" s="189" t="n"/>
      <c r="X459" s="189" t="n"/>
      <c r="Y459" s="189" t="n"/>
      <c r="Z459" s="189" t="n"/>
      <c r="AA459" s="189" t="n"/>
      <c r="AB459" s="189" t="n"/>
      <c r="AC459" s="189">
        <f>B424</f>
        <v/>
      </c>
      <c r="AD459" s="189">
        <f>C424</f>
        <v/>
      </c>
      <c r="AE459" s="189">
        <f>D424</f>
        <v/>
      </c>
      <c r="AF459" s="189">
        <f>E424</f>
        <v/>
      </c>
      <c r="AG459" s="189">
        <f>F424</f>
        <v/>
      </c>
      <c r="AH459" s="189">
        <f>G424</f>
        <v/>
      </c>
      <c r="AI459" s="51" t="inlineStr">
        <is>
          <t>U10θ</t>
        </is>
      </c>
    </row>
    <row r="460">
      <c r="B460" s="189" t="n"/>
      <c r="C460" s="189" t="n"/>
      <c r="D460" s="189" t="n"/>
      <c r="E460" s="189" t="n"/>
      <c r="F460" s="189" t="n"/>
      <c r="G460" s="189" t="n"/>
      <c r="H460" s="189" t="n"/>
      <c r="I460" s="189" t="n"/>
      <c r="J460" s="189" t="n"/>
      <c r="K460" s="189" t="n"/>
      <c r="L460" s="189" t="n"/>
      <c r="M460" s="189" t="n"/>
      <c r="N460" s="189" t="n"/>
      <c r="O460" s="189" t="n"/>
      <c r="P460" s="189" t="n"/>
      <c r="Q460" s="189" t="n"/>
      <c r="R460" s="189" t="n"/>
      <c r="S460" s="189" t="n"/>
      <c r="T460" s="189" t="n"/>
      <c r="U460" s="189" t="n"/>
      <c r="V460" s="189" t="n"/>
      <c r="W460" s="189" t="n"/>
      <c r="X460" s="189" t="n"/>
      <c r="Y460" s="189" t="n"/>
      <c r="Z460" s="189" t="n"/>
      <c r="AA460" s="189" t="n"/>
      <c r="AB460" s="189" t="n"/>
      <c r="AC460" s="189">
        <f>B425</f>
        <v/>
      </c>
      <c r="AD460" s="189">
        <f>C425</f>
        <v/>
      </c>
      <c r="AE460" s="189">
        <f>D425</f>
        <v/>
      </c>
      <c r="AF460" s="189">
        <f>E425</f>
        <v/>
      </c>
      <c r="AG460" s="189">
        <f>F425</f>
        <v/>
      </c>
      <c r="AH460" s="189">
        <f>G425</f>
        <v/>
      </c>
      <c r="AI460" s="51" t="inlineStr">
        <is>
          <t>U11X</t>
        </is>
      </c>
    </row>
    <row r="461">
      <c r="B461" s="189" t="n"/>
      <c r="C461" s="189" t="n"/>
      <c r="D461" s="189" t="n"/>
      <c r="E461" s="189" t="n"/>
      <c r="F461" s="189" t="n"/>
      <c r="G461" s="189" t="n"/>
      <c r="H461" s="189" t="n"/>
      <c r="I461" s="189" t="n"/>
      <c r="J461" s="189" t="n"/>
      <c r="K461" s="189" t="n"/>
      <c r="L461" s="189" t="n"/>
      <c r="M461" s="189" t="n"/>
      <c r="N461" s="189" t="n"/>
      <c r="O461" s="189" t="n"/>
      <c r="P461" s="189" t="n"/>
      <c r="Q461" s="189" t="n"/>
      <c r="R461" s="189" t="n"/>
      <c r="S461" s="189" t="n"/>
      <c r="T461" s="189" t="n"/>
      <c r="U461" s="189" t="n"/>
      <c r="V461" s="189" t="n"/>
      <c r="W461" s="189" t="n"/>
      <c r="X461" s="189" t="n"/>
      <c r="Y461" s="189" t="n"/>
      <c r="Z461" s="189" t="n"/>
      <c r="AA461" s="189" t="n"/>
      <c r="AB461" s="189" t="n"/>
      <c r="AC461" s="189">
        <f>B426</f>
        <v/>
      </c>
      <c r="AD461" s="189">
        <f>C426</f>
        <v/>
      </c>
      <c r="AE461" s="189">
        <f>D426</f>
        <v/>
      </c>
      <c r="AF461" s="189">
        <f>E426</f>
        <v/>
      </c>
      <c r="AG461" s="189">
        <f>F426</f>
        <v/>
      </c>
      <c r="AH461" s="189">
        <f>G426</f>
        <v/>
      </c>
      <c r="AI461" s="51" t="inlineStr">
        <is>
          <t>U11Y</t>
        </is>
      </c>
    </row>
    <row r="462">
      <c r="B462" s="189" t="n"/>
      <c r="C462" s="189" t="n"/>
      <c r="D462" s="189" t="n"/>
      <c r="E462" s="189" t="n"/>
      <c r="F462" s="189" t="n"/>
      <c r="G462" s="189" t="n"/>
      <c r="H462" s="189" t="n"/>
      <c r="I462" s="189" t="n"/>
      <c r="J462" s="189" t="n"/>
      <c r="K462" s="189" t="n"/>
      <c r="L462" s="189" t="n"/>
      <c r="M462" s="189" t="n"/>
      <c r="N462" s="189" t="n"/>
      <c r="O462" s="189" t="n"/>
      <c r="P462" s="189" t="n"/>
      <c r="Q462" s="189" t="n"/>
      <c r="R462" s="189" t="n"/>
      <c r="S462" s="189" t="n"/>
      <c r="T462" s="189" t="n"/>
      <c r="U462" s="189" t="n"/>
      <c r="V462" s="189" t="n"/>
      <c r="W462" s="189" t="n"/>
      <c r="X462" s="189" t="n"/>
      <c r="Y462" s="189" t="n"/>
      <c r="Z462" s="189" t="n"/>
      <c r="AA462" s="189" t="n"/>
      <c r="AB462" s="189" t="n"/>
      <c r="AC462" s="189">
        <f>B427</f>
        <v/>
      </c>
      <c r="AD462" s="189">
        <f>C427</f>
        <v/>
      </c>
      <c r="AE462" s="189">
        <f>D427</f>
        <v/>
      </c>
      <c r="AF462" s="189">
        <f>E427</f>
        <v/>
      </c>
      <c r="AG462" s="189">
        <f>F427</f>
        <v/>
      </c>
      <c r="AH462" s="189">
        <f>G427</f>
        <v/>
      </c>
      <c r="AI462" s="51" t="inlineStr">
        <is>
          <t>U11θ</t>
        </is>
      </c>
    </row>
    <row r="465">
      <c r="B465" s="53" t="inlineStr">
        <is>
          <t>MATRIZ DE RIGIDEZ GLOBAL DE LA VIGA [Kviga] (ENSAMBLE COMPLETO 10 TRAMOS / 11 NODOS / 33 GDL)</t>
        </is>
      </c>
      <c r="C465" s="190" t="n"/>
      <c r="D465" s="190" t="n"/>
      <c r="E465" s="190" t="n"/>
      <c r="F465" s="190" t="n"/>
      <c r="G465" s="190" t="n"/>
      <c r="H465" s="190" t="n"/>
      <c r="I465" s="190" t="n"/>
      <c r="J465" s="190" t="n"/>
      <c r="K465" s="190" t="n"/>
      <c r="L465" s="190" t="n"/>
      <c r="M465" s="190" t="n"/>
      <c r="N465" s="190" t="n"/>
      <c r="O465" s="190" t="n"/>
      <c r="P465" s="190" t="n"/>
      <c r="Q465" s="190" t="n"/>
      <c r="R465" s="190" t="n"/>
      <c r="S465" s="190" t="n"/>
      <c r="T465" s="190" t="n"/>
      <c r="U465" s="190" t="n"/>
      <c r="V465" s="190" t="n"/>
      <c r="W465" s="190" t="n"/>
      <c r="X465" s="190" t="n"/>
      <c r="Y465" s="190" t="n"/>
      <c r="Z465" s="190" t="n"/>
      <c r="AA465" s="190" t="n"/>
      <c r="AB465" s="190" t="n"/>
      <c r="AC465" s="190" t="n"/>
      <c r="AD465" s="190" t="n"/>
      <c r="AE465" s="190" t="n"/>
      <c r="AF465" s="190" t="n"/>
      <c r="AG465" s="190" t="n"/>
      <c r="AH465" s="191" t="n"/>
    </row>
    <row r="466">
      <c r="B466" s="51" t="inlineStr">
        <is>
          <t>U1X</t>
        </is>
      </c>
      <c r="C466" s="51" t="inlineStr">
        <is>
          <t>U1Y</t>
        </is>
      </c>
      <c r="D466" s="51" t="inlineStr">
        <is>
          <t>U1θ</t>
        </is>
      </c>
      <c r="E466" s="51" t="inlineStr">
        <is>
          <t>U2X</t>
        </is>
      </c>
      <c r="F466" s="51" t="inlineStr">
        <is>
          <t>U2Y</t>
        </is>
      </c>
      <c r="G466" s="51" t="inlineStr">
        <is>
          <t>U2θ</t>
        </is>
      </c>
      <c r="H466" s="51" t="inlineStr">
        <is>
          <t>U3X</t>
        </is>
      </c>
      <c r="I466" s="51" t="inlineStr">
        <is>
          <t>U3Y</t>
        </is>
      </c>
      <c r="J466" s="51" t="inlineStr">
        <is>
          <t>U3θ</t>
        </is>
      </c>
      <c r="K466" s="51" t="inlineStr">
        <is>
          <t>U4X</t>
        </is>
      </c>
      <c r="L466" s="51" t="inlineStr">
        <is>
          <t>U4Y</t>
        </is>
      </c>
      <c r="M466" s="51" t="inlineStr">
        <is>
          <t>U4θ</t>
        </is>
      </c>
      <c r="N466" s="51" t="inlineStr">
        <is>
          <t>U5X</t>
        </is>
      </c>
      <c r="O466" s="51" t="inlineStr">
        <is>
          <t>U5Y</t>
        </is>
      </c>
      <c r="P466" s="51" t="inlineStr">
        <is>
          <t>U5θ</t>
        </is>
      </c>
      <c r="Q466" s="51" t="inlineStr">
        <is>
          <t>U6X</t>
        </is>
      </c>
      <c r="R466" s="51" t="inlineStr">
        <is>
          <t>U6Y</t>
        </is>
      </c>
      <c r="S466" s="51" t="inlineStr">
        <is>
          <t>U6θ</t>
        </is>
      </c>
      <c r="T466" s="51" t="inlineStr">
        <is>
          <t>U7X</t>
        </is>
      </c>
      <c r="U466" s="51" t="inlineStr">
        <is>
          <t>U7Y</t>
        </is>
      </c>
      <c r="V466" s="51" t="inlineStr">
        <is>
          <t>U7θ</t>
        </is>
      </c>
      <c r="W466" s="51" t="inlineStr">
        <is>
          <t>U8X</t>
        </is>
      </c>
      <c r="X466" s="51" t="inlineStr">
        <is>
          <t>U8Y</t>
        </is>
      </c>
      <c r="Y466" s="51" t="inlineStr">
        <is>
          <t>U8θ</t>
        </is>
      </c>
      <c r="Z466" s="51" t="inlineStr">
        <is>
          <t>U9X</t>
        </is>
      </c>
      <c r="AA466" s="51" t="inlineStr">
        <is>
          <t>U9Y</t>
        </is>
      </c>
      <c r="AB466" s="51" t="inlineStr">
        <is>
          <t>U9θ</t>
        </is>
      </c>
      <c r="AC466" s="51" t="inlineStr">
        <is>
          <t>U10X</t>
        </is>
      </c>
      <c r="AD466" s="51" t="inlineStr">
        <is>
          <t>U10Y</t>
        </is>
      </c>
      <c r="AE466" s="51" t="inlineStr">
        <is>
          <t>U10θ</t>
        </is>
      </c>
      <c r="AF466" s="51" t="inlineStr">
        <is>
          <t>U11X</t>
        </is>
      </c>
      <c r="AG466" s="51" t="inlineStr">
        <is>
          <t>U11Y</t>
        </is>
      </c>
      <c r="AH466" s="51" t="inlineStr">
        <is>
          <t>U11θ</t>
        </is>
      </c>
    </row>
    <row r="467">
      <c r="B467" s="10">
        <f>B43+B86+B129+B172+B215+B258+B301+B344+B387+B430</f>
        <v/>
      </c>
      <c r="C467" s="189">
        <f>C43+C86+C129+C172+C215+C258+C301+C344+C387+C430</f>
        <v/>
      </c>
      <c r="D467" s="189">
        <f>D43+D86+D129+D172+D215+D258+D301+D344+D387+D430</f>
        <v/>
      </c>
      <c r="E467" s="189">
        <f>E43+E86+E129+E172+E215+E258+E301+E344+E387+E430</f>
        <v/>
      </c>
      <c r="F467" s="189">
        <f>F43+F86+F129+F172+F215+F258+F301+F344+F387+F430</f>
        <v/>
      </c>
      <c r="G467" s="189">
        <f>G43+G86+G129+G172+G215+G258+G301+G344+G387+G430</f>
        <v/>
      </c>
      <c r="H467" s="189">
        <f>H43+H86+H129+H172+H215+H258+H301+H344+H387+H430</f>
        <v/>
      </c>
      <c r="I467" s="189">
        <f>I43+I86+I129+I172+I215+I258+I301+I344+I387+I430</f>
        <v/>
      </c>
      <c r="J467" s="189">
        <f>J43+J86+J129+J172+J215+J258+J301+J344+J387+J430</f>
        <v/>
      </c>
      <c r="K467" s="189">
        <f>K43+K86+K129+K172+K215+K258+K301+K344+K387+K430</f>
        <v/>
      </c>
      <c r="L467" s="189">
        <f>L43+L86+L129+L172+L215+L258+L301+L344+L387+L430</f>
        <v/>
      </c>
      <c r="M467" s="189">
        <f>M43+M86+M129+M172+M215+M258+M301+M344+M387+M430</f>
        <v/>
      </c>
      <c r="N467" s="189">
        <f>N43+N86+N129+N172+N215+N258+N301+N344+N387+N430</f>
        <v/>
      </c>
      <c r="O467" s="189">
        <f>O43+O86+O129+O172+O215+O258+O301+O344+O387+O430</f>
        <v/>
      </c>
      <c r="P467" s="189">
        <f>P43+P86+P129+P172+P215+P258+P301+P344+P387+P430</f>
        <v/>
      </c>
      <c r="Q467" s="189">
        <f>Q43+Q86+Q129+Q172+Q215+Q258+Q301+Q344+Q387+Q430</f>
        <v/>
      </c>
      <c r="R467" s="189">
        <f>R43+R86+R129+R172+R215+R258+R301+R344+R387+R430</f>
        <v/>
      </c>
      <c r="S467" s="189">
        <f>S43+S86+S129+S172+S215+S258+S301+S344+S387+S430</f>
        <v/>
      </c>
      <c r="T467" s="189">
        <f>T43+T86+T129+T172+T215+T258+T301+T344+T387+T430</f>
        <v/>
      </c>
      <c r="U467" s="189">
        <f>U43+U86+U129+U172+U215+U258+U301+U344+U387+U430</f>
        <v/>
      </c>
      <c r="V467" s="189">
        <f>V43+V86+V129+V172+V215+V258+V301+V344+V387+V430</f>
        <v/>
      </c>
      <c r="W467" s="189">
        <f>W43+W86+W129+W172+W215+W258+W301+W344+W387+W430</f>
        <v/>
      </c>
      <c r="X467" s="189">
        <f>X43+X86+X129+X172+X215+X258+X301+X344+X387+X430</f>
        <v/>
      </c>
      <c r="Y467" s="189">
        <f>Y43+Y86+Y129+Y172+Y215+Y258+Y301+Y344+Y387+Y430</f>
        <v/>
      </c>
      <c r="Z467" s="189">
        <f>Z43+Z86+Z129+Z172+Z215+Z258+Z301+Z344+Z387+Z430</f>
        <v/>
      </c>
      <c r="AA467" s="189">
        <f>AA43+AA86+AA129+AA172+AA215+AA258+AA301+AA344+AA387+AA430</f>
        <v/>
      </c>
      <c r="AB467" s="189">
        <f>AB43+AB86+AB129+AB172+AB215+AB258+AB301+AB344+AB387+AB430</f>
        <v/>
      </c>
      <c r="AC467" s="189">
        <f>AC43+AC86+AC129+AC172+AC215+AC258+AC301+AC344+AC387+AC430</f>
        <v/>
      </c>
      <c r="AD467" s="189">
        <f>AD43+AD86+AD129+AD172+AD215+AD258+AD301+AD344+AD387+AD430</f>
        <v/>
      </c>
      <c r="AE467" s="189">
        <f>AE43+AE86+AE129+AE172+AE215+AE258+AE301+AE344+AE387+AE430</f>
        <v/>
      </c>
      <c r="AF467" s="189">
        <f>AF43+AF86+AF129+AF172+AF215+AF258+AF301+AF344+AF387+AF430</f>
        <v/>
      </c>
      <c r="AG467" s="189">
        <f>AG43+AG86+AG129+AG172+AG215+AG258+AG301+AG344+AG387+AG430</f>
        <v/>
      </c>
      <c r="AH467" s="189">
        <f>AH43+AH86+AH129+AH172+AH215+AH258+AH301+AH344+AH387+AH430</f>
        <v/>
      </c>
      <c r="AI467" s="51" t="inlineStr">
        <is>
          <t>U1X</t>
        </is>
      </c>
    </row>
    <row r="468">
      <c r="B468" s="189">
        <f>B44+B87+B130+B173+B216+B259+B302+B345+B388+B431</f>
        <v/>
      </c>
      <c r="C468" s="10">
        <f>C44+C87+C130+C173+C216+C259+C302+C345+C388+C431</f>
        <v/>
      </c>
      <c r="D468" s="189">
        <f>D44+D87+D130+D173+D216+D259+D302+D345+D388+D431</f>
        <v/>
      </c>
      <c r="E468" s="189">
        <f>E44+E87+E130+E173+E216+E259+E302+E345+E388+E431</f>
        <v/>
      </c>
      <c r="F468" s="189">
        <f>F44+F87+F130+F173+F216+F259+F302+F345+F388+F431</f>
        <v/>
      </c>
      <c r="G468" s="189">
        <f>G44+G87+G130+G173+G216+G259+G302+G345+G388+G431</f>
        <v/>
      </c>
      <c r="H468" s="189">
        <f>H44+H87+H130+H173+H216+H259+H302+H345+H388+H431</f>
        <v/>
      </c>
      <c r="I468" s="189">
        <f>I44+I87+I130+I173+I216+I259+I302+I345+I388+I431</f>
        <v/>
      </c>
      <c r="J468" s="189">
        <f>J44+J87+J130+J173+J216+J259+J302+J345+J388+J431</f>
        <v/>
      </c>
      <c r="K468" s="189">
        <f>K44+K87+K130+K173+K216+K259+K302+K345+K388+K431</f>
        <v/>
      </c>
      <c r="L468" s="189">
        <f>L44+L87+L130+L173+L216+L259+L302+L345+L388+L431</f>
        <v/>
      </c>
      <c r="M468" s="189">
        <f>M44+M87+M130+M173+M216+M259+M302+M345+M388+M431</f>
        <v/>
      </c>
      <c r="N468" s="189">
        <f>N44+N87+N130+N173+N216+N259+N302+N345+N388+N431</f>
        <v/>
      </c>
      <c r="O468" s="189">
        <f>O44+O87+O130+O173+O216+O259+O302+O345+O388+O431</f>
        <v/>
      </c>
      <c r="P468" s="189">
        <f>P44+P87+P130+P173+P216+P259+P302+P345+P388+P431</f>
        <v/>
      </c>
      <c r="Q468" s="189">
        <f>Q44+Q87+Q130+Q173+Q216+Q259+Q302+Q345+Q388+Q431</f>
        <v/>
      </c>
      <c r="R468" s="189">
        <f>R44+R87+R130+R173+R216+R259+R302+R345+R388+R431</f>
        <v/>
      </c>
      <c r="S468" s="189">
        <f>S44+S87+S130+S173+S216+S259+S302+S345+S388+S431</f>
        <v/>
      </c>
      <c r="T468" s="189">
        <f>T44+T87+T130+T173+T216+T259+T302+T345+T388+T431</f>
        <v/>
      </c>
      <c r="U468" s="189">
        <f>U44+U87+U130+U173+U216+U259+U302+U345+U388+U431</f>
        <v/>
      </c>
      <c r="V468" s="189">
        <f>V44+V87+V130+V173+V216+V259+V302+V345+V388+V431</f>
        <v/>
      </c>
      <c r="W468" s="189">
        <f>W44+W87+W130+W173+W216+W259+W302+W345+W388+W431</f>
        <v/>
      </c>
      <c r="X468" s="189">
        <f>X44+X87+X130+X173+X216+X259+X302+X345+X388+X431</f>
        <v/>
      </c>
      <c r="Y468" s="189">
        <f>Y44+Y87+Y130+Y173+Y216+Y259+Y302+Y345+Y388+Y431</f>
        <v/>
      </c>
      <c r="Z468" s="189">
        <f>Z44+Z87+Z130+Z173+Z216+Z259+Z302+Z345+Z388+Z431</f>
        <v/>
      </c>
      <c r="AA468" s="189">
        <f>AA44+AA87+AA130+AA173+AA216+AA259+AA302+AA345+AA388+AA431</f>
        <v/>
      </c>
      <c r="AB468" s="189">
        <f>AB44+AB87+AB130+AB173+AB216+AB259+AB302+AB345+AB388+AB431</f>
        <v/>
      </c>
      <c r="AC468" s="189">
        <f>AC44+AC87+AC130+AC173+AC216+AC259+AC302+AC345+AC388+AC431</f>
        <v/>
      </c>
      <c r="AD468" s="189">
        <f>AD44+AD87+AD130+AD173+AD216+AD259+AD302+AD345+AD388+AD431</f>
        <v/>
      </c>
      <c r="AE468" s="189">
        <f>AE44+AE87+AE130+AE173+AE216+AE259+AE302+AE345+AE388+AE431</f>
        <v/>
      </c>
      <c r="AF468" s="189">
        <f>AF44+AF87+AF130+AF173+AF216+AF259+AF302+AF345+AF388+AF431</f>
        <v/>
      </c>
      <c r="AG468" s="189">
        <f>AG44+AG87+AG130+AG173+AG216+AG259+AG302+AG345+AG388+AG431</f>
        <v/>
      </c>
      <c r="AH468" s="189">
        <f>AH44+AH87+AH130+AH173+AH216+AH259+AH302+AH345+AH388+AH431</f>
        <v/>
      </c>
      <c r="AI468" s="51" t="inlineStr">
        <is>
          <t>U1Y</t>
        </is>
      </c>
    </row>
    <row r="469">
      <c r="B469" s="189">
        <f>B45+B88+B131+B174+B217+B260+B303+B346+B389+B432</f>
        <v/>
      </c>
      <c r="C469" s="189">
        <f>C45+C88+C131+C174+C217+C260+C303+C346+C389+C432</f>
        <v/>
      </c>
      <c r="D469" s="10">
        <f>D45+D88+D131+D174+D217+D260+D303+D346+D389+D432</f>
        <v/>
      </c>
      <c r="E469" s="189">
        <f>E45+E88+E131+E174+E217+E260+E303+E346+E389+E432</f>
        <v/>
      </c>
      <c r="F469" s="189">
        <f>F45+F88+F131+F174+F217+F260+F303+F346+F389+F432</f>
        <v/>
      </c>
      <c r="G469" s="189">
        <f>G45+G88+G131+G174+G217+G260+G303+G346+G389+G432</f>
        <v/>
      </c>
      <c r="H469" s="189">
        <f>H45+H88+H131+H174+H217+H260+H303+H346+H389+H432</f>
        <v/>
      </c>
      <c r="I469" s="189">
        <f>I45+I88+I131+I174+I217+I260+I303+I346+I389+I432</f>
        <v/>
      </c>
      <c r="J469" s="189">
        <f>J45+J88+J131+J174+J217+J260+J303+J346+J389+J432</f>
        <v/>
      </c>
      <c r="K469" s="189">
        <f>K45+K88+K131+K174+K217+K260+K303+K346+K389+K432</f>
        <v/>
      </c>
      <c r="L469" s="189">
        <f>L45+L88+L131+L174+L217+L260+L303+L346+L389+L432</f>
        <v/>
      </c>
      <c r="M469" s="189">
        <f>M45+M88+M131+M174+M217+M260+M303+M346+M389+M432</f>
        <v/>
      </c>
      <c r="N469" s="189">
        <f>N45+N88+N131+N174+N217+N260+N303+N346+N389+N432</f>
        <v/>
      </c>
      <c r="O469" s="189">
        <f>O45+O88+O131+O174+O217+O260+O303+O346+O389+O432</f>
        <v/>
      </c>
      <c r="P469" s="189">
        <f>P45+P88+P131+P174+P217+P260+P303+P346+P389+P432</f>
        <v/>
      </c>
      <c r="Q469" s="189">
        <f>Q45+Q88+Q131+Q174+Q217+Q260+Q303+Q346+Q389+Q432</f>
        <v/>
      </c>
      <c r="R469" s="189">
        <f>R45+R88+R131+R174+R217+R260+R303+R346+R389+R432</f>
        <v/>
      </c>
      <c r="S469" s="189">
        <f>S45+S88+S131+S174+S217+S260+S303+S346+S389+S432</f>
        <v/>
      </c>
      <c r="T469" s="189">
        <f>T45+T88+T131+T174+T217+T260+T303+T346+T389+T432</f>
        <v/>
      </c>
      <c r="U469" s="189">
        <f>U45+U88+U131+U174+U217+U260+U303+U346+U389+U432</f>
        <v/>
      </c>
      <c r="V469" s="189">
        <f>V45+V88+V131+V174+V217+V260+V303+V346+V389+V432</f>
        <v/>
      </c>
      <c r="W469" s="189">
        <f>W45+W88+W131+W174+W217+W260+W303+W346+W389+W432</f>
        <v/>
      </c>
      <c r="X469" s="189">
        <f>X45+X88+X131+X174+X217+X260+X303+X346+X389+X432</f>
        <v/>
      </c>
      <c r="Y469" s="189">
        <f>Y45+Y88+Y131+Y174+Y217+Y260+Y303+Y346+Y389+Y432</f>
        <v/>
      </c>
      <c r="Z469" s="189">
        <f>Z45+Z88+Z131+Z174+Z217+Z260+Z303+Z346+Z389+Z432</f>
        <v/>
      </c>
      <c r="AA469" s="189">
        <f>AA45+AA88+AA131+AA174+AA217+AA260+AA303+AA346+AA389+AA432</f>
        <v/>
      </c>
      <c r="AB469" s="189">
        <f>AB45+AB88+AB131+AB174+AB217+AB260+AB303+AB346+AB389+AB432</f>
        <v/>
      </c>
      <c r="AC469" s="189">
        <f>AC45+AC88+AC131+AC174+AC217+AC260+AC303+AC346+AC389+AC432</f>
        <v/>
      </c>
      <c r="AD469" s="189">
        <f>AD45+AD88+AD131+AD174+AD217+AD260+AD303+AD346+AD389+AD432</f>
        <v/>
      </c>
      <c r="AE469" s="189">
        <f>AE45+AE88+AE131+AE174+AE217+AE260+AE303+AE346+AE389+AE432</f>
        <v/>
      </c>
      <c r="AF469" s="189">
        <f>AF45+AF88+AF131+AF174+AF217+AF260+AF303+AF346+AF389+AF432</f>
        <v/>
      </c>
      <c r="AG469" s="189">
        <f>AG45+AG88+AG131+AG174+AG217+AG260+AG303+AG346+AG389+AG432</f>
        <v/>
      </c>
      <c r="AH469" s="189">
        <f>AH45+AH88+AH131+AH174+AH217+AH260+AH303+AH346+AH389+AH432</f>
        <v/>
      </c>
      <c r="AI469" s="51" t="inlineStr">
        <is>
          <t>U1θ</t>
        </is>
      </c>
    </row>
    <row r="470">
      <c r="B470" s="189">
        <f>B46+B89+B132+B175+B218+B261+B304+B347+B390+B433</f>
        <v/>
      </c>
      <c r="C470" s="189">
        <f>C46+C89+C132+C175+C218+C261+C304+C347+C390+C433</f>
        <v/>
      </c>
      <c r="D470" s="189">
        <f>D46+D89+D132+D175+D218+D261+D304+D347+D390+D433</f>
        <v/>
      </c>
      <c r="E470" s="10">
        <f>E46+E89+E132+E175+E218+E261+E304+E347+E390+E433</f>
        <v/>
      </c>
      <c r="F470" s="189">
        <f>F46+F89+F132+F175+F218+F261+F304+F347+F390+F433</f>
        <v/>
      </c>
      <c r="G470" s="189">
        <f>G46+G89+G132+G175+G218+G261+G304+G347+G390+G433</f>
        <v/>
      </c>
      <c r="H470" s="189">
        <f>H46+H89+H132+H175+H218+H261+H304+H347+H390+H433</f>
        <v/>
      </c>
      <c r="I470" s="189">
        <f>I46+I89+I132+I175+I218+I261+I304+I347+I390+I433</f>
        <v/>
      </c>
      <c r="J470" s="189">
        <f>J46+J89+J132+J175+J218+J261+J304+J347+J390+J433</f>
        <v/>
      </c>
      <c r="K470" s="189">
        <f>K46+K89+K132+K175+K218+K261+K304+K347+K390+K433</f>
        <v/>
      </c>
      <c r="L470" s="189">
        <f>L46+L89+L132+L175+L218+L261+L304+L347+L390+L433</f>
        <v/>
      </c>
      <c r="M470" s="189">
        <f>M46+M89+M132+M175+M218+M261+M304+M347+M390+M433</f>
        <v/>
      </c>
      <c r="N470" s="189">
        <f>N46+N89+N132+N175+N218+N261+N304+N347+N390+N433</f>
        <v/>
      </c>
      <c r="O470" s="189">
        <f>O46+O89+O132+O175+O218+O261+O304+O347+O390+O433</f>
        <v/>
      </c>
      <c r="P470" s="189">
        <f>P46+P89+P132+P175+P218+P261+P304+P347+P390+P433</f>
        <v/>
      </c>
      <c r="Q470" s="189">
        <f>Q46+Q89+Q132+Q175+Q218+Q261+Q304+Q347+Q390+Q433</f>
        <v/>
      </c>
      <c r="R470" s="189">
        <f>R46+R89+R132+R175+R218+R261+R304+R347+R390+R433</f>
        <v/>
      </c>
      <c r="S470" s="189">
        <f>S46+S89+S132+S175+S218+S261+S304+S347+S390+S433</f>
        <v/>
      </c>
      <c r="T470" s="189">
        <f>T46+T89+T132+T175+T218+T261+T304+T347+T390+T433</f>
        <v/>
      </c>
      <c r="U470" s="189">
        <f>U46+U89+U132+U175+U218+U261+U304+U347+U390+U433</f>
        <v/>
      </c>
      <c r="V470" s="189">
        <f>V46+V89+V132+V175+V218+V261+V304+V347+V390+V433</f>
        <v/>
      </c>
      <c r="W470" s="189">
        <f>W46+W89+W132+W175+W218+W261+W304+W347+W390+W433</f>
        <v/>
      </c>
      <c r="X470" s="189">
        <f>X46+X89+X132+X175+X218+X261+X304+X347+X390+X433</f>
        <v/>
      </c>
      <c r="Y470" s="189">
        <f>Y46+Y89+Y132+Y175+Y218+Y261+Y304+Y347+Y390+Y433</f>
        <v/>
      </c>
      <c r="Z470" s="189">
        <f>Z46+Z89+Z132+Z175+Z218+Z261+Z304+Z347+Z390+Z433</f>
        <v/>
      </c>
      <c r="AA470" s="189">
        <f>AA46+AA89+AA132+AA175+AA218+AA261+AA304+AA347+AA390+AA433</f>
        <v/>
      </c>
      <c r="AB470" s="189">
        <f>AB46+AB89+AB132+AB175+AB218+AB261+AB304+AB347+AB390+AB433</f>
        <v/>
      </c>
      <c r="AC470" s="189">
        <f>AC46+AC89+AC132+AC175+AC218+AC261+AC304+AC347+AC390+AC433</f>
        <v/>
      </c>
      <c r="AD470" s="189">
        <f>AD46+AD89+AD132+AD175+AD218+AD261+AD304+AD347+AD390+AD433</f>
        <v/>
      </c>
      <c r="AE470" s="189">
        <f>AE46+AE89+AE132+AE175+AE218+AE261+AE304+AE347+AE390+AE433</f>
        <v/>
      </c>
      <c r="AF470" s="189">
        <f>AF46+AF89+AF132+AF175+AF218+AF261+AF304+AF347+AF390+AF433</f>
        <v/>
      </c>
      <c r="AG470" s="189">
        <f>AG46+AG89+AG132+AG175+AG218+AG261+AG304+AG347+AG390+AG433</f>
        <v/>
      </c>
      <c r="AH470" s="189">
        <f>AH46+AH89+AH132+AH175+AH218+AH261+AH304+AH347+AH390+AH433</f>
        <v/>
      </c>
      <c r="AI470" s="51" t="inlineStr">
        <is>
          <t>U2X</t>
        </is>
      </c>
    </row>
    <row r="471">
      <c r="B471" s="189">
        <f>B47+B90+B133+B176+B219+B262+B305+B348+B391+B434</f>
        <v/>
      </c>
      <c r="C471" s="189">
        <f>C47+C90+C133+C176+C219+C262+C305+C348+C391+C434</f>
        <v/>
      </c>
      <c r="D471" s="189">
        <f>D47+D90+D133+D176+D219+D262+D305+D348+D391+D434</f>
        <v/>
      </c>
      <c r="E471" s="189">
        <f>E47+E90+E133+E176+E219+E262+E305+E348+E391+E434</f>
        <v/>
      </c>
      <c r="F471" s="10">
        <f>F47+F90+F133+F176+F219+F262+F305+F348+F391+F434</f>
        <v/>
      </c>
      <c r="G471" s="189">
        <f>G47+G90+G133+G176+G219+G262+G305+G348+G391+G434</f>
        <v/>
      </c>
      <c r="H471" s="189">
        <f>H47+H90+H133+H176+H219+H262+H305+H348+H391+H434</f>
        <v/>
      </c>
      <c r="I471" s="189">
        <f>I47+I90+I133+I176+I219+I262+I305+I348+I391+I434</f>
        <v/>
      </c>
      <c r="J471" s="189">
        <f>J47+J90+J133+J176+J219+J262+J305+J348+J391+J434</f>
        <v/>
      </c>
      <c r="K471" s="189">
        <f>K47+K90+K133+K176+K219+K262+K305+K348+K391+K434</f>
        <v/>
      </c>
      <c r="L471" s="189">
        <f>L47+L90+L133+L176+L219+L262+L305+L348+L391+L434</f>
        <v/>
      </c>
      <c r="M471" s="189">
        <f>M47+M90+M133+M176+M219+M262+M305+M348+M391+M434</f>
        <v/>
      </c>
      <c r="N471" s="189">
        <f>N47+N90+N133+N176+N219+N262+N305+N348+N391+N434</f>
        <v/>
      </c>
      <c r="O471" s="189">
        <f>O47+O90+O133+O176+O219+O262+O305+O348+O391+O434</f>
        <v/>
      </c>
      <c r="P471" s="189">
        <f>P47+P90+P133+P176+P219+P262+P305+P348+P391+P434</f>
        <v/>
      </c>
      <c r="Q471" s="189">
        <f>Q47+Q90+Q133+Q176+Q219+Q262+Q305+Q348+Q391+Q434</f>
        <v/>
      </c>
      <c r="R471" s="189">
        <f>R47+R90+R133+R176+R219+R262+R305+R348+R391+R434</f>
        <v/>
      </c>
      <c r="S471" s="189">
        <f>S47+S90+S133+S176+S219+S262+S305+S348+S391+S434</f>
        <v/>
      </c>
      <c r="T471" s="189">
        <f>T47+T90+T133+T176+T219+T262+T305+T348+T391+T434</f>
        <v/>
      </c>
      <c r="U471" s="189">
        <f>U47+U90+U133+U176+U219+U262+U305+U348+U391+U434</f>
        <v/>
      </c>
      <c r="V471" s="189">
        <f>V47+V90+V133+V176+V219+V262+V305+V348+V391+V434</f>
        <v/>
      </c>
      <c r="W471" s="189">
        <f>W47+W90+W133+W176+W219+W262+W305+W348+W391+W434</f>
        <v/>
      </c>
      <c r="X471" s="189">
        <f>X47+X90+X133+X176+X219+X262+X305+X348+X391+X434</f>
        <v/>
      </c>
      <c r="Y471" s="189">
        <f>Y47+Y90+Y133+Y176+Y219+Y262+Y305+Y348+Y391+Y434</f>
        <v/>
      </c>
      <c r="Z471" s="189">
        <f>Z47+Z90+Z133+Z176+Z219+Z262+Z305+Z348+Z391+Z434</f>
        <v/>
      </c>
      <c r="AA471" s="189">
        <f>AA47+AA90+AA133+AA176+AA219+AA262+AA305+AA348+AA391+AA434</f>
        <v/>
      </c>
      <c r="AB471" s="189">
        <f>AB47+AB90+AB133+AB176+AB219+AB262+AB305+AB348+AB391+AB434</f>
        <v/>
      </c>
      <c r="AC471" s="189">
        <f>AC47+AC90+AC133+AC176+AC219+AC262+AC305+AC348+AC391+AC434</f>
        <v/>
      </c>
      <c r="AD471" s="189">
        <f>AD47+AD90+AD133+AD176+AD219+AD262+AD305+AD348+AD391+AD434</f>
        <v/>
      </c>
      <c r="AE471" s="189">
        <f>AE47+AE90+AE133+AE176+AE219+AE262+AE305+AE348+AE391+AE434</f>
        <v/>
      </c>
      <c r="AF471" s="189">
        <f>AF47+AF90+AF133+AF176+AF219+AF262+AF305+AF348+AF391+AF434</f>
        <v/>
      </c>
      <c r="AG471" s="189">
        <f>AG47+AG90+AG133+AG176+AG219+AG262+AG305+AG348+AG391+AG434</f>
        <v/>
      </c>
      <c r="AH471" s="189">
        <f>AH47+AH90+AH133+AH176+AH219+AH262+AH305+AH348+AH391+AH434</f>
        <v/>
      </c>
      <c r="AI471" s="51" t="inlineStr">
        <is>
          <t>U2Y</t>
        </is>
      </c>
    </row>
    <row r="472">
      <c r="B472" s="189">
        <f>B48+B91+B134+B177+B220+B263+B306+B349+B392+B435</f>
        <v/>
      </c>
      <c r="C472" s="189">
        <f>C48+C91+C134+C177+C220+C263+C306+C349+C392+C435</f>
        <v/>
      </c>
      <c r="D472" s="189">
        <f>D48+D91+D134+D177+D220+D263+D306+D349+D392+D435</f>
        <v/>
      </c>
      <c r="E472" s="189">
        <f>E48+E91+E134+E177+E220+E263+E306+E349+E392+E435</f>
        <v/>
      </c>
      <c r="F472" s="189">
        <f>F48+F91+F134+F177+F220+F263+F306+F349+F392+F435</f>
        <v/>
      </c>
      <c r="G472" s="10">
        <f>G48+G91+G134+G177+G220+G263+G306+G349+G392+G435</f>
        <v/>
      </c>
      <c r="H472" s="189">
        <f>H48+H91+H134+H177+H220+H263+H306+H349+H392+H435</f>
        <v/>
      </c>
      <c r="I472" s="189">
        <f>I48+I91+I134+I177+I220+I263+I306+I349+I392+I435</f>
        <v/>
      </c>
      <c r="J472" s="189">
        <f>J48+J91+J134+J177+J220+J263+J306+J349+J392+J435</f>
        <v/>
      </c>
      <c r="K472" s="189">
        <f>K48+K91+K134+K177+K220+K263+K306+K349+K392+K435</f>
        <v/>
      </c>
      <c r="L472" s="189">
        <f>L48+L91+L134+L177+L220+L263+L306+L349+L392+L435</f>
        <v/>
      </c>
      <c r="M472" s="189">
        <f>M48+M91+M134+M177+M220+M263+M306+M349+M392+M435</f>
        <v/>
      </c>
      <c r="N472" s="189">
        <f>N48+N91+N134+N177+N220+N263+N306+N349+N392+N435</f>
        <v/>
      </c>
      <c r="O472" s="189">
        <f>O48+O91+O134+O177+O220+O263+O306+O349+O392+O435</f>
        <v/>
      </c>
      <c r="P472" s="189">
        <f>P48+P91+P134+P177+P220+P263+P306+P349+P392+P435</f>
        <v/>
      </c>
      <c r="Q472" s="189">
        <f>Q48+Q91+Q134+Q177+Q220+Q263+Q306+Q349+Q392+Q435</f>
        <v/>
      </c>
      <c r="R472" s="189">
        <f>R48+R91+R134+R177+R220+R263+R306+R349+R392+R435</f>
        <v/>
      </c>
      <c r="S472" s="189">
        <f>S48+S91+S134+S177+S220+S263+S306+S349+S392+S435</f>
        <v/>
      </c>
      <c r="T472" s="189">
        <f>T48+T91+T134+T177+T220+T263+T306+T349+T392+T435</f>
        <v/>
      </c>
      <c r="U472" s="189">
        <f>U48+U91+U134+U177+U220+U263+U306+U349+U392+U435</f>
        <v/>
      </c>
      <c r="V472" s="189">
        <f>V48+V91+V134+V177+V220+V263+V306+V349+V392+V435</f>
        <v/>
      </c>
      <c r="W472" s="189">
        <f>W48+W91+W134+W177+W220+W263+W306+W349+W392+W435</f>
        <v/>
      </c>
      <c r="X472" s="189">
        <f>X48+X91+X134+X177+X220+X263+X306+X349+X392+X435</f>
        <v/>
      </c>
      <c r="Y472" s="189">
        <f>Y48+Y91+Y134+Y177+Y220+Y263+Y306+Y349+Y392+Y435</f>
        <v/>
      </c>
      <c r="Z472" s="189">
        <f>Z48+Z91+Z134+Z177+Z220+Z263+Z306+Z349+Z392+Z435</f>
        <v/>
      </c>
      <c r="AA472" s="189">
        <f>AA48+AA91+AA134+AA177+AA220+AA263+AA306+AA349+AA392+AA435</f>
        <v/>
      </c>
      <c r="AB472" s="189">
        <f>AB48+AB91+AB134+AB177+AB220+AB263+AB306+AB349+AB392+AB435</f>
        <v/>
      </c>
      <c r="AC472" s="189">
        <f>AC48+AC91+AC134+AC177+AC220+AC263+AC306+AC349+AC392+AC435</f>
        <v/>
      </c>
      <c r="AD472" s="189">
        <f>AD48+AD91+AD134+AD177+AD220+AD263+AD306+AD349+AD392+AD435</f>
        <v/>
      </c>
      <c r="AE472" s="189">
        <f>AE48+AE91+AE134+AE177+AE220+AE263+AE306+AE349+AE392+AE435</f>
        <v/>
      </c>
      <c r="AF472" s="189">
        <f>AF48+AF91+AF134+AF177+AF220+AF263+AF306+AF349+AF392+AF435</f>
        <v/>
      </c>
      <c r="AG472" s="189">
        <f>AG48+AG91+AG134+AG177+AG220+AG263+AG306+AG349+AG392+AG435</f>
        <v/>
      </c>
      <c r="AH472" s="189">
        <f>AH48+AH91+AH134+AH177+AH220+AH263+AH306+AH349+AH392+AH435</f>
        <v/>
      </c>
      <c r="AI472" s="51" t="inlineStr">
        <is>
          <t>U2θ</t>
        </is>
      </c>
    </row>
    <row r="473">
      <c r="B473" s="189">
        <f>B49+B92+B135+B178+B221+B264+B307+B350+B393+B436</f>
        <v/>
      </c>
      <c r="C473" s="189">
        <f>C49+C92+C135+C178+C221+C264+C307+C350+C393+C436</f>
        <v/>
      </c>
      <c r="D473" s="189">
        <f>D49+D92+D135+D178+D221+D264+D307+D350+D393+D436</f>
        <v/>
      </c>
      <c r="E473" s="189">
        <f>E49+E92+E135+E178+E221+E264+E307+E350+E393+E436</f>
        <v/>
      </c>
      <c r="F473" s="189">
        <f>F49+F92+F135+F178+F221+F264+F307+F350+F393+F436</f>
        <v/>
      </c>
      <c r="G473" s="189">
        <f>G49+G92+G135+G178+G221+G264+G307+G350+G393+G436</f>
        <v/>
      </c>
      <c r="H473" s="10">
        <f>H49+H92+H135+H178+H221+H264+H307+H350+H393+H436</f>
        <v/>
      </c>
      <c r="I473" s="189">
        <f>I49+I92+I135+I178+I221+I264+I307+I350+I393+I436</f>
        <v/>
      </c>
      <c r="J473" s="189">
        <f>J49+J92+J135+J178+J221+J264+J307+J350+J393+J436</f>
        <v/>
      </c>
      <c r="K473" s="189">
        <f>K49+K92+K135+K178+K221+K264+K307+K350+K393+K436</f>
        <v/>
      </c>
      <c r="L473" s="189">
        <f>L49+L92+L135+L178+L221+L264+L307+L350+L393+L436</f>
        <v/>
      </c>
      <c r="M473" s="189">
        <f>M49+M92+M135+M178+M221+M264+M307+M350+M393+M436</f>
        <v/>
      </c>
      <c r="N473" s="189">
        <f>N49+N92+N135+N178+N221+N264+N307+N350+N393+N436</f>
        <v/>
      </c>
      <c r="O473" s="189">
        <f>O49+O92+O135+O178+O221+O264+O307+O350+O393+O436</f>
        <v/>
      </c>
      <c r="P473" s="189">
        <f>P49+P92+P135+P178+P221+P264+P307+P350+P393+P436</f>
        <v/>
      </c>
      <c r="Q473" s="189">
        <f>Q49+Q92+Q135+Q178+Q221+Q264+Q307+Q350+Q393+Q436</f>
        <v/>
      </c>
      <c r="R473" s="189">
        <f>R49+R92+R135+R178+R221+R264+R307+R350+R393+R436</f>
        <v/>
      </c>
      <c r="S473" s="189">
        <f>S49+S92+S135+S178+S221+S264+S307+S350+S393+S436</f>
        <v/>
      </c>
      <c r="T473" s="189">
        <f>T49+T92+T135+T178+T221+T264+T307+T350+T393+T436</f>
        <v/>
      </c>
      <c r="U473" s="189">
        <f>U49+U92+U135+U178+U221+U264+U307+U350+U393+U436</f>
        <v/>
      </c>
      <c r="V473" s="189">
        <f>V49+V92+V135+V178+V221+V264+V307+V350+V393+V436</f>
        <v/>
      </c>
      <c r="W473" s="189">
        <f>W49+W92+W135+W178+W221+W264+W307+W350+W393+W436</f>
        <v/>
      </c>
      <c r="X473" s="189">
        <f>X49+X92+X135+X178+X221+X264+X307+X350+X393+X436</f>
        <v/>
      </c>
      <c r="Y473" s="189">
        <f>Y49+Y92+Y135+Y178+Y221+Y264+Y307+Y350+Y393+Y436</f>
        <v/>
      </c>
      <c r="Z473" s="189">
        <f>Z49+Z92+Z135+Z178+Z221+Z264+Z307+Z350+Z393+Z436</f>
        <v/>
      </c>
      <c r="AA473" s="189">
        <f>AA49+AA92+AA135+AA178+AA221+AA264+AA307+AA350+AA393+AA436</f>
        <v/>
      </c>
      <c r="AB473" s="189">
        <f>AB49+AB92+AB135+AB178+AB221+AB264+AB307+AB350+AB393+AB436</f>
        <v/>
      </c>
      <c r="AC473" s="189">
        <f>AC49+AC92+AC135+AC178+AC221+AC264+AC307+AC350+AC393+AC436</f>
        <v/>
      </c>
      <c r="AD473" s="189">
        <f>AD49+AD92+AD135+AD178+AD221+AD264+AD307+AD350+AD393+AD436</f>
        <v/>
      </c>
      <c r="AE473" s="189">
        <f>AE49+AE92+AE135+AE178+AE221+AE264+AE307+AE350+AE393+AE436</f>
        <v/>
      </c>
      <c r="AF473" s="189">
        <f>AF49+AF92+AF135+AF178+AF221+AF264+AF307+AF350+AF393+AF436</f>
        <v/>
      </c>
      <c r="AG473" s="189">
        <f>AG49+AG92+AG135+AG178+AG221+AG264+AG307+AG350+AG393+AG436</f>
        <v/>
      </c>
      <c r="AH473" s="189">
        <f>AH49+AH92+AH135+AH178+AH221+AH264+AH307+AH350+AH393+AH436</f>
        <v/>
      </c>
      <c r="AI473" s="51" t="inlineStr">
        <is>
          <t>U3X</t>
        </is>
      </c>
    </row>
    <row r="474">
      <c r="B474" s="189">
        <f>B50+B93+B136+B179+B222+B265+B308+B351+B394+B437</f>
        <v/>
      </c>
      <c r="C474" s="189">
        <f>C50+C93+C136+C179+C222+C265+C308+C351+C394+C437</f>
        <v/>
      </c>
      <c r="D474" s="189">
        <f>D50+D93+D136+D179+D222+D265+D308+D351+D394+D437</f>
        <v/>
      </c>
      <c r="E474" s="189">
        <f>E50+E93+E136+E179+E222+E265+E308+E351+E394+E437</f>
        <v/>
      </c>
      <c r="F474" s="189">
        <f>F50+F93+F136+F179+F222+F265+F308+F351+F394+F437</f>
        <v/>
      </c>
      <c r="G474" s="189">
        <f>G50+G93+G136+G179+G222+G265+G308+G351+G394+G437</f>
        <v/>
      </c>
      <c r="H474" s="189">
        <f>H50+H93+H136+H179+H222+H265+H308+H351+H394+H437</f>
        <v/>
      </c>
      <c r="I474" s="10">
        <f>I50+I93+I136+I179+I222+I265+I308+I351+I394+I437</f>
        <v/>
      </c>
      <c r="J474" s="189">
        <f>J50+J93+J136+J179+J222+J265+J308+J351+J394+J437</f>
        <v/>
      </c>
      <c r="K474" s="189">
        <f>K50+K93+K136+K179+K222+K265+K308+K351+K394+K437</f>
        <v/>
      </c>
      <c r="L474" s="189">
        <f>L50+L93+L136+L179+L222+L265+L308+L351+L394+L437</f>
        <v/>
      </c>
      <c r="M474" s="189">
        <f>M50+M93+M136+M179+M222+M265+M308+M351+M394+M437</f>
        <v/>
      </c>
      <c r="N474" s="189">
        <f>N50+N93+N136+N179+N222+N265+N308+N351+N394+N437</f>
        <v/>
      </c>
      <c r="O474" s="189">
        <f>O50+O93+O136+O179+O222+O265+O308+O351+O394+O437</f>
        <v/>
      </c>
      <c r="P474" s="189">
        <f>P50+P93+P136+P179+P222+P265+P308+P351+P394+P437</f>
        <v/>
      </c>
      <c r="Q474" s="189">
        <f>Q50+Q93+Q136+Q179+Q222+Q265+Q308+Q351+Q394+Q437</f>
        <v/>
      </c>
      <c r="R474" s="189">
        <f>R50+R93+R136+R179+R222+R265+R308+R351+R394+R437</f>
        <v/>
      </c>
      <c r="S474" s="189">
        <f>S50+S93+S136+S179+S222+S265+S308+S351+S394+S437</f>
        <v/>
      </c>
      <c r="T474" s="189">
        <f>T50+T93+T136+T179+T222+T265+T308+T351+T394+T437</f>
        <v/>
      </c>
      <c r="U474" s="189">
        <f>U50+U93+U136+U179+U222+U265+U308+U351+U394+U437</f>
        <v/>
      </c>
      <c r="V474" s="189">
        <f>V50+V93+V136+V179+V222+V265+V308+V351+V394+V437</f>
        <v/>
      </c>
      <c r="W474" s="189">
        <f>W50+W93+W136+W179+W222+W265+W308+W351+W394+W437</f>
        <v/>
      </c>
      <c r="X474" s="189">
        <f>X50+X93+X136+X179+X222+X265+X308+X351+X394+X437</f>
        <v/>
      </c>
      <c r="Y474" s="189">
        <f>Y50+Y93+Y136+Y179+Y222+Y265+Y308+Y351+Y394+Y437</f>
        <v/>
      </c>
      <c r="Z474" s="189">
        <f>Z50+Z93+Z136+Z179+Z222+Z265+Z308+Z351+Z394+Z437</f>
        <v/>
      </c>
      <c r="AA474" s="189">
        <f>AA50+AA93+AA136+AA179+AA222+AA265+AA308+AA351+AA394+AA437</f>
        <v/>
      </c>
      <c r="AB474" s="189">
        <f>AB50+AB93+AB136+AB179+AB222+AB265+AB308+AB351+AB394+AB437</f>
        <v/>
      </c>
      <c r="AC474" s="189">
        <f>AC50+AC93+AC136+AC179+AC222+AC265+AC308+AC351+AC394+AC437</f>
        <v/>
      </c>
      <c r="AD474" s="189">
        <f>AD50+AD93+AD136+AD179+AD222+AD265+AD308+AD351+AD394+AD437</f>
        <v/>
      </c>
      <c r="AE474" s="189">
        <f>AE50+AE93+AE136+AE179+AE222+AE265+AE308+AE351+AE394+AE437</f>
        <v/>
      </c>
      <c r="AF474" s="189">
        <f>AF50+AF93+AF136+AF179+AF222+AF265+AF308+AF351+AF394+AF437</f>
        <v/>
      </c>
      <c r="AG474" s="189">
        <f>AG50+AG93+AG136+AG179+AG222+AG265+AG308+AG351+AG394+AG437</f>
        <v/>
      </c>
      <c r="AH474" s="189">
        <f>AH50+AH93+AH136+AH179+AH222+AH265+AH308+AH351+AH394+AH437</f>
        <v/>
      </c>
      <c r="AI474" s="51" t="inlineStr">
        <is>
          <t>U3Y</t>
        </is>
      </c>
    </row>
    <row r="475">
      <c r="B475" s="189">
        <f>B51+B94+B137+B180+B223+B266+B309+B352+B395+B438</f>
        <v/>
      </c>
      <c r="C475" s="189">
        <f>C51+C94+C137+C180+C223+C266+C309+C352+C395+C438</f>
        <v/>
      </c>
      <c r="D475" s="189">
        <f>D51+D94+D137+D180+D223+D266+D309+D352+D395+D438</f>
        <v/>
      </c>
      <c r="E475" s="189">
        <f>E51+E94+E137+E180+E223+E266+E309+E352+E395+E438</f>
        <v/>
      </c>
      <c r="F475" s="189">
        <f>F51+F94+F137+F180+F223+F266+F309+F352+F395+F438</f>
        <v/>
      </c>
      <c r="G475" s="189">
        <f>G51+G94+G137+G180+G223+G266+G309+G352+G395+G438</f>
        <v/>
      </c>
      <c r="H475" s="189">
        <f>H51+H94+H137+H180+H223+H266+H309+H352+H395+H438</f>
        <v/>
      </c>
      <c r="I475" s="189">
        <f>I51+I94+I137+I180+I223+I266+I309+I352+I395+I438</f>
        <v/>
      </c>
      <c r="J475" s="10">
        <f>J51+J94+J137+J180+J223+J266+J309+J352+J395+J438</f>
        <v/>
      </c>
      <c r="K475" s="189">
        <f>K51+K94+K137+K180+K223+K266+K309+K352+K395+K438</f>
        <v/>
      </c>
      <c r="L475" s="189">
        <f>L51+L94+L137+L180+L223+L266+L309+L352+L395+L438</f>
        <v/>
      </c>
      <c r="M475" s="189">
        <f>M51+M94+M137+M180+M223+M266+M309+M352+M395+M438</f>
        <v/>
      </c>
      <c r="N475" s="189">
        <f>N51+N94+N137+N180+N223+N266+N309+N352+N395+N438</f>
        <v/>
      </c>
      <c r="O475" s="189">
        <f>O51+O94+O137+O180+O223+O266+O309+O352+O395+O438</f>
        <v/>
      </c>
      <c r="P475" s="189">
        <f>P51+P94+P137+P180+P223+P266+P309+P352+P395+P438</f>
        <v/>
      </c>
      <c r="Q475" s="189">
        <f>Q51+Q94+Q137+Q180+Q223+Q266+Q309+Q352+Q395+Q438</f>
        <v/>
      </c>
      <c r="R475" s="189">
        <f>R51+R94+R137+R180+R223+R266+R309+R352+R395+R438</f>
        <v/>
      </c>
      <c r="S475" s="189">
        <f>S51+S94+S137+S180+S223+S266+S309+S352+S395+S438</f>
        <v/>
      </c>
      <c r="T475" s="189">
        <f>T51+T94+T137+T180+T223+T266+T309+T352+T395+T438</f>
        <v/>
      </c>
      <c r="U475" s="189">
        <f>U51+U94+U137+U180+U223+U266+U309+U352+U395+U438</f>
        <v/>
      </c>
      <c r="V475" s="189">
        <f>V51+V94+V137+V180+V223+V266+V309+V352+V395+V438</f>
        <v/>
      </c>
      <c r="W475" s="189">
        <f>W51+W94+W137+W180+W223+W266+W309+W352+W395+W438</f>
        <v/>
      </c>
      <c r="X475" s="189">
        <f>X51+X94+X137+X180+X223+X266+X309+X352+X395+X438</f>
        <v/>
      </c>
      <c r="Y475" s="189">
        <f>Y51+Y94+Y137+Y180+Y223+Y266+Y309+Y352+Y395+Y438</f>
        <v/>
      </c>
      <c r="Z475" s="189">
        <f>Z51+Z94+Z137+Z180+Z223+Z266+Z309+Z352+Z395+Z438</f>
        <v/>
      </c>
      <c r="AA475" s="189">
        <f>AA51+AA94+AA137+AA180+AA223+AA266+AA309+AA352+AA395+AA438</f>
        <v/>
      </c>
      <c r="AB475" s="189">
        <f>AB51+AB94+AB137+AB180+AB223+AB266+AB309+AB352+AB395+AB438</f>
        <v/>
      </c>
      <c r="AC475" s="189">
        <f>AC51+AC94+AC137+AC180+AC223+AC266+AC309+AC352+AC395+AC438</f>
        <v/>
      </c>
      <c r="AD475" s="189">
        <f>AD51+AD94+AD137+AD180+AD223+AD266+AD309+AD352+AD395+AD438</f>
        <v/>
      </c>
      <c r="AE475" s="189">
        <f>AE51+AE94+AE137+AE180+AE223+AE266+AE309+AE352+AE395+AE438</f>
        <v/>
      </c>
      <c r="AF475" s="189">
        <f>AF51+AF94+AF137+AF180+AF223+AF266+AF309+AF352+AF395+AF438</f>
        <v/>
      </c>
      <c r="AG475" s="189">
        <f>AG51+AG94+AG137+AG180+AG223+AG266+AG309+AG352+AG395+AG438</f>
        <v/>
      </c>
      <c r="AH475" s="189">
        <f>AH51+AH94+AH137+AH180+AH223+AH266+AH309+AH352+AH395+AH438</f>
        <v/>
      </c>
      <c r="AI475" s="51" t="inlineStr">
        <is>
          <t>U3θ</t>
        </is>
      </c>
    </row>
    <row r="476">
      <c r="B476" s="189">
        <f>B52+B95+B138+B181+B224+B267+B310+B353+B396+B439</f>
        <v/>
      </c>
      <c r="C476" s="189">
        <f>C52+C95+C138+C181+C224+C267+C310+C353+C396+C439</f>
        <v/>
      </c>
      <c r="D476" s="189">
        <f>D52+D95+D138+D181+D224+D267+D310+D353+D396+D439</f>
        <v/>
      </c>
      <c r="E476" s="189">
        <f>E52+E95+E138+E181+E224+E267+E310+E353+E396+E439</f>
        <v/>
      </c>
      <c r="F476" s="189">
        <f>F52+F95+F138+F181+F224+F267+F310+F353+F396+F439</f>
        <v/>
      </c>
      <c r="G476" s="189">
        <f>G52+G95+G138+G181+G224+G267+G310+G353+G396+G439</f>
        <v/>
      </c>
      <c r="H476" s="189">
        <f>H52+H95+H138+H181+H224+H267+H310+H353+H396+H439</f>
        <v/>
      </c>
      <c r="I476" s="189">
        <f>I52+I95+I138+I181+I224+I267+I310+I353+I396+I439</f>
        <v/>
      </c>
      <c r="J476" s="189">
        <f>J52+J95+J138+J181+J224+J267+J310+J353+J396+J439</f>
        <v/>
      </c>
      <c r="K476" s="10">
        <f>K52+K95+K138+K181+K224+K267+K310+K353+K396+K439</f>
        <v/>
      </c>
      <c r="L476" s="189">
        <f>L52+L95+L138+L181+L224+L267+L310+L353+L396+L439</f>
        <v/>
      </c>
      <c r="M476" s="189">
        <f>M52+M95+M138+M181+M224+M267+M310+M353+M396+M439</f>
        <v/>
      </c>
      <c r="N476" s="189">
        <f>N52+N95+N138+N181+N224+N267+N310+N353+N396+N439</f>
        <v/>
      </c>
      <c r="O476" s="189">
        <f>O52+O95+O138+O181+O224+O267+O310+O353+O396+O439</f>
        <v/>
      </c>
      <c r="P476" s="189">
        <f>P52+P95+P138+P181+P224+P267+P310+P353+P396+P439</f>
        <v/>
      </c>
      <c r="Q476" s="189">
        <f>Q52+Q95+Q138+Q181+Q224+Q267+Q310+Q353+Q396+Q439</f>
        <v/>
      </c>
      <c r="R476" s="189">
        <f>R52+R95+R138+R181+R224+R267+R310+R353+R396+R439</f>
        <v/>
      </c>
      <c r="S476" s="189">
        <f>S52+S95+S138+S181+S224+S267+S310+S353+S396+S439</f>
        <v/>
      </c>
      <c r="T476" s="189">
        <f>T52+T95+T138+T181+T224+T267+T310+T353+T396+T439</f>
        <v/>
      </c>
      <c r="U476" s="189">
        <f>U52+U95+U138+U181+U224+U267+U310+U353+U396+U439</f>
        <v/>
      </c>
      <c r="V476" s="189">
        <f>V52+V95+V138+V181+V224+V267+V310+V353+V396+V439</f>
        <v/>
      </c>
      <c r="W476" s="189">
        <f>W52+W95+W138+W181+W224+W267+W310+W353+W396+W439</f>
        <v/>
      </c>
      <c r="X476" s="189">
        <f>X52+X95+X138+X181+X224+X267+X310+X353+X396+X439</f>
        <v/>
      </c>
      <c r="Y476" s="189">
        <f>Y52+Y95+Y138+Y181+Y224+Y267+Y310+Y353+Y396+Y439</f>
        <v/>
      </c>
      <c r="Z476" s="189">
        <f>Z52+Z95+Z138+Z181+Z224+Z267+Z310+Z353+Z396+Z439</f>
        <v/>
      </c>
      <c r="AA476" s="189">
        <f>AA52+AA95+AA138+AA181+AA224+AA267+AA310+AA353+AA396+AA439</f>
        <v/>
      </c>
      <c r="AB476" s="189">
        <f>AB52+AB95+AB138+AB181+AB224+AB267+AB310+AB353+AB396+AB439</f>
        <v/>
      </c>
      <c r="AC476" s="189">
        <f>AC52+AC95+AC138+AC181+AC224+AC267+AC310+AC353+AC396+AC439</f>
        <v/>
      </c>
      <c r="AD476" s="189">
        <f>AD52+AD95+AD138+AD181+AD224+AD267+AD310+AD353+AD396+AD439</f>
        <v/>
      </c>
      <c r="AE476" s="189">
        <f>AE52+AE95+AE138+AE181+AE224+AE267+AE310+AE353+AE396+AE439</f>
        <v/>
      </c>
      <c r="AF476" s="189">
        <f>AF52+AF95+AF138+AF181+AF224+AF267+AF310+AF353+AF396+AF439</f>
        <v/>
      </c>
      <c r="AG476" s="189">
        <f>AG52+AG95+AG138+AG181+AG224+AG267+AG310+AG353+AG396+AG439</f>
        <v/>
      </c>
      <c r="AH476" s="189">
        <f>AH52+AH95+AH138+AH181+AH224+AH267+AH310+AH353+AH396+AH439</f>
        <v/>
      </c>
      <c r="AI476" s="51" t="inlineStr">
        <is>
          <t>U4X</t>
        </is>
      </c>
    </row>
    <row r="477">
      <c r="B477" s="189">
        <f>B53+B96+B139+B182+B225+B268+B311+B354+B397+B440</f>
        <v/>
      </c>
      <c r="C477" s="189">
        <f>C53+C96+C139+C182+C225+C268+C311+C354+C397+C440</f>
        <v/>
      </c>
      <c r="D477" s="189">
        <f>D53+D96+D139+D182+D225+D268+D311+D354+D397+D440</f>
        <v/>
      </c>
      <c r="E477" s="189">
        <f>E53+E96+E139+E182+E225+E268+E311+E354+E397+E440</f>
        <v/>
      </c>
      <c r="F477" s="189">
        <f>F53+F96+F139+F182+F225+F268+F311+F354+F397+F440</f>
        <v/>
      </c>
      <c r="G477" s="189">
        <f>G53+G96+G139+G182+G225+G268+G311+G354+G397+G440</f>
        <v/>
      </c>
      <c r="H477" s="189">
        <f>H53+H96+H139+H182+H225+H268+H311+H354+H397+H440</f>
        <v/>
      </c>
      <c r="I477" s="189">
        <f>I53+I96+I139+I182+I225+I268+I311+I354+I397+I440</f>
        <v/>
      </c>
      <c r="J477" s="189">
        <f>J53+J96+J139+J182+J225+J268+J311+J354+J397+J440</f>
        <v/>
      </c>
      <c r="K477" s="189">
        <f>K53+K96+K139+K182+K225+K268+K311+K354+K397+K440</f>
        <v/>
      </c>
      <c r="L477" s="10">
        <f>L53+L96+L139+L182+L225+L268+L311+L354+L397+L440</f>
        <v/>
      </c>
      <c r="M477" s="189">
        <f>M53+M96+M139+M182+M225+M268+M311+M354+M397+M440</f>
        <v/>
      </c>
      <c r="N477" s="189">
        <f>N53+N96+N139+N182+N225+N268+N311+N354+N397+N440</f>
        <v/>
      </c>
      <c r="O477" s="189">
        <f>O53+O96+O139+O182+O225+O268+O311+O354+O397+O440</f>
        <v/>
      </c>
      <c r="P477" s="189">
        <f>P53+P96+P139+P182+P225+P268+P311+P354+P397+P440</f>
        <v/>
      </c>
      <c r="Q477" s="189">
        <f>Q53+Q96+Q139+Q182+Q225+Q268+Q311+Q354+Q397+Q440</f>
        <v/>
      </c>
      <c r="R477" s="189">
        <f>R53+R96+R139+R182+R225+R268+R311+R354+R397+R440</f>
        <v/>
      </c>
      <c r="S477" s="189">
        <f>S53+S96+S139+S182+S225+S268+S311+S354+S397+S440</f>
        <v/>
      </c>
      <c r="T477" s="189">
        <f>T53+T96+T139+T182+T225+T268+T311+T354+T397+T440</f>
        <v/>
      </c>
      <c r="U477" s="189">
        <f>U53+U96+U139+U182+U225+U268+U311+U354+U397+U440</f>
        <v/>
      </c>
      <c r="V477" s="189">
        <f>V53+V96+V139+V182+V225+V268+V311+V354+V397+V440</f>
        <v/>
      </c>
      <c r="W477" s="189">
        <f>W53+W96+W139+W182+W225+W268+W311+W354+W397+W440</f>
        <v/>
      </c>
      <c r="X477" s="189">
        <f>X53+X96+X139+X182+X225+X268+X311+X354+X397+X440</f>
        <v/>
      </c>
      <c r="Y477" s="189">
        <f>Y53+Y96+Y139+Y182+Y225+Y268+Y311+Y354+Y397+Y440</f>
        <v/>
      </c>
      <c r="Z477" s="189">
        <f>Z53+Z96+Z139+Z182+Z225+Z268+Z311+Z354+Z397+Z440</f>
        <v/>
      </c>
      <c r="AA477" s="189">
        <f>AA53+AA96+AA139+AA182+AA225+AA268+AA311+AA354+AA397+AA440</f>
        <v/>
      </c>
      <c r="AB477" s="189">
        <f>AB53+AB96+AB139+AB182+AB225+AB268+AB311+AB354+AB397+AB440</f>
        <v/>
      </c>
      <c r="AC477" s="189">
        <f>AC53+AC96+AC139+AC182+AC225+AC268+AC311+AC354+AC397+AC440</f>
        <v/>
      </c>
      <c r="AD477" s="189">
        <f>AD53+AD96+AD139+AD182+AD225+AD268+AD311+AD354+AD397+AD440</f>
        <v/>
      </c>
      <c r="AE477" s="189">
        <f>AE53+AE96+AE139+AE182+AE225+AE268+AE311+AE354+AE397+AE440</f>
        <v/>
      </c>
      <c r="AF477" s="189">
        <f>AF53+AF96+AF139+AF182+AF225+AF268+AF311+AF354+AF397+AF440</f>
        <v/>
      </c>
      <c r="AG477" s="189">
        <f>AG53+AG96+AG139+AG182+AG225+AG268+AG311+AG354+AG397+AG440</f>
        <v/>
      </c>
      <c r="AH477" s="189">
        <f>AH53+AH96+AH139+AH182+AH225+AH268+AH311+AH354+AH397+AH440</f>
        <v/>
      </c>
      <c r="AI477" s="51" t="inlineStr">
        <is>
          <t>U4Y</t>
        </is>
      </c>
    </row>
    <row r="478">
      <c r="B478" s="189">
        <f>B54+B97+B140+B183+B226+B269+B312+B355+B398+B441</f>
        <v/>
      </c>
      <c r="C478" s="189">
        <f>C54+C97+C140+C183+C226+C269+C312+C355+C398+C441</f>
        <v/>
      </c>
      <c r="D478" s="189">
        <f>D54+D97+D140+D183+D226+D269+D312+D355+D398+D441</f>
        <v/>
      </c>
      <c r="E478" s="189">
        <f>E54+E97+E140+E183+E226+E269+E312+E355+E398+E441</f>
        <v/>
      </c>
      <c r="F478" s="189">
        <f>F54+F97+F140+F183+F226+F269+F312+F355+F398+F441</f>
        <v/>
      </c>
      <c r="G478" s="189">
        <f>G54+G97+G140+G183+G226+G269+G312+G355+G398+G441</f>
        <v/>
      </c>
      <c r="H478" s="189">
        <f>H54+H97+H140+H183+H226+H269+H312+H355+H398+H441</f>
        <v/>
      </c>
      <c r="I478" s="189">
        <f>I54+I97+I140+I183+I226+I269+I312+I355+I398+I441</f>
        <v/>
      </c>
      <c r="J478" s="189">
        <f>J54+J97+J140+J183+J226+J269+J312+J355+J398+J441</f>
        <v/>
      </c>
      <c r="K478" s="189">
        <f>K54+K97+K140+K183+K226+K269+K312+K355+K398+K441</f>
        <v/>
      </c>
      <c r="L478" s="189">
        <f>L54+L97+L140+L183+L226+L269+L312+L355+L398+L441</f>
        <v/>
      </c>
      <c r="M478" s="10">
        <f>M54+M97+M140+M183+M226+M269+M312+M355+M398+M441</f>
        <v/>
      </c>
      <c r="N478" s="189">
        <f>N54+N97+N140+N183+N226+N269+N312+N355+N398+N441</f>
        <v/>
      </c>
      <c r="O478" s="189">
        <f>O54+O97+O140+O183+O226+O269+O312+O355+O398+O441</f>
        <v/>
      </c>
      <c r="P478" s="189">
        <f>P54+P97+P140+P183+P226+P269+P312+P355+P398+P441</f>
        <v/>
      </c>
      <c r="Q478" s="189">
        <f>Q54+Q97+Q140+Q183+Q226+Q269+Q312+Q355+Q398+Q441</f>
        <v/>
      </c>
      <c r="R478" s="189">
        <f>R54+R97+R140+R183+R226+R269+R312+R355+R398+R441</f>
        <v/>
      </c>
      <c r="S478" s="189">
        <f>S54+S97+S140+S183+S226+S269+S312+S355+S398+S441</f>
        <v/>
      </c>
      <c r="T478" s="189">
        <f>T54+T97+T140+T183+T226+T269+T312+T355+T398+T441</f>
        <v/>
      </c>
      <c r="U478" s="189">
        <f>U54+U97+U140+U183+U226+U269+U312+U355+U398+U441</f>
        <v/>
      </c>
      <c r="V478" s="189">
        <f>V54+V97+V140+V183+V226+V269+V312+V355+V398+V441</f>
        <v/>
      </c>
      <c r="W478" s="189">
        <f>W54+W97+W140+W183+W226+W269+W312+W355+W398+W441</f>
        <v/>
      </c>
      <c r="X478" s="189">
        <f>X54+X97+X140+X183+X226+X269+X312+X355+X398+X441</f>
        <v/>
      </c>
      <c r="Y478" s="189">
        <f>Y54+Y97+Y140+Y183+Y226+Y269+Y312+Y355+Y398+Y441</f>
        <v/>
      </c>
      <c r="Z478" s="189">
        <f>Z54+Z97+Z140+Z183+Z226+Z269+Z312+Z355+Z398+Z441</f>
        <v/>
      </c>
      <c r="AA478" s="189">
        <f>AA54+AA97+AA140+AA183+AA226+AA269+AA312+AA355+AA398+AA441</f>
        <v/>
      </c>
      <c r="AB478" s="189">
        <f>AB54+AB97+AB140+AB183+AB226+AB269+AB312+AB355+AB398+AB441</f>
        <v/>
      </c>
      <c r="AC478" s="189">
        <f>AC54+AC97+AC140+AC183+AC226+AC269+AC312+AC355+AC398+AC441</f>
        <v/>
      </c>
      <c r="AD478" s="189">
        <f>AD54+AD97+AD140+AD183+AD226+AD269+AD312+AD355+AD398+AD441</f>
        <v/>
      </c>
      <c r="AE478" s="189">
        <f>AE54+AE97+AE140+AE183+AE226+AE269+AE312+AE355+AE398+AE441</f>
        <v/>
      </c>
      <c r="AF478" s="189">
        <f>AF54+AF97+AF140+AF183+AF226+AF269+AF312+AF355+AF398+AF441</f>
        <v/>
      </c>
      <c r="AG478" s="189">
        <f>AG54+AG97+AG140+AG183+AG226+AG269+AG312+AG355+AG398+AG441</f>
        <v/>
      </c>
      <c r="AH478" s="189">
        <f>AH54+AH97+AH140+AH183+AH226+AH269+AH312+AH355+AH398+AH441</f>
        <v/>
      </c>
      <c r="AI478" s="51" t="inlineStr">
        <is>
          <t>U4θ</t>
        </is>
      </c>
    </row>
    <row r="479">
      <c r="B479" s="189">
        <f>B55+B98+B141+B184+B227+B270+B313+B356+B399+B442</f>
        <v/>
      </c>
      <c r="C479" s="189">
        <f>C55+C98+C141+C184+C227+C270+C313+C356+C399+C442</f>
        <v/>
      </c>
      <c r="D479" s="189">
        <f>D55+D98+D141+D184+D227+D270+D313+D356+D399+D442</f>
        <v/>
      </c>
      <c r="E479" s="189">
        <f>E55+E98+E141+E184+E227+E270+E313+E356+E399+E442</f>
        <v/>
      </c>
      <c r="F479" s="189">
        <f>F55+F98+F141+F184+F227+F270+F313+F356+F399+F442</f>
        <v/>
      </c>
      <c r="G479" s="189">
        <f>G55+G98+G141+G184+G227+G270+G313+G356+G399+G442</f>
        <v/>
      </c>
      <c r="H479" s="189">
        <f>H55+H98+H141+H184+H227+H270+H313+H356+H399+H442</f>
        <v/>
      </c>
      <c r="I479" s="189">
        <f>I55+I98+I141+I184+I227+I270+I313+I356+I399+I442</f>
        <v/>
      </c>
      <c r="J479" s="189">
        <f>J55+J98+J141+J184+J227+J270+J313+J356+J399+J442</f>
        <v/>
      </c>
      <c r="K479" s="189">
        <f>K55+K98+K141+K184+K227+K270+K313+K356+K399+K442</f>
        <v/>
      </c>
      <c r="L479" s="189">
        <f>L55+L98+L141+L184+L227+L270+L313+L356+L399+L442</f>
        <v/>
      </c>
      <c r="M479" s="189">
        <f>M55+M98+M141+M184+M227+M270+M313+M356+M399+M442</f>
        <v/>
      </c>
      <c r="N479" s="10">
        <f>N55+N98+N141+N184+N227+N270+N313+N356+N399+N442</f>
        <v/>
      </c>
      <c r="O479" s="189">
        <f>O55+O98+O141+O184+O227+O270+O313+O356+O399+O442</f>
        <v/>
      </c>
      <c r="P479" s="189">
        <f>P55+P98+P141+P184+P227+P270+P313+P356+P399+P442</f>
        <v/>
      </c>
      <c r="Q479" s="189">
        <f>Q55+Q98+Q141+Q184+Q227+Q270+Q313+Q356+Q399+Q442</f>
        <v/>
      </c>
      <c r="R479" s="189">
        <f>R55+R98+R141+R184+R227+R270+R313+R356+R399+R442</f>
        <v/>
      </c>
      <c r="S479" s="189">
        <f>S55+S98+S141+S184+S227+S270+S313+S356+S399+S442</f>
        <v/>
      </c>
      <c r="T479" s="189">
        <f>T55+T98+T141+T184+T227+T270+T313+T356+T399+T442</f>
        <v/>
      </c>
      <c r="U479" s="189">
        <f>U55+U98+U141+U184+U227+U270+U313+U356+U399+U442</f>
        <v/>
      </c>
      <c r="V479" s="189">
        <f>V55+V98+V141+V184+V227+V270+V313+V356+V399+V442</f>
        <v/>
      </c>
      <c r="W479" s="189">
        <f>W55+W98+W141+W184+W227+W270+W313+W356+W399+W442</f>
        <v/>
      </c>
      <c r="X479" s="189">
        <f>X55+X98+X141+X184+X227+X270+X313+X356+X399+X442</f>
        <v/>
      </c>
      <c r="Y479" s="189">
        <f>Y55+Y98+Y141+Y184+Y227+Y270+Y313+Y356+Y399+Y442</f>
        <v/>
      </c>
      <c r="Z479" s="189">
        <f>Z55+Z98+Z141+Z184+Z227+Z270+Z313+Z356+Z399+Z442</f>
        <v/>
      </c>
      <c r="AA479" s="189">
        <f>AA55+AA98+AA141+AA184+AA227+AA270+AA313+AA356+AA399+AA442</f>
        <v/>
      </c>
      <c r="AB479" s="189">
        <f>AB55+AB98+AB141+AB184+AB227+AB270+AB313+AB356+AB399+AB442</f>
        <v/>
      </c>
      <c r="AC479" s="189">
        <f>AC55+AC98+AC141+AC184+AC227+AC270+AC313+AC356+AC399+AC442</f>
        <v/>
      </c>
      <c r="AD479" s="189">
        <f>AD55+AD98+AD141+AD184+AD227+AD270+AD313+AD356+AD399+AD442</f>
        <v/>
      </c>
      <c r="AE479" s="189">
        <f>AE55+AE98+AE141+AE184+AE227+AE270+AE313+AE356+AE399+AE442</f>
        <v/>
      </c>
      <c r="AF479" s="189">
        <f>AF55+AF98+AF141+AF184+AF227+AF270+AF313+AF356+AF399+AF442</f>
        <v/>
      </c>
      <c r="AG479" s="189">
        <f>AG55+AG98+AG141+AG184+AG227+AG270+AG313+AG356+AG399+AG442</f>
        <v/>
      </c>
      <c r="AH479" s="189">
        <f>AH55+AH98+AH141+AH184+AH227+AH270+AH313+AH356+AH399+AH442</f>
        <v/>
      </c>
      <c r="AI479" s="51" t="inlineStr">
        <is>
          <t>U5X</t>
        </is>
      </c>
    </row>
    <row r="480">
      <c r="B480" s="189">
        <f>B56+B99+B142+B185+B228+B271+B314+B357+B400+B443</f>
        <v/>
      </c>
      <c r="C480" s="189">
        <f>C56+C99+C142+C185+C228+C271+C314+C357+C400+C443</f>
        <v/>
      </c>
      <c r="D480" s="189">
        <f>D56+D99+D142+D185+D228+D271+D314+D357+D400+D443</f>
        <v/>
      </c>
      <c r="E480" s="189">
        <f>E56+E99+E142+E185+E228+E271+E314+E357+E400+E443</f>
        <v/>
      </c>
      <c r="F480" s="189">
        <f>F56+F99+F142+F185+F228+F271+F314+F357+F400+F443</f>
        <v/>
      </c>
      <c r="G480" s="189">
        <f>G56+G99+G142+G185+G228+G271+G314+G357+G400+G443</f>
        <v/>
      </c>
      <c r="H480" s="189">
        <f>H56+H99+H142+H185+H228+H271+H314+H357+H400+H443</f>
        <v/>
      </c>
      <c r="I480" s="189">
        <f>I56+I99+I142+I185+I228+I271+I314+I357+I400+I443</f>
        <v/>
      </c>
      <c r="J480" s="189">
        <f>J56+J99+J142+J185+J228+J271+J314+J357+J400+J443</f>
        <v/>
      </c>
      <c r="K480" s="189">
        <f>K56+K99+K142+K185+K228+K271+K314+K357+K400+K443</f>
        <v/>
      </c>
      <c r="L480" s="189">
        <f>L56+L99+L142+L185+L228+L271+L314+L357+L400+L443</f>
        <v/>
      </c>
      <c r="M480" s="189">
        <f>M56+M99+M142+M185+M228+M271+M314+M357+M400+M443</f>
        <v/>
      </c>
      <c r="N480" s="189">
        <f>N56+N99+N142+N185+N228+N271+N314+N357+N400+N443</f>
        <v/>
      </c>
      <c r="O480" s="10">
        <f>O56+O99+O142+O185+O228+O271+O314+O357+O400+O443</f>
        <v/>
      </c>
      <c r="P480" s="189">
        <f>P56+P99+P142+P185+P228+P271+P314+P357+P400+P443</f>
        <v/>
      </c>
      <c r="Q480" s="189">
        <f>Q56+Q99+Q142+Q185+Q228+Q271+Q314+Q357+Q400+Q443</f>
        <v/>
      </c>
      <c r="R480" s="189">
        <f>R56+R99+R142+R185+R228+R271+R314+R357+R400+R443</f>
        <v/>
      </c>
      <c r="S480" s="189">
        <f>S56+S99+S142+S185+S228+S271+S314+S357+S400+S443</f>
        <v/>
      </c>
      <c r="T480" s="189">
        <f>T56+T99+T142+T185+T228+T271+T314+T357+T400+T443</f>
        <v/>
      </c>
      <c r="U480" s="189">
        <f>U56+U99+U142+U185+U228+U271+U314+U357+U400+U443</f>
        <v/>
      </c>
      <c r="V480" s="189">
        <f>V56+V99+V142+V185+V228+V271+V314+V357+V400+V443</f>
        <v/>
      </c>
      <c r="W480" s="189">
        <f>W56+W99+W142+W185+W228+W271+W314+W357+W400+W443</f>
        <v/>
      </c>
      <c r="X480" s="189">
        <f>X56+X99+X142+X185+X228+X271+X314+X357+X400+X443</f>
        <v/>
      </c>
      <c r="Y480" s="189">
        <f>Y56+Y99+Y142+Y185+Y228+Y271+Y314+Y357+Y400+Y443</f>
        <v/>
      </c>
      <c r="Z480" s="189">
        <f>Z56+Z99+Z142+Z185+Z228+Z271+Z314+Z357+Z400+Z443</f>
        <v/>
      </c>
      <c r="AA480" s="189">
        <f>AA56+AA99+AA142+AA185+AA228+AA271+AA314+AA357+AA400+AA443</f>
        <v/>
      </c>
      <c r="AB480" s="189">
        <f>AB56+AB99+AB142+AB185+AB228+AB271+AB314+AB357+AB400+AB443</f>
        <v/>
      </c>
      <c r="AC480" s="189">
        <f>AC56+AC99+AC142+AC185+AC228+AC271+AC314+AC357+AC400+AC443</f>
        <v/>
      </c>
      <c r="AD480" s="189">
        <f>AD56+AD99+AD142+AD185+AD228+AD271+AD314+AD357+AD400+AD443</f>
        <v/>
      </c>
      <c r="AE480" s="189">
        <f>AE56+AE99+AE142+AE185+AE228+AE271+AE314+AE357+AE400+AE443</f>
        <v/>
      </c>
      <c r="AF480" s="189">
        <f>AF56+AF99+AF142+AF185+AF228+AF271+AF314+AF357+AF400+AF443</f>
        <v/>
      </c>
      <c r="AG480" s="189">
        <f>AG56+AG99+AG142+AG185+AG228+AG271+AG314+AG357+AG400+AG443</f>
        <v/>
      </c>
      <c r="AH480" s="189">
        <f>AH56+AH99+AH142+AH185+AH228+AH271+AH314+AH357+AH400+AH443</f>
        <v/>
      </c>
      <c r="AI480" s="51" t="inlineStr">
        <is>
          <t>U5Y</t>
        </is>
      </c>
    </row>
    <row r="481">
      <c r="B481" s="189">
        <f>B57+B100+B143+B186+B229+B272+B315+B358+B401+B444</f>
        <v/>
      </c>
      <c r="C481" s="189">
        <f>C57+C100+C143+C186+C229+C272+C315+C358+C401+C444</f>
        <v/>
      </c>
      <c r="D481" s="189">
        <f>D57+D100+D143+D186+D229+D272+D315+D358+D401+D444</f>
        <v/>
      </c>
      <c r="E481" s="189">
        <f>E57+E100+E143+E186+E229+E272+E315+E358+E401+E444</f>
        <v/>
      </c>
      <c r="F481" s="189">
        <f>F57+F100+F143+F186+F229+F272+F315+F358+F401+F444</f>
        <v/>
      </c>
      <c r="G481" s="189">
        <f>G57+G100+G143+G186+G229+G272+G315+G358+G401+G444</f>
        <v/>
      </c>
      <c r="H481" s="189">
        <f>H57+H100+H143+H186+H229+H272+H315+H358+H401+H444</f>
        <v/>
      </c>
      <c r="I481" s="189">
        <f>I57+I100+I143+I186+I229+I272+I315+I358+I401+I444</f>
        <v/>
      </c>
      <c r="J481" s="189">
        <f>J57+J100+J143+J186+J229+J272+J315+J358+J401+J444</f>
        <v/>
      </c>
      <c r="K481" s="189">
        <f>K57+K100+K143+K186+K229+K272+K315+K358+K401+K444</f>
        <v/>
      </c>
      <c r="L481" s="189">
        <f>L57+L100+L143+L186+L229+L272+L315+L358+L401+L444</f>
        <v/>
      </c>
      <c r="M481" s="189">
        <f>M57+M100+M143+M186+M229+M272+M315+M358+M401+M444</f>
        <v/>
      </c>
      <c r="N481" s="189">
        <f>N57+N100+N143+N186+N229+N272+N315+N358+N401+N444</f>
        <v/>
      </c>
      <c r="O481" s="189">
        <f>O57+O100+O143+O186+O229+O272+O315+O358+O401+O444</f>
        <v/>
      </c>
      <c r="P481" s="10">
        <f>P57+P100+P143+P186+P229+P272+P315+P358+P401+P444</f>
        <v/>
      </c>
      <c r="Q481" s="189">
        <f>Q57+Q100+Q143+Q186+Q229+Q272+Q315+Q358+Q401+Q444</f>
        <v/>
      </c>
      <c r="R481" s="189">
        <f>R57+R100+R143+R186+R229+R272+R315+R358+R401+R444</f>
        <v/>
      </c>
      <c r="S481" s="189">
        <f>S57+S100+S143+S186+S229+S272+S315+S358+S401+S444</f>
        <v/>
      </c>
      <c r="T481" s="189">
        <f>T57+T100+T143+T186+T229+T272+T315+T358+T401+T444</f>
        <v/>
      </c>
      <c r="U481" s="189">
        <f>U57+U100+U143+U186+U229+U272+U315+U358+U401+U444</f>
        <v/>
      </c>
      <c r="V481" s="189">
        <f>V57+V100+V143+V186+V229+V272+V315+V358+V401+V444</f>
        <v/>
      </c>
      <c r="W481" s="189">
        <f>W57+W100+W143+W186+W229+W272+W315+W358+W401+W444</f>
        <v/>
      </c>
      <c r="X481" s="189">
        <f>X57+X100+X143+X186+X229+X272+X315+X358+X401+X444</f>
        <v/>
      </c>
      <c r="Y481" s="189">
        <f>Y57+Y100+Y143+Y186+Y229+Y272+Y315+Y358+Y401+Y444</f>
        <v/>
      </c>
      <c r="Z481" s="189">
        <f>Z57+Z100+Z143+Z186+Z229+Z272+Z315+Z358+Z401+Z444</f>
        <v/>
      </c>
      <c r="AA481" s="189">
        <f>AA57+AA100+AA143+AA186+AA229+AA272+AA315+AA358+AA401+AA444</f>
        <v/>
      </c>
      <c r="AB481" s="189">
        <f>AB57+AB100+AB143+AB186+AB229+AB272+AB315+AB358+AB401+AB444</f>
        <v/>
      </c>
      <c r="AC481" s="189">
        <f>AC57+AC100+AC143+AC186+AC229+AC272+AC315+AC358+AC401+AC444</f>
        <v/>
      </c>
      <c r="AD481" s="189">
        <f>AD57+AD100+AD143+AD186+AD229+AD272+AD315+AD358+AD401+AD444</f>
        <v/>
      </c>
      <c r="AE481" s="189">
        <f>AE57+AE100+AE143+AE186+AE229+AE272+AE315+AE358+AE401+AE444</f>
        <v/>
      </c>
      <c r="AF481" s="189">
        <f>AF57+AF100+AF143+AF186+AF229+AF272+AF315+AF358+AF401+AF444</f>
        <v/>
      </c>
      <c r="AG481" s="189">
        <f>AG57+AG100+AG143+AG186+AG229+AG272+AG315+AG358+AG401+AG444</f>
        <v/>
      </c>
      <c r="AH481" s="189">
        <f>AH57+AH100+AH143+AH186+AH229+AH272+AH315+AH358+AH401+AH444</f>
        <v/>
      </c>
      <c r="AI481" s="51" t="inlineStr">
        <is>
          <t>U5θ</t>
        </is>
      </c>
    </row>
    <row r="482">
      <c r="B482" s="189">
        <f>B58+B101+B144+B187+B230+B273+B316+B359+B402+B445</f>
        <v/>
      </c>
      <c r="C482" s="189">
        <f>C58+C101+C144+C187+C230+C273+C316+C359+C402+C445</f>
        <v/>
      </c>
      <c r="D482" s="189">
        <f>D58+D101+D144+D187+D230+D273+D316+D359+D402+D445</f>
        <v/>
      </c>
      <c r="E482" s="189">
        <f>E58+E101+E144+E187+E230+E273+E316+E359+E402+E445</f>
        <v/>
      </c>
      <c r="F482" s="189">
        <f>F58+F101+F144+F187+F230+F273+F316+F359+F402+F445</f>
        <v/>
      </c>
      <c r="G482" s="189">
        <f>G58+G101+G144+G187+G230+G273+G316+G359+G402+G445</f>
        <v/>
      </c>
      <c r="H482" s="189">
        <f>H58+H101+H144+H187+H230+H273+H316+H359+H402+H445</f>
        <v/>
      </c>
      <c r="I482" s="189">
        <f>I58+I101+I144+I187+I230+I273+I316+I359+I402+I445</f>
        <v/>
      </c>
      <c r="J482" s="189">
        <f>J58+J101+J144+J187+J230+J273+J316+J359+J402+J445</f>
        <v/>
      </c>
      <c r="K482" s="189">
        <f>K58+K101+K144+K187+K230+K273+K316+K359+K402+K445</f>
        <v/>
      </c>
      <c r="L482" s="189">
        <f>L58+L101+L144+L187+L230+L273+L316+L359+L402+L445</f>
        <v/>
      </c>
      <c r="M482" s="189">
        <f>M58+M101+M144+M187+M230+M273+M316+M359+M402+M445</f>
        <v/>
      </c>
      <c r="N482" s="189">
        <f>N58+N101+N144+N187+N230+N273+N316+N359+N402+N445</f>
        <v/>
      </c>
      <c r="O482" s="189">
        <f>O58+O101+O144+O187+O230+O273+O316+O359+O402+O445</f>
        <v/>
      </c>
      <c r="P482" s="189">
        <f>P58+P101+P144+P187+P230+P273+P316+P359+P402+P445</f>
        <v/>
      </c>
      <c r="Q482" s="10">
        <f>Q58+Q101+Q144+Q187+Q230+Q273+Q316+Q359+Q402+Q445</f>
        <v/>
      </c>
      <c r="R482" s="189">
        <f>R58+R101+R144+R187+R230+R273+R316+R359+R402+R445</f>
        <v/>
      </c>
      <c r="S482" s="189">
        <f>S58+S101+S144+S187+S230+S273+S316+S359+S402+S445</f>
        <v/>
      </c>
      <c r="T482" s="189">
        <f>T58+T101+T144+T187+T230+T273+T316+T359+T402+T445</f>
        <v/>
      </c>
      <c r="U482" s="189">
        <f>U58+U101+U144+U187+U230+U273+U316+U359+U402+U445</f>
        <v/>
      </c>
      <c r="V482" s="189">
        <f>V58+V101+V144+V187+V230+V273+V316+V359+V402+V445</f>
        <v/>
      </c>
      <c r="W482" s="189">
        <f>W58+W101+W144+W187+W230+W273+W316+W359+W402+W445</f>
        <v/>
      </c>
      <c r="X482" s="189">
        <f>X58+X101+X144+X187+X230+X273+X316+X359+X402+X445</f>
        <v/>
      </c>
      <c r="Y482" s="189">
        <f>Y58+Y101+Y144+Y187+Y230+Y273+Y316+Y359+Y402+Y445</f>
        <v/>
      </c>
      <c r="Z482" s="189">
        <f>Z58+Z101+Z144+Z187+Z230+Z273+Z316+Z359+Z402+Z445</f>
        <v/>
      </c>
      <c r="AA482" s="189">
        <f>AA58+AA101+AA144+AA187+AA230+AA273+AA316+AA359+AA402+AA445</f>
        <v/>
      </c>
      <c r="AB482" s="189">
        <f>AB58+AB101+AB144+AB187+AB230+AB273+AB316+AB359+AB402+AB445</f>
        <v/>
      </c>
      <c r="AC482" s="189">
        <f>AC58+AC101+AC144+AC187+AC230+AC273+AC316+AC359+AC402+AC445</f>
        <v/>
      </c>
      <c r="AD482" s="189">
        <f>AD58+AD101+AD144+AD187+AD230+AD273+AD316+AD359+AD402+AD445</f>
        <v/>
      </c>
      <c r="AE482" s="189">
        <f>AE58+AE101+AE144+AE187+AE230+AE273+AE316+AE359+AE402+AE445</f>
        <v/>
      </c>
      <c r="AF482" s="189">
        <f>AF58+AF101+AF144+AF187+AF230+AF273+AF316+AF359+AF402+AF445</f>
        <v/>
      </c>
      <c r="AG482" s="189">
        <f>AG58+AG101+AG144+AG187+AG230+AG273+AG316+AG359+AG402+AG445</f>
        <v/>
      </c>
      <c r="AH482" s="189">
        <f>AH58+AH101+AH144+AH187+AH230+AH273+AH316+AH359+AH402+AH445</f>
        <v/>
      </c>
      <c r="AI482" s="51" t="inlineStr">
        <is>
          <t>U6X</t>
        </is>
      </c>
    </row>
    <row r="483">
      <c r="A483" s="118" t="inlineStr">
        <is>
          <t>Kviga =</t>
        </is>
      </c>
      <c r="B483" s="189">
        <f>B59+B102+B145+B188+B231+B274+B317+B360+B403+B446</f>
        <v/>
      </c>
      <c r="C483" s="189">
        <f>C59+C102+C145+C188+C231+C274+C317+C360+C403+C446</f>
        <v/>
      </c>
      <c r="D483" s="189">
        <f>D59+D102+D145+D188+D231+D274+D317+D360+D403+D446</f>
        <v/>
      </c>
      <c r="E483" s="189">
        <f>E59+E102+E145+E188+E231+E274+E317+E360+E403+E446</f>
        <v/>
      </c>
      <c r="F483" s="189">
        <f>F59+F102+F145+F188+F231+F274+F317+F360+F403+F446</f>
        <v/>
      </c>
      <c r="G483" s="189">
        <f>G59+G102+G145+G188+G231+G274+G317+G360+G403+G446</f>
        <v/>
      </c>
      <c r="H483" s="189">
        <f>H59+H102+H145+H188+H231+H274+H317+H360+H403+H446</f>
        <v/>
      </c>
      <c r="I483" s="189">
        <f>I59+I102+I145+I188+I231+I274+I317+I360+I403+I446</f>
        <v/>
      </c>
      <c r="J483" s="189">
        <f>J59+J102+J145+J188+J231+J274+J317+J360+J403+J446</f>
        <v/>
      </c>
      <c r="K483" s="189">
        <f>K59+K102+K145+K188+K231+K274+K317+K360+K403+K446</f>
        <v/>
      </c>
      <c r="L483" s="189">
        <f>L59+L102+L145+L188+L231+L274+L317+L360+L403+L446</f>
        <v/>
      </c>
      <c r="M483" s="189">
        <f>M59+M102+M145+M188+M231+M274+M317+M360+M403+M446</f>
        <v/>
      </c>
      <c r="N483" s="189">
        <f>N59+N102+N145+N188+N231+N274+N317+N360+N403+N446</f>
        <v/>
      </c>
      <c r="O483" s="189">
        <f>O59+O102+O145+O188+O231+O274+O317+O360+O403+O446</f>
        <v/>
      </c>
      <c r="P483" s="189">
        <f>P59+P102+P145+P188+P231+P274+P317+P360+P403+P446</f>
        <v/>
      </c>
      <c r="Q483" s="189">
        <f>Q59+Q102+Q145+Q188+Q231+Q274+Q317+Q360+Q403+Q446</f>
        <v/>
      </c>
      <c r="R483" s="10">
        <f>R59+R102+R145+R188+R231+R274+R317+R360+R403+R446</f>
        <v/>
      </c>
      <c r="S483" s="189">
        <f>S59+S102+S145+S188+S231+S274+S317+S360+S403+S446</f>
        <v/>
      </c>
      <c r="T483" s="189">
        <f>T59+T102+T145+T188+T231+T274+T317+T360+T403+T446</f>
        <v/>
      </c>
      <c r="U483" s="189">
        <f>U59+U102+U145+U188+U231+U274+U317+U360+U403+U446</f>
        <v/>
      </c>
      <c r="V483" s="189">
        <f>V59+V102+V145+V188+V231+V274+V317+V360+V403+V446</f>
        <v/>
      </c>
      <c r="W483" s="189">
        <f>W59+W102+W145+W188+W231+W274+W317+W360+W403+W446</f>
        <v/>
      </c>
      <c r="X483" s="189">
        <f>X59+X102+X145+X188+X231+X274+X317+X360+X403+X446</f>
        <v/>
      </c>
      <c r="Y483" s="189">
        <f>Y59+Y102+Y145+Y188+Y231+Y274+Y317+Y360+Y403+Y446</f>
        <v/>
      </c>
      <c r="Z483" s="189">
        <f>Z59+Z102+Z145+Z188+Z231+Z274+Z317+Z360+Z403+Z446</f>
        <v/>
      </c>
      <c r="AA483" s="189">
        <f>AA59+AA102+AA145+AA188+AA231+AA274+AA317+AA360+AA403+AA446</f>
        <v/>
      </c>
      <c r="AB483" s="189">
        <f>AB59+AB102+AB145+AB188+AB231+AB274+AB317+AB360+AB403+AB446</f>
        <v/>
      </c>
      <c r="AC483" s="189">
        <f>AC59+AC102+AC145+AC188+AC231+AC274+AC317+AC360+AC403+AC446</f>
        <v/>
      </c>
      <c r="AD483" s="189">
        <f>AD59+AD102+AD145+AD188+AD231+AD274+AD317+AD360+AD403+AD446</f>
        <v/>
      </c>
      <c r="AE483" s="189">
        <f>AE59+AE102+AE145+AE188+AE231+AE274+AE317+AE360+AE403+AE446</f>
        <v/>
      </c>
      <c r="AF483" s="189">
        <f>AF59+AF102+AF145+AF188+AF231+AF274+AF317+AF360+AF403+AF446</f>
        <v/>
      </c>
      <c r="AG483" s="189">
        <f>AG59+AG102+AG145+AG188+AG231+AG274+AG317+AG360+AG403+AG446</f>
        <v/>
      </c>
      <c r="AH483" s="189">
        <f>AH59+AH102+AH145+AH188+AH231+AH274+AH317+AH360+AH403+AH446</f>
        <v/>
      </c>
      <c r="AI483" s="51" t="inlineStr">
        <is>
          <t>U6Y</t>
        </is>
      </c>
    </row>
    <row r="484">
      <c r="B484" s="189">
        <f>B60+B103+B146+B189+B232+B275+B318+B361+B404+B447</f>
        <v/>
      </c>
      <c r="C484" s="189">
        <f>C60+C103+C146+C189+C232+C275+C318+C361+C404+C447</f>
        <v/>
      </c>
      <c r="D484" s="189">
        <f>D60+D103+D146+D189+D232+D275+D318+D361+D404+D447</f>
        <v/>
      </c>
      <c r="E484" s="189">
        <f>E60+E103+E146+E189+E232+E275+E318+E361+E404+E447</f>
        <v/>
      </c>
      <c r="F484" s="189">
        <f>F60+F103+F146+F189+F232+F275+F318+F361+F404+F447</f>
        <v/>
      </c>
      <c r="G484" s="189">
        <f>G60+G103+G146+G189+G232+G275+G318+G361+G404+G447</f>
        <v/>
      </c>
      <c r="H484" s="189">
        <f>H60+H103+H146+H189+H232+H275+H318+H361+H404+H447</f>
        <v/>
      </c>
      <c r="I484" s="189">
        <f>I60+I103+I146+I189+I232+I275+I318+I361+I404+I447</f>
        <v/>
      </c>
      <c r="J484" s="189">
        <f>J60+J103+J146+J189+J232+J275+J318+J361+J404+J447</f>
        <v/>
      </c>
      <c r="K484" s="189">
        <f>K60+K103+K146+K189+K232+K275+K318+K361+K404+K447</f>
        <v/>
      </c>
      <c r="L484" s="189">
        <f>L60+L103+L146+L189+L232+L275+L318+L361+L404+L447</f>
        <v/>
      </c>
      <c r="M484" s="189">
        <f>M60+M103+M146+M189+M232+M275+M318+M361+M404+M447</f>
        <v/>
      </c>
      <c r="N484" s="189">
        <f>N60+N103+N146+N189+N232+N275+N318+N361+N404+N447</f>
        <v/>
      </c>
      <c r="O484" s="189">
        <f>O60+O103+O146+O189+O232+O275+O318+O361+O404+O447</f>
        <v/>
      </c>
      <c r="P484" s="189">
        <f>P60+P103+P146+P189+P232+P275+P318+P361+P404+P447</f>
        <v/>
      </c>
      <c r="Q484" s="189">
        <f>Q60+Q103+Q146+Q189+Q232+Q275+Q318+Q361+Q404+Q447</f>
        <v/>
      </c>
      <c r="R484" s="189">
        <f>R60+R103+R146+R189+R232+R275+R318+R361+R404+R447</f>
        <v/>
      </c>
      <c r="S484" s="10">
        <f>S60+S103+S146+S189+S232+S275+S318+S361+S404+S447</f>
        <v/>
      </c>
      <c r="T484" s="189">
        <f>T60+T103+T146+T189+T232+T275+T318+T361+T404+T447</f>
        <v/>
      </c>
      <c r="U484" s="189">
        <f>U60+U103+U146+U189+U232+U275+U318+U361+U404+U447</f>
        <v/>
      </c>
      <c r="V484" s="189">
        <f>V60+V103+V146+V189+V232+V275+V318+V361+V404+V447</f>
        <v/>
      </c>
      <c r="W484" s="189">
        <f>W60+W103+W146+W189+W232+W275+W318+W361+W404+W447</f>
        <v/>
      </c>
      <c r="X484" s="189">
        <f>X60+X103+X146+X189+X232+X275+X318+X361+X404+X447</f>
        <v/>
      </c>
      <c r="Y484" s="189">
        <f>Y60+Y103+Y146+Y189+Y232+Y275+Y318+Y361+Y404+Y447</f>
        <v/>
      </c>
      <c r="Z484" s="189">
        <f>Z60+Z103+Z146+Z189+Z232+Z275+Z318+Z361+Z404+Z447</f>
        <v/>
      </c>
      <c r="AA484" s="189">
        <f>AA60+AA103+AA146+AA189+AA232+AA275+AA318+AA361+AA404+AA447</f>
        <v/>
      </c>
      <c r="AB484" s="189">
        <f>AB60+AB103+AB146+AB189+AB232+AB275+AB318+AB361+AB404+AB447</f>
        <v/>
      </c>
      <c r="AC484" s="189">
        <f>AC60+AC103+AC146+AC189+AC232+AC275+AC318+AC361+AC404+AC447</f>
        <v/>
      </c>
      <c r="AD484" s="189">
        <f>AD60+AD103+AD146+AD189+AD232+AD275+AD318+AD361+AD404+AD447</f>
        <v/>
      </c>
      <c r="AE484" s="189">
        <f>AE60+AE103+AE146+AE189+AE232+AE275+AE318+AE361+AE404+AE447</f>
        <v/>
      </c>
      <c r="AF484" s="189">
        <f>AF60+AF103+AF146+AF189+AF232+AF275+AF318+AF361+AF404+AF447</f>
        <v/>
      </c>
      <c r="AG484" s="189">
        <f>AG60+AG103+AG146+AG189+AG232+AG275+AG318+AG361+AG404+AG447</f>
        <v/>
      </c>
      <c r="AH484" s="189">
        <f>AH60+AH103+AH146+AH189+AH232+AH275+AH318+AH361+AH404+AH447</f>
        <v/>
      </c>
      <c r="AI484" s="51" t="inlineStr">
        <is>
          <t>U6θ</t>
        </is>
      </c>
    </row>
    <row r="485">
      <c r="B485" s="189">
        <f>B61+B104+B147+B190+B233+B276+B319+B362+B405+B448</f>
        <v/>
      </c>
      <c r="C485" s="189">
        <f>C61+C104+C147+C190+C233+C276+C319+C362+C405+C448</f>
        <v/>
      </c>
      <c r="D485" s="189">
        <f>D61+D104+D147+D190+D233+D276+D319+D362+D405+D448</f>
        <v/>
      </c>
      <c r="E485" s="189">
        <f>E61+E104+E147+E190+E233+E276+E319+E362+E405+E448</f>
        <v/>
      </c>
      <c r="F485" s="189">
        <f>F61+F104+F147+F190+F233+F276+F319+F362+F405+F448</f>
        <v/>
      </c>
      <c r="G485" s="189">
        <f>G61+G104+G147+G190+G233+G276+G319+G362+G405+G448</f>
        <v/>
      </c>
      <c r="H485" s="189">
        <f>H61+H104+H147+H190+H233+H276+H319+H362+H405+H448</f>
        <v/>
      </c>
      <c r="I485" s="189">
        <f>I61+I104+I147+I190+I233+I276+I319+I362+I405+I448</f>
        <v/>
      </c>
      <c r="J485" s="189">
        <f>J61+J104+J147+J190+J233+J276+J319+J362+J405+J448</f>
        <v/>
      </c>
      <c r="K485" s="189">
        <f>K61+K104+K147+K190+K233+K276+K319+K362+K405+K448</f>
        <v/>
      </c>
      <c r="L485" s="189">
        <f>L61+L104+L147+L190+L233+L276+L319+L362+L405+L448</f>
        <v/>
      </c>
      <c r="M485" s="189">
        <f>M61+M104+M147+M190+M233+M276+M319+M362+M405+M448</f>
        <v/>
      </c>
      <c r="N485" s="189">
        <f>N61+N104+N147+N190+N233+N276+N319+N362+N405+N448</f>
        <v/>
      </c>
      <c r="O485" s="189">
        <f>O61+O104+O147+O190+O233+O276+O319+O362+O405+O448</f>
        <v/>
      </c>
      <c r="P485" s="189">
        <f>P61+P104+P147+P190+P233+P276+P319+P362+P405+P448</f>
        <v/>
      </c>
      <c r="Q485" s="189">
        <f>Q61+Q104+Q147+Q190+Q233+Q276+Q319+Q362+Q405+Q448</f>
        <v/>
      </c>
      <c r="R485" s="189">
        <f>R61+R104+R147+R190+R233+R276+R319+R362+R405+R448</f>
        <v/>
      </c>
      <c r="S485" s="189">
        <f>S61+S104+S147+S190+S233+S276+S319+S362+S405+S448</f>
        <v/>
      </c>
      <c r="T485" s="10">
        <f>T61+T104+T147+T190+T233+T276+T319+T362+T405+T448</f>
        <v/>
      </c>
      <c r="U485" s="189">
        <f>U61+U104+U147+U190+U233+U276+U319+U362+U405+U448</f>
        <v/>
      </c>
      <c r="V485" s="189">
        <f>V61+V104+V147+V190+V233+V276+V319+V362+V405+V448</f>
        <v/>
      </c>
      <c r="W485" s="189">
        <f>W61+W104+W147+W190+W233+W276+W319+W362+W405+W448</f>
        <v/>
      </c>
      <c r="X485" s="189">
        <f>X61+X104+X147+X190+X233+X276+X319+X362+X405+X448</f>
        <v/>
      </c>
      <c r="Y485" s="189">
        <f>Y61+Y104+Y147+Y190+Y233+Y276+Y319+Y362+Y405+Y448</f>
        <v/>
      </c>
      <c r="Z485" s="189">
        <f>Z61+Z104+Z147+Z190+Z233+Z276+Z319+Z362+Z405+Z448</f>
        <v/>
      </c>
      <c r="AA485" s="189">
        <f>AA61+AA104+AA147+AA190+AA233+AA276+AA319+AA362+AA405+AA448</f>
        <v/>
      </c>
      <c r="AB485" s="189">
        <f>AB61+AB104+AB147+AB190+AB233+AB276+AB319+AB362+AB405+AB448</f>
        <v/>
      </c>
      <c r="AC485" s="189">
        <f>AC61+AC104+AC147+AC190+AC233+AC276+AC319+AC362+AC405+AC448</f>
        <v/>
      </c>
      <c r="AD485" s="189">
        <f>AD61+AD104+AD147+AD190+AD233+AD276+AD319+AD362+AD405+AD448</f>
        <v/>
      </c>
      <c r="AE485" s="189">
        <f>AE61+AE104+AE147+AE190+AE233+AE276+AE319+AE362+AE405+AE448</f>
        <v/>
      </c>
      <c r="AF485" s="189">
        <f>AF61+AF104+AF147+AF190+AF233+AF276+AF319+AF362+AF405+AF448</f>
        <v/>
      </c>
      <c r="AG485" s="189">
        <f>AG61+AG104+AG147+AG190+AG233+AG276+AG319+AG362+AG405+AG448</f>
        <v/>
      </c>
      <c r="AH485" s="189">
        <f>AH61+AH104+AH147+AH190+AH233+AH276+AH319+AH362+AH405+AH448</f>
        <v/>
      </c>
      <c r="AI485" s="51" t="inlineStr">
        <is>
          <t>U7X</t>
        </is>
      </c>
    </row>
    <row r="486">
      <c r="B486" s="189">
        <f>B62+B105+B148+B191+B234+B277+B320+B363+B406+B449</f>
        <v/>
      </c>
      <c r="C486" s="189">
        <f>C62+C105+C148+C191+C234+C277+C320+C363+C406+C449</f>
        <v/>
      </c>
      <c r="D486" s="189">
        <f>D62+D105+D148+D191+D234+D277+D320+D363+D406+D449</f>
        <v/>
      </c>
      <c r="E486" s="189">
        <f>E62+E105+E148+E191+E234+E277+E320+E363+E406+E449</f>
        <v/>
      </c>
      <c r="F486" s="189">
        <f>F62+F105+F148+F191+F234+F277+F320+F363+F406+F449</f>
        <v/>
      </c>
      <c r="G486" s="189">
        <f>G62+G105+G148+G191+G234+G277+G320+G363+G406+G449</f>
        <v/>
      </c>
      <c r="H486" s="189">
        <f>H62+H105+H148+H191+H234+H277+H320+H363+H406+H449</f>
        <v/>
      </c>
      <c r="I486" s="189">
        <f>I62+I105+I148+I191+I234+I277+I320+I363+I406+I449</f>
        <v/>
      </c>
      <c r="J486" s="189">
        <f>J62+J105+J148+J191+J234+J277+J320+J363+J406+J449</f>
        <v/>
      </c>
      <c r="K486" s="189">
        <f>K62+K105+K148+K191+K234+K277+K320+K363+K406+K449</f>
        <v/>
      </c>
      <c r="L486" s="189">
        <f>L62+L105+L148+L191+L234+L277+L320+L363+L406+L449</f>
        <v/>
      </c>
      <c r="M486" s="189">
        <f>M62+M105+M148+M191+M234+M277+M320+M363+M406+M449</f>
        <v/>
      </c>
      <c r="N486" s="189">
        <f>N62+N105+N148+N191+N234+N277+N320+N363+N406+N449</f>
        <v/>
      </c>
      <c r="O486" s="189">
        <f>O62+O105+O148+O191+O234+O277+O320+O363+O406+O449</f>
        <v/>
      </c>
      <c r="P486" s="189">
        <f>P62+P105+P148+P191+P234+P277+P320+P363+P406+P449</f>
        <v/>
      </c>
      <c r="Q486" s="189">
        <f>Q62+Q105+Q148+Q191+Q234+Q277+Q320+Q363+Q406+Q449</f>
        <v/>
      </c>
      <c r="R486" s="189">
        <f>R62+R105+R148+R191+R234+R277+R320+R363+R406+R449</f>
        <v/>
      </c>
      <c r="S486" s="189">
        <f>S62+S105+S148+S191+S234+S277+S320+S363+S406+S449</f>
        <v/>
      </c>
      <c r="T486" s="189">
        <f>T62+T105+T148+T191+T234+T277+T320+T363+T406+T449</f>
        <v/>
      </c>
      <c r="U486" s="10">
        <f>U62+U105+U148+U191+U234+U277+U320+U363+U406+U449</f>
        <v/>
      </c>
      <c r="V486" s="189">
        <f>V62+V105+V148+V191+V234+V277+V320+V363+V406+V449</f>
        <v/>
      </c>
      <c r="W486" s="189">
        <f>W62+W105+W148+W191+W234+W277+W320+W363+W406+W449</f>
        <v/>
      </c>
      <c r="X486" s="189">
        <f>X62+X105+X148+X191+X234+X277+X320+X363+X406+X449</f>
        <v/>
      </c>
      <c r="Y486" s="189">
        <f>Y62+Y105+Y148+Y191+Y234+Y277+Y320+Y363+Y406+Y449</f>
        <v/>
      </c>
      <c r="Z486" s="189">
        <f>Z62+Z105+Z148+Z191+Z234+Z277+Z320+Z363+Z406+Z449</f>
        <v/>
      </c>
      <c r="AA486" s="189">
        <f>AA62+AA105+AA148+AA191+AA234+AA277+AA320+AA363+AA406+AA449</f>
        <v/>
      </c>
      <c r="AB486" s="189">
        <f>AB62+AB105+AB148+AB191+AB234+AB277+AB320+AB363+AB406+AB449</f>
        <v/>
      </c>
      <c r="AC486" s="189">
        <f>AC62+AC105+AC148+AC191+AC234+AC277+AC320+AC363+AC406+AC449</f>
        <v/>
      </c>
      <c r="AD486" s="189">
        <f>AD62+AD105+AD148+AD191+AD234+AD277+AD320+AD363+AD406+AD449</f>
        <v/>
      </c>
      <c r="AE486" s="189">
        <f>AE62+AE105+AE148+AE191+AE234+AE277+AE320+AE363+AE406+AE449</f>
        <v/>
      </c>
      <c r="AF486" s="189">
        <f>AF62+AF105+AF148+AF191+AF234+AF277+AF320+AF363+AF406+AF449</f>
        <v/>
      </c>
      <c r="AG486" s="189">
        <f>AG62+AG105+AG148+AG191+AG234+AG277+AG320+AG363+AG406+AG449</f>
        <v/>
      </c>
      <c r="AH486" s="189">
        <f>AH62+AH105+AH148+AH191+AH234+AH277+AH320+AH363+AH406+AH449</f>
        <v/>
      </c>
      <c r="AI486" s="51" t="inlineStr">
        <is>
          <t>U7Y</t>
        </is>
      </c>
    </row>
    <row r="487">
      <c r="B487" s="189">
        <f>B63+B106+B149+B192+B235+B278+B321+B364+B407+B450</f>
        <v/>
      </c>
      <c r="C487" s="189">
        <f>C63+C106+C149+C192+C235+C278+C321+C364+C407+C450</f>
        <v/>
      </c>
      <c r="D487" s="189">
        <f>D63+D106+D149+D192+D235+D278+D321+D364+D407+D450</f>
        <v/>
      </c>
      <c r="E487" s="189">
        <f>E63+E106+E149+E192+E235+E278+E321+E364+E407+E450</f>
        <v/>
      </c>
      <c r="F487" s="189">
        <f>F63+F106+F149+F192+F235+F278+F321+F364+F407+F450</f>
        <v/>
      </c>
      <c r="G487" s="189">
        <f>G63+G106+G149+G192+G235+G278+G321+G364+G407+G450</f>
        <v/>
      </c>
      <c r="H487" s="189">
        <f>H63+H106+H149+H192+H235+H278+H321+H364+H407+H450</f>
        <v/>
      </c>
      <c r="I487" s="189">
        <f>I63+I106+I149+I192+I235+I278+I321+I364+I407+I450</f>
        <v/>
      </c>
      <c r="J487" s="189">
        <f>J63+J106+J149+J192+J235+J278+J321+J364+J407+J450</f>
        <v/>
      </c>
      <c r="K487" s="189">
        <f>K63+K106+K149+K192+K235+K278+K321+K364+K407+K450</f>
        <v/>
      </c>
      <c r="L487" s="189">
        <f>L63+L106+L149+L192+L235+L278+L321+L364+L407+L450</f>
        <v/>
      </c>
      <c r="M487" s="189">
        <f>M63+M106+M149+M192+M235+M278+M321+M364+M407+M450</f>
        <v/>
      </c>
      <c r="N487" s="189">
        <f>N63+N106+N149+N192+N235+N278+N321+N364+N407+N450</f>
        <v/>
      </c>
      <c r="O487" s="189">
        <f>O63+O106+O149+O192+O235+O278+O321+O364+O407+O450</f>
        <v/>
      </c>
      <c r="P487" s="189">
        <f>P63+P106+P149+P192+P235+P278+P321+P364+P407+P450</f>
        <v/>
      </c>
      <c r="Q487" s="189">
        <f>Q63+Q106+Q149+Q192+Q235+Q278+Q321+Q364+Q407+Q450</f>
        <v/>
      </c>
      <c r="R487" s="189">
        <f>R63+R106+R149+R192+R235+R278+R321+R364+R407+R450</f>
        <v/>
      </c>
      <c r="S487" s="189">
        <f>S63+S106+S149+S192+S235+S278+S321+S364+S407+S450</f>
        <v/>
      </c>
      <c r="T487" s="189">
        <f>T63+T106+T149+T192+T235+T278+T321+T364+T407+T450</f>
        <v/>
      </c>
      <c r="U487" s="189">
        <f>U63+U106+U149+U192+U235+U278+U321+U364+U407+U450</f>
        <v/>
      </c>
      <c r="V487" s="10">
        <f>V63+V106+V149+V192+V235+V278+V321+V364+V407+V450</f>
        <v/>
      </c>
      <c r="W487" s="189">
        <f>W63+W106+W149+W192+W235+W278+W321+W364+W407+W450</f>
        <v/>
      </c>
      <c r="X487" s="189">
        <f>X63+X106+X149+X192+X235+X278+X321+X364+X407+X450</f>
        <v/>
      </c>
      <c r="Y487" s="189">
        <f>Y63+Y106+Y149+Y192+Y235+Y278+Y321+Y364+Y407+Y450</f>
        <v/>
      </c>
      <c r="Z487" s="189">
        <f>Z63+Z106+Z149+Z192+Z235+Z278+Z321+Z364+Z407+Z450</f>
        <v/>
      </c>
      <c r="AA487" s="189">
        <f>AA63+AA106+AA149+AA192+AA235+AA278+AA321+AA364+AA407+AA450</f>
        <v/>
      </c>
      <c r="AB487" s="189">
        <f>AB63+AB106+AB149+AB192+AB235+AB278+AB321+AB364+AB407+AB450</f>
        <v/>
      </c>
      <c r="AC487" s="189">
        <f>AC63+AC106+AC149+AC192+AC235+AC278+AC321+AC364+AC407+AC450</f>
        <v/>
      </c>
      <c r="AD487" s="189">
        <f>AD63+AD106+AD149+AD192+AD235+AD278+AD321+AD364+AD407+AD450</f>
        <v/>
      </c>
      <c r="AE487" s="189">
        <f>AE63+AE106+AE149+AE192+AE235+AE278+AE321+AE364+AE407+AE450</f>
        <v/>
      </c>
      <c r="AF487" s="189">
        <f>AF63+AF106+AF149+AF192+AF235+AF278+AF321+AF364+AF407+AF450</f>
        <v/>
      </c>
      <c r="AG487" s="189">
        <f>AG63+AG106+AG149+AG192+AG235+AG278+AG321+AG364+AG407+AG450</f>
        <v/>
      </c>
      <c r="AH487" s="189">
        <f>AH63+AH106+AH149+AH192+AH235+AH278+AH321+AH364+AH407+AH450</f>
        <v/>
      </c>
      <c r="AI487" s="51" t="inlineStr">
        <is>
          <t>U7θ</t>
        </is>
      </c>
    </row>
    <row r="488">
      <c r="B488" s="189">
        <f>B64+B107+B150+B193+B236+B279+B322+B365+B408+B451</f>
        <v/>
      </c>
      <c r="C488" s="189">
        <f>C64+C107+C150+C193+C236+C279+C322+C365+C408+C451</f>
        <v/>
      </c>
      <c r="D488" s="189">
        <f>D64+D107+D150+D193+D236+D279+D322+D365+D408+D451</f>
        <v/>
      </c>
      <c r="E488" s="189">
        <f>E64+E107+E150+E193+E236+E279+E322+E365+E408+E451</f>
        <v/>
      </c>
      <c r="F488" s="189">
        <f>F64+F107+F150+F193+F236+F279+F322+F365+F408+F451</f>
        <v/>
      </c>
      <c r="G488" s="189">
        <f>G64+G107+G150+G193+G236+G279+G322+G365+G408+G451</f>
        <v/>
      </c>
      <c r="H488" s="189">
        <f>H64+H107+H150+H193+H236+H279+H322+H365+H408+H451</f>
        <v/>
      </c>
      <c r="I488" s="189">
        <f>I64+I107+I150+I193+I236+I279+I322+I365+I408+I451</f>
        <v/>
      </c>
      <c r="J488" s="189">
        <f>J64+J107+J150+J193+J236+J279+J322+J365+J408+J451</f>
        <v/>
      </c>
      <c r="K488" s="189">
        <f>K64+K107+K150+K193+K236+K279+K322+K365+K408+K451</f>
        <v/>
      </c>
      <c r="L488" s="189">
        <f>L64+L107+L150+L193+L236+L279+L322+L365+L408+L451</f>
        <v/>
      </c>
      <c r="M488" s="189">
        <f>M64+M107+M150+M193+M236+M279+M322+M365+M408+M451</f>
        <v/>
      </c>
      <c r="N488" s="189">
        <f>N64+N107+N150+N193+N236+N279+N322+N365+N408+N451</f>
        <v/>
      </c>
      <c r="O488" s="189">
        <f>O64+O107+O150+O193+O236+O279+O322+O365+O408+O451</f>
        <v/>
      </c>
      <c r="P488" s="189">
        <f>P64+P107+P150+P193+P236+P279+P322+P365+P408+P451</f>
        <v/>
      </c>
      <c r="Q488" s="189">
        <f>Q64+Q107+Q150+Q193+Q236+Q279+Q322+Q365+Q408+Q451</f>
        <v/>
      </c>
      <c r="R488" s="189">
        <f>R64+R107+R150+R193+R236+R279+R322+R365+R408+R451</f>
        <v/>
      </c>
      <c r="S488" s="189">
        <f>S64+S107+S150+S193+S236+S279+S322+S365+S408+S451</f>
        <v/>
      </c>
      <c r="T488" s="189">
        <f>T64+T107+T150+T193+T236+T279+T322+T365+T408+T451</f>
        <v/>
      </c>
      <c r="U488" s="189">
        <f>U64+U107+U150+U193+U236+U279+U322+U365+U408+U451</f>
        <v/>
      </c>
      <c r="V488" s="189">
        <f>V64+V107+V150+V193+V236+V279+V322+V365+V408+V451</f>
        <v/>
      </c>
      <c r="W488" s="10">
        <f>W64+W107+W150+W193+W236+W279+W322+W365+W408+W451</f>
        <v/>
      </c>
      <c r="X488" s="189">
        <f>X64+X107+X150+X193+X236+X279+X322+X365+X408+X451</f>
        <v/>
      </c>
      <c r="Y488" s="189">
        <f>Y64+Y107+Y150+Y193+Y236+Y279+Y322+Y365+Y408+Y451</f>
        <v/>
      </c>
      <c r="Z488" s="189">
        <f>Z64+Z107+Z150+Z193+Z236+Z279+Z322+Z365+Z408+Z451</f>
        <v/>
      </c>
      <c r="AA488" s="189">
        <f>AA64+AA107+AA150+AA193+AA236+AA279+AA322+AA365+AA408+AA451</f>
        <v/>
      </c>
      <c r="AB488" s="189">
        <f>AB64+AB107+AB150+AB193+AB236+AB279+AB322+AB365+AB408+AB451</f>
        <v/>
      </c>
      <c r="AC488" s="189">
        <f>AC64+AC107+AC150+AC193+AC236+AC279+AC322+AC365+AC408+AC451</f>
        <v/>
      </c>
      <c r="AD488" s="189">
        <f>AD64+AD107+AD150+AD193+AD236+AD279+AD322+AD365+AD408+AD451</f>
        <v/>
      </c>
      <c r="AE488" s="189">
        <f>AE64+AE107+AE150+AE193+AE236+AE279+AE322+AE365+AE408+AE451</f>
        <v/>
      </c>
      <c r="AF488" s="189">
        <f>AF64+AF107+AF150+AF193+AF236+AF279+AF322+AF365+AF408+AF451</f>
        <v/>
      </c>
      <c r="AG488" s="189">
        <f>AG64+AG107+AG150+AG193+AG236+AG279+AG322+AG365+AG408+AG451</f>
        <v/>
      </c>
      <c r="AH488" s="189">
        <f>AH64+AH107+AH150+AH193+AH236+AH279+AH322+AH365+AH408+AH451</f>
        <v/>
      </c>
      <c r="AI488" s="51" t="inlineStr">
        <is>
          <t>U8X</t>
        </is>
      </c>
    </row>
    <row r="489">
      <c r="B489" s="189">
        <f>B65+B108+B151+B194+B237+B280+B323+B366+B409+B452</f>
        <v/>
      </c>
      <c r="C489" s="189">
        <f>C65+C108+C151+C194+C237+C280+C323+C366+C409+C452</f>
        <v/>
      </c>
      <c r="D489" s="189">
        <f>D65+D108+D151+D194+D237+D280+D323+D366+D409+D452</f>
        <v/>
      </c>
      <c r="E489" s="189">
        <f>E65+E108+E151+E194+E237+E280+E323+E366+E409+E452</f>
        <v/>
      </c>
      <c r="F489" s="189">
        <f>F65+F108+F151+F194+F237+F280+F323+F366+F409+F452</f>
        <v/>
      </c>
      <c r="G489" s="189">
        <f>G65+G108+G151+G194+G237+G280+G323+G366+G409+G452</f>
        <v/>
      </c>
      <c r="H489" s="189">
        <f>H65+H108+H151+H194+H237+H280+H323+H366+H409+H452</f>
        <v/>
      </c>
      <c r="I489" s="189">
        <f>I65+I108+I151+I194+I237+I280+I323+I366+I409+I452</f>
        <v/>
      </c>
      <c r="J489" s="189">
        <f>J65+J108+J151+J194+J237+J280+J323+J366+J409+J452</f>
        <v/>
      </c>
      <c r="K489" s="189">
        <f>K65+K108+K151+K194+K237+K280+K323+K366+K409+K452</f>
        <v/>
      </c>
      <c r="L489" s="189">
        <f>L65+L108+L151+L194+L237+L280+L323+L366+L409+L452</f>
        <v/>
      </c>
      <c r="M489" s="189">
        <f>M65+M108+M151+M194+M237+M280+M323+M366+M409+M452</f>
        <v/>
      </c>
      <c r="N489" s="189">
        <f>N65+N108+N151+N194+N237+N280+N323+N366+N409+N452</f>
        <v/>
      </c>
      <c r="O489" s="189">
        <f>O65+O108+O151+O194+O237+O280+O323+O366+O409+O452</f>
        <v/>
      </c>
      <c r="P489" s="189">
        <f>P65+P108+P151+P194+P237+P280+P323+P366+P409+P452</f>
        <v/>
      </c>
      <c r="Q489" s="189">
        <f>Q65+Q108+Q151+Q194+Q237+Q280+Q323+Q366+Q409+Q452</f>
        <v/>
      </c>
      <c r="R489" s="189">
        <f>R65+R108+R151+R194+R237+R280+R323+R366+R409+R452</f>
        <v/>
      </c>
      <c r="S489" s="189">
        <f>S65+S108+S151+S194+S237+S280+S323+S366+S409+S452</f>
        <v/>
      </c>
      <c r="T489" s="189">
        <f>T65+T108+T151+T194+T237+T280+T323+T366+T409+T452</f>
        <v/>
      </c>
      <c r="U489" s="189">
        <f>U65+U108+U151+U194+U237+U280+U323+U366+U409+U452</f>
        <v/>
      </c>
      <c r="V489" s="189">
        <f>V65+V108+V151+V194+V237+V280+V323+V366+V409+V452</f>
        <v/>
      </c>
      <c r="W489" s="189">
        <f>W65+W108+W151+W194+W237+W280+W323+W366+W409+W452</f>
        <v/>
      </c>
      <c r="X489" s="10">
        <f>X65+X108+X151+X194+X237+X280+X323+X366+X409+X452</f>
        <v/>
      </c>
      <c r="Y489" s="189">
        <f>Y65+Y108+Y151+Y194+Y237+Y280+Y323+Y366+Y409+Y452</f>
        <v/>
      </c>
      <c r="Z489" s="189">
        <f>Z65+Z108+Z151+Z194+Z237+Z280+Z323+Z366+Z409+Z452</f>
        <v/>
      </c>
      <c r="AA489" s="189">
        <f>AA65+AA108+AA151+AA194+AA237+AA280+AA323+AA366+AA409+AA452</f>
        <v/>
      </c>
      <c r="AB489" s="189">
        <f>AB65+AB108+AB151+AB194+AB237+AB280+AB323+AB366+AB409+AB452</f>
        <v/>
      </c>
      <c r="AC489" s="189">
        <f>AC65+AC108+AC151+AC194+AC237+AC280+AC323+AC366+AC409+AC452</f>
        <v/>
      </c>
      <c r="AD489" s="189">
        <f>AD65+AD108+AD151+AD194+AD237+AD280+AD323+AD366+AD409+AD452</f>
        <v/>
      </c>
      <c r="AE489" s="189">
        <f>AE65+AE108+AE151+AE194+AE237+AE280+AE323+AE366+AE409+AE452</f>
        <v/>
      </c>
      <c r="AF489" s="189">
        <f>AF65+AF108+AF151+AF194+AF237+AF280+AF323+AF366+AF409+AF452</f>
        <v/>
      </c>
      <c r="AG489" s="189">
        <f>AG65+AG108+AG151+AG194+AG237+AG280+AG323+AG366+AG409+AG452</f>
        <v/>
      </c>
      <c r="AH489" s="189">
        <f>AH65+AH108+AH151+AH194+AH237+AH280+AH323+AH366+AH409+AH452</f>
        <v/>
      </c>
      <c r="AI489" s="51" t="inlineStr">
        <is>
          <t>U8Y</t>
        </is>
      </c>
    </row>
    <row r="490">
      <c r="B490" s="189">
        <f>B66+B109+B152+B195+B238+B281+B324+B367+B410+B453</f>
        <v/>
      </c>
      <c r="C490" s="189">
        <f>C66+C109+C152+C195+C238+C281+C324+C367+C410+C453</f>
        <v/>
      </c>
      <c r="D490" s="189">
        <f>D66+D109+D152+D195+D238+D281+D324+D367+D410+D453</f>
        <v/>
      </c>
      <c r="E490" s="189">
        <f>E66+E109+E152+E195+E238+E281+E324+E367+E410+E453</f>
        <v/>
      </c>
      <c r="F490" s="189">
        <f>F66+F109+F152+F195+F238+F281+F324+F367+F410+F453</f>
        <v/>
      </c>
      <c r="G490" s="189">
        <f>G66+G109+G152+G195+G238+G281+G324+G367+G410+G453</f>
        <v/>
      </c>
      <c r="H490" s="189">
        <f>H66+H109+H152+H195+H238+H281+H324+H367+H410+H453</f>
        <v/>
      </c>
      <c r="I490" s="189">
        <f>I66+I109+I152+I195+I238+I281+I324+I367+I410+I453</f>
        <v/>
      </c>
      <c r="J490" s="189">
        <f>J66+J109+J152+J195+J238+J281+J324+J367+J410+J453</f>
        <v/>
      </c>
      <c r="K490" s="189">
        <f>K66+K109+K152+K195+K238+K281+K324+K367+K410+K453</f>
        <v/>
      </c>
      <c r="L490" s="189">
        <f>L66+L109+L152+L195+L238+L281+L324+L367+L410+L453</f>
        <v/>
      </c>
      <c r="M490" s="189">
        <f>M66+M109+M152+M195+M238+M281+M324+M367+M410+M453</f>
        <v/>
      </c>
      <c r="N490" s="189">
        <f>N66+N109+N152+N195+N238+N281+N324+N367+N410+N453</f>
        <v/>
      </c>
      <c r="O490" s="189">
        <f>O66+O109+O152+O195+O238+O281+O324+O367+O410+O453</f>
        <v/>
      </c>
      <c r="P490" s="189">
        <f>P66+P109+P152+P195+P238+P281+P324+P367+P410+P453</f>
        <v/>
      </c>
      <c r="Q490" s="189">
        <f>Q66+Q109+Q152+Q195+Q238+Q281+Q324+Q367+Q410+Q453</f>
        <v/>
      </c>
      <c r="R490" s="189">
        <f>R66+R109+R152+R195+R238+R281+R324+R367+R410+R453</f>
        <v/>
      </c>
      <c r="S490" s="189">
        <f>S66+S109+S152+S195+S238+S281+S324+S367+S410+S453</f>
        <v/>
      </c>
      <c r="T490" s="189">
        <f>T66+T109+T152+T195+T238+T281+T324+T367+T410+T453</f>
        <v/>
      </c>
      <c r="U490" s="189">
        <f>U66+U109+U152+U195+U238+U281+U324+U367+U410+U453</f>
        <v/>
      </c>
      <c r="V490" s="189">
        <f>V66+V109+V152+V195+V238+V281+V324+V367+V410+V453</f>
        <v/>
      </c>
      <c r="W490" s="189">
        <f>W66+W109+W152+W195+W238+W281+W324+W367+W410+W453</f>
        <v/>
      </c>
      <c r="X490" s="189">
        <f>X66+X109+X152+X195+X238+X281+X324+X367+X410+X453</f>
        <v/>
      </c>
      <c r="Y490" s="10">
        <f>Y66+Y109+Y152+Y195+Y238+Y281+Y324+Y367+Y410+Y453</f>
        <v/>
      </c>
      <c r="Z490" s="189">
        <f>Z66+Z109+Z152+Z195+Z238+Z281+Z324+Z367+Z410+Z453</f>
        <v/>
      </c>
      <c r="AA490" s="189">
        <f>AA66+AA109+AA152+AA195+AA238+AA281+AA324+AA367+AA410+AA453</f>
        <v/>
      </c>
      <c r="AB490" s="189">
        <f>AB66+AB109+AB152+AB195+AB238+AB281+AB324+AB367+AB410+AB453</f>
        <v/>
      </c>
      <c r="AC490" s="189">
        <f>AC66+AC109+AC152+AC195+AC238+AC281+AC324+AC367+AC410+AC453</f>
        <v/>
      </c>
      <c r="AD490" s="189">
        <f>AD66+AD109+AD152+AD195+AD238+AD281+AD324+AD367+AD410+AD453</f>
        <v/>
      </c>
      <c r="AE490" s="189">
        <f>AE66+AE109+AE152+AE195+AE238+AE281+AE324+AE367+AE410+AE453</f>
        <v/>
      </c>
      <c r="AF490" s="189">
        <f>AF66+AF109+AF152+AF195+AF238+AF281+AF324+AF367+AF410+AF453</f>
        <v/>
      </c>
      <c r="AG490" s="189">
        <f>AG66+AG109+AG152+AG195+AG238+AG281+AG324+AG367+AG410+AG453</f>
        <v/>
      </c>
      <c r="AH490" s="189">
        <f>AH66+AH109+AH152+AH195+AH238+AH281+AH324+AH367+AH410+AH453</f>
        <v/>
      </c>
      <c r="AI490" s="51" t="inlineStr">
        <is>
          <t>U8θ</t>
        </is>
      </c>
    </row>
    <row r="491">
      <c r="B491" s="189">
        <f>B67+B110+B153+B196+B239+B282+B325+B368+B411+B454</f>
        <v/>
      </c>
      <c r="C491" s="189">
        <f>C67+C110+C153+C196+C239+C282+C325+C368+C411+C454</f>
        <v/>
      </c>
      <c r="D491" s="189">
        <f>D67+D110+D153+D196+D239+D282+D325+D368+D411+D454</f>
        <v/>
      </c>
      <c r="E491" s="189">
        <f>E67+E110+E153+E196+E239+E282+E325+E368+E411+E454</f>
        <v/>
      </c>
      <c r="F491" s="189">
        <f>F67+F110+F153+F196+F239+F282+F325+F368+F411+F454</f>
        <v/>
      </c>
      <c r="G491" s="189">
        <f>G67+G110+G153+G196+G239+G282+G325+G368+G411+G454</f>
        <v/>
      </c>
      <c r="H491" s="189">
        <f>H67+H110+H153+H196+H239+H282+H325+H368+H411+H454</f>
        <v/>
      </c>
      <c r="I491" s="189">
        <f>I67+I110+I153+I196+I239+I282+I325+I368+I411+I454</f>
        <v/>
      </c>
      <c r="J491" s="189">
        <f>J67+J110+J153+J196+J239+J282+J325+J368+J411+J454</f>
        <v/>
      </c>
      <c r="K491" s="189">
        <f>K67+K110+K153+K196+K239+K282+K325+K368+K411+K454</f>
        <v/>
      </c>
      <c r="L491" s="189">
        <f>L67+L110+L153+L196+L239+L282+L325+L368+L411+L454</f>
        <v/>
      </c>
      <c r="M491" s="189">
        <f>M67+M110+M153+M196+M239+M282+M325+M368+M411+M454</f>
        <v/>
      </c>
      <c r="N491" s="189">
        <f>N67+N110+N153+N196+N239+N282+N325+N368+N411+N454</f>
        <v/>
      </c>
      <c r="O491" s="189">
        <f>O67+O110+O153+O196+O239+O282+O325+O368+O411+O454</f>
        <v/>
      </c>
      <c r="P491" s="189">
        <f>P67+P110+P153+P196+P239+P282+P325+P368+P411+P454</f>
        <v/>
      </c>
      <c r="Q491" s="189">
        <f>Q67+Q110+Q153+Q196+Q239+Q282+Q325+Q368+Q411+Q454</f>
        <v/>
      </c>
      <c r="R491" s="189">
        <f>R67+R110+R153+R196+R239+R282+R325+R368+R411+R454</f>
        <v/>
      </c>
      <c r="S491" s="189">
        <f>S67+S110+S153+S196+S239+S282+S325+S368+S411+S454</f>
        <v/>
      </c>
      <c r="T491" s="189">
        <f>T67+T110+T153+T196+T239+T282+T325+T368+T411+T454</f>
        <v/>
      </c>
      <c r="U491" s="189">
        <f>U67+U110+U153+U196+U239+U282+U325+U368+U411+U454</f>
        <v/>
      </c>
      <c r="V491" s="189">
        <f>V67+V110+V153+V196+V239+V282+V325+V368+V411+V454</f>
        <v/>
      </c>
      <c r="W491" s="189">
        <f>W67+W110+W153+W196+W239+W282+W325+W368+W411+W454</f>
        <v/>
      </c>
      <c r="X491" s="189">
        <f>X67+X110+X153+X196+X239+X282+X325+X368+X411+X454</f>
        <v/>
      </c>
      <c r="Y491" s="189">
        <f>Y67+Y110+Y153+Y196+Y239+Y282+Y325+Y368+Y411+Y454</f>
        <v/>
      </c>
      <c r="Z491" s="10">
        <f>Z67+Z110+Z153+Z196+Z239+Z282+Z325+Z368+Z411+Z454</f>
        <v/>
      </c>
      <c r="AA491" s="189">
        <f>AA67+AA110+AA153+AA196+AA239+AA282+AA325+AA368+AA411+AA454</f>
        <v/>
      </c>
      <c r="AB491" s="189">
        <f>AB67+AB110+AB153+AB196+AB239+AB282+AB325+AB368+AB411+AB454</f>
        <v/>
      </c>
      <c r="AC491" s="189">
        <f>AC67+AC110+AC153+AC196+AC239+AC282+AC325+AC368+AC411+AC454</f>
        <v/>
      </c>
      <c r="AD491" s="189">
        <f>AD67+AD110+AD153+AD196+AD239+AD282+AD325+AD368+AD411+AD454</f>
        <v/>
      </c>
      <c r="AE491" s="189">
        <f>AE67+AE110+AE153+AE196+AE239+AE282+AE325+AE368+AE411+AE454</f>
        <v/>
      </c>
      <c r="AF491" s="189">
        <f>AF67+AF110+AF153+AF196+AF239+AF282+AF325+AF368+AF411+AF454</f>
        <v/>
      </c>
      <c r="AG491" s="189">
        <f>AG67+AG110+AG153+AG196+AG239+AG282+AG325+AG368+AG411+AG454</f>
        <v/>
      </c>
      <c r="AH491" s="189">
        <f>AH67+AH110+AH153+AH196+AH239+AH282+AH325+AH368+AH411+AH454</f>
        <v/>
      </c>
      <c r="AI491" s="51" t="inlineStr">
        <is>
          <t>U9X</t>
        </is>
      </c>
    </row>
    <row r="492">
      <c r="B492" s="189">
        <f>B68+B111+B154+B197+B240+B283+B326+B369+B412+B455</f>
        <v/>
      </c>
      <c r="C492" s="189">
        <f>C68+C111+C154+C197+C240+C283+C326+C369+C412+C455</f>
        <v/>
      </c>
      <c r="D492" s="189">
        <f>D68+D111+D154+D197+D240+D283+D326+D369+D412+D455</f>
        <v/>
      </c>
      <c r="E492" s="189">
        <f>E68+E111+E154+E197+E240+E283+E326+E369+E412+E455</f>
        <v/>
      </c>
      <c r="F492" s="189">
        <f>F68+F111+F154+F197+F240+F283+F326+F369+F412+F455</f>
        <v/>
      </c>
      <c r="G492" s="189">
        <f>G68+G111+G154+G197+G240+G283+G326+G369+G412+G455</f>
        <v/>
      </c>
      <c r="H492" s="189">
        <f>H68+H111+H154+H197+H240+H283+H326+H369+H412+H455</f>
        <v/>
      </c>
      <c r="I492" s="189">
        <f>I68+I111+I154+I197+I240+I283+I326+I369+I412+I455</f>
        <v/>
      </c>
      <c r="J492" s="189">
        <f>J68+J111+J154+J197+J240+J283+J326+J369+J412+J455</f>
        <v/>
      </c>
      <c r="K492" s="189">
        <f>K68+K111+K154+K197+K240+K283+K326+K369+K412+K455</f>
        <v/>
      </c>
      <c r="L492" s="189">
        <f>L68+L111+L154+L197+L240+L283+L326+L369+L412+L455</f>
        <v/>
      </c>
      <c r="M492" s="189">
        <f>M68+M111+M154+M197+M240+M283+M326+M369+M412+M455</f>
        <v/>
      </c>
      <c r="N492" s="189">
        <f>N68+N111+N154+N197+N240+N283+N326+N369+N412+N455</f>
        <v/>
      </c>
      <c r="O492" s="189">
        <f>O68+O111+O154+O197+O240+O283+O326+O369+O412+O455</f>
        <v/>
      </c>
      <c r="P492" s="189">
        <f>P68+P111+P154+P197+P240+P283+P326+P369+P412+P455</f>
        <v/>
      </c>
      <c r="Q492" s="189">
        <f>Q68+Q111+Q154+Q197+Q240+Q283+Q326+Q369+Q412+Q455</f>
        <v/>
      </c>
      <c r="R492" s="189">
        <f>R68+R111+R154+R197+R240+R283+R326+R369+R412+R455</f>
        <v/>
      </c>
      <c r="S492" s="189">
        <f>S68+S111+S154+S197+S240+S283+S326+S369+S412+S455</f>
        <v/>
      </c>
      <c r="T492" s="189">
        <f>T68+T111+T154+T197+T240+T283+T326+T369+T412+T455</f>
        <v/>
      </c>
      <c r="U492" s="189">
        <f>U68+U111+U154+U197+U240+U283+U326+U369+U412+U455</f>
        <v/>
      </c>
      <c r="V492" s="189">
        <f>V68+V111+V154+V197+V240+V283+V326+V369+V412+V455</f>
        <v/>
      </c>
      <c r="W492" s="189">
        <f>W68+W111+W154+W197+W240+W283+W326+W369+W412+W455</f>
        <v/>
      </c>
      <c r="X492" s="189">
        <f>X68+X111+X154+X197+X240+X283+X326+X369+X412+X455</f>
        <v/>
      </c>
      <c r="Y492" s="189">
        <f>Y68+Y111+Y154+Y197+Y240+Y283+Y326+Y369+Y412+Y455</f>
        <v/>
      </c>
      <c r="Z492" s="189">
        <f>Z68+Z111+Z154+Z197+Z240+Z283+Z326+Z369+Z412+Z455</f>
        <v/>
      </c>
      <c r="AA492" s="10">
        <f>AA68+AA111+AA154+AA197+AA240+AA283+AA326+AA369+AA412+AA455</f>
        <v/>
      </c>
      <c r="AB492" s="189">
        <f>AB68+AB111+AB154+AB197+AB240+AB283+AB326+AB369+AB412+AB455</f>
        <v/>
      </c>
      <c r="AC492" s="189">
        <f>AC68+AC111+AC154+AC197+AC240+AC283+AC326+AC369+AC412+AC455</f>
        <v/>
      </c>
      <c r="AD492" s="189">
        <f>AD68+AD111+AD154+AD197+AD240+AD283+AD326+AD369+AD412+AD455</f>
        <v/>
      </c>
      <c r="AE492" s="189">
        <f>AE68+AE111+AE154+AE197+AE240+AE283+AE326+AE369+AE412+AE455</f>
        <v/>
      </c>
      <c r="AF492" s="189">
        <f>AF68+AF111+AF154+AF197+AF240+AF283+AF326+AF369+AF412+AF455</f>
        <v/>
      </c>
      <c r="AG492" s="189">
        <f>AG68+AG111+AG154+AG197+AG240+AG283+AG326+AG369+AG412+AG455</f>
        <v/>
      </c>
      <c r="AH492" s="189">
        <f>AH68+AH111+AH154+AH197+AH240+AH283+AH326+AH369+AH412+AH455</f>
        <v/>
      </c>
      <c r="AI492" s="51" t="inlineStr">
        <is>
          <t>U9Y</t>
        </is>
      </c>
    </row>
    <row r="493">
      <c r="B493" s="189">
        <f>B69+B112+B155+B198+B241+B284+B327+B370+B413+B456</f>
        <v/>
      </c>
      <c r="C493" s="189">
        <f>C69+C112+C155+C198+C241+C284+C327+C370+C413+C456</f>
        <v/>
      </c>
      <c r="D493" s="189">
        <f>D69+D112+D155+D198+D241+D284+D327+D370+D413+D456</f>
        <v/>
      </c>
      <c r="E493" s="189">
        <f>E69+E112+E155+E198+E241+E284+E327+E370+E413+E456</f>
        <v/>
      </c>
      <c r="F493" s="189">
        <f>F69+F112+F155+F198+F241+F284+F327+F370+F413+F456</f>
        <v/>
      </c>
      <c r="G493" s="189">
        <f>G69+G112+G155+G198+G241+G284+G327+G370+G413+G456</f>
        <v/>
      </c>
      <c r="H493" s="189">
        <f>H69+H112+H155+H198+H241+H284+H327+H370+H413+H456</f>
        <v/>
      </c>
      <c r="I493" s="189">
        <f>I69+I112+I155+I198+I241+I284+I327+I370+I413+I456</f>
        <v/>
      </c>
      <c r="J493" s="189">
        <f>J69+J112+J155+J198+J241+J284+J327+J370+J413+J456</f>
        <v/>
      </c>
      <c r="K493" s="189">
        <f>K69+K112+K155+K198+K241+K284+K327+K370+K413+K456</f>
        <v/>
      </c>
      <c r="L493" s="189">
        <f>L69+L112+L155+L198+L241+L284+L327+L370+L413+L456</f>
        <v/>
      </c>
      <c r="M493" s="189">
        <f>M69+M112+M155+M198+M241+M284+M327+M370+M413+M456</f>
        <v/>
      </c>
      <c r="N493" s="189">
        <f>N69+N112+N155+N198+N241+N284+N327+N370+N413+N456</f>
        <v/>
      </c>
      <c r="O493" s="189">
        <f>O69+O112+O155+O198+O241+O284+O327+O370+O413+O456</f>
        <v/>
      </c>
      <c r="P493" s="189">
        <f>P69+P112+P155+P198+P241+P284+P327+P370+P413+P456</f>
        <v/>
      </c>
      <c r="Q493" s="189">
        <f>Q69+Q112+Q155+Q198+Q241+Q284+Q327+Q370+Q413+Q456</f>
        <v/>
      </c>
      <c r="R493" s="189">
        <f>R69+R112+R155+R198+R241+R284+R327+R370+R413+R456</f>
        <v/>
      </c>
      <c r="S493" s="189">
        <f>S69+S112+S155+S198+S241+S284+S327+S370+S413+S456</f>
        <v/>
      </c>
      <c r="T493" s="189">
        <f>T69+T112+T155+T198+T241+T284+T327+T370+T413+T456</f>
        <v/>
      </c>
      <c r="U493" s="189">
        <f>U69+U112+U155+U198+U241+U284+U327+U370+U413+U456</f>
        <v/>
      </c>
      <c r="V493" s="189">
        <f>V69+V112+V155+V198+V241+V284+V327+V370+V413+V456</f>
        <v/>
      </c>
      <c r="W493" s="189">
        <f>W69+W112+W155+W198+W241+W284+W327+W370+W413+W456</f>
        <v/>
      </c>
      <c r="X493" s="189">
        <f>X69+X112+X155+X198+X241+X284+X327+X370+X413+X456</f>
        <v/>
      </c>
      <c r="Y493" s="189">
        <f>Y69+Y112+Y155+Y198+Y241+Y284+Y327+Y370+Y413+Y456</f>
        <v/>
      </c>
      <c r="Z493" s="189">
        <f>Z69+Z112+Z155+Z198+Z241+Z284+Z327+Z370+Z413+Z456</f>
        <v/>
      </c>
      <c r="AA493" s="189">
        <f>AA69+AA112+AA155+AA198+AA241+AA284+AA327+AA370+AA413+AA456</f>
        <v/>
      </c>
      <c r="AB493" s="10">
        <f>AB69+AB112+AB155+AB198+AB241+AB284+AB327+AB370+AB413+AB456</f>
        <v/>
      </c>
      <c r="AC493" s="189">
        <f>AC69+AC112+AC155+AC198+AC241+AC284+AC327+AC370+AC413+AC456</f>
        <v/>
      </c>
      <c r="AD493" s="189">
        <f>AD69+AD112+AD155+AD198+AD241+AD284+AD327+AD370+AD413+AD456</f>
        <v/>
      </c>
      <c r="AE493" s="189">
        <f>AE69+AE112+AE155+AE198+AE241+AE284+AE327+AE370+AE413+AE456</f>
        <v/>
      </c>
      <c r="AF493" s="189">
        <f>AF69+AF112+AF155+AF198+AF241+AF284+AF327+AF370+AF413+AF456</f>
        <v/>
      </c>
      <c r="AG493" s="189">
        <f>AG69+AG112+AG155+AG198+AG241+AG284+AG327+AG370+AG413+AG456</f>
        <v/>
      </c>
      <c r="AH493" s="189">
        <f>AH69+AH112+AH155+AH198+AH241+AH284+AH327+AH370+AH413+AH456</f>
        <v/>
      </c>
      <c r="AI493" s="51" t="inlineStr">
        <is>
          <t>U9θ</t>
        </is>
      </c>
    </row>
    <row r="494">
      <c r="B494" s="189">
        <f>B70+B113+B156+B199+B242+B285+B328+B371+B414+B457</f>
        <v/>
      </c>
      <c r="C494" s="189">
        <f>C70+C113+C156+C199+C242+C285+C328+C371+C414+C457</f>
        <v/>
      </c>
      <c r="D494" s="189">
        <f>D70+D113+D156+D199+D242+D285+D328+D371+D414+D457</f>
        <v/>
      </c>
      <c r="E494" s="189">
        <f>E70+E113+E156+E199+E242+E285+E328+E371+E414+E457</f>
        <v/>
      </c>
      <c r="F494" s="189">
        <f>F70+F113+F156+F199+F242+F285+F328+F371+F414+F457</f>
        <v/>
      </c>
      <c r="G494" s="189">
        <f>G70+G113+G156+G199+G242+G285+G328+G371+G414+G457</f>
        <v/>
      </c>
      <c r="H494" s="189">
        <f>H70+H113+H156+H199+H242+H285+H328+H371+H414+H457</f>
        <v/>
      </c>
      <c r="I494" s="189">
        <f>I70+I113+I156+I199+I242+I285+I328+I371+I414+I457</f>
        <v/>
      </c>
      <c r="J494" s="189">
        <f>J70+J113+J156+J199+J242+J285+J328+J371+J414+J457</f>
        <v/>
      </c>
      <c r="K494" s="189">
        <f>K70+K113+K156+K199+K242+K285+K328+K371+K414+K457</f>
        <v/>
      </c>
      <c r="L494" s="189">
        <f>L70+L113+L156+L199+L242+L285+L328+L371+L414+L457</f>
        <v/>
      </c>
      <c r="M494" s="189">
        <f>M70+M113+M156+M199+M242+M285+M328+M371+M414+M457</f>
        <v/>
      </c>
      <c r="N494" s="189">
        <f>N70+N113+N156+N199+N242+N285+N328+N371+N414+N457</f>
        <v/>
      </c>
      <c r="O494" s="189">
        <f>O70+O113+O156+O199+O242+O285+O328+O371+O414+O457</f>
        <v/>
      </c>
      <c r="P494" s="189">
        <f>P70+P113+P156+P199+P242+P285+P328+P371+P414+P457</f>
        <v/>
      </c>
      <c r="Q494" s="189">
        <f>Q70+Q113+Q156+Q199+Q242+Q285+Q328+Q371+Q414+Q457</f>
        <v/>
      </c>
      <c r="R494" s="189">
        <f>R70+R113+R156+R199+R242+R285+R328+R371+R414+R457</f>
        <v/>
      </c>
      <c r="S494" s="189">
        <f>S70+S113+S156+S199+S242+S285+S328+S371+S414+S457</f>
        <v/>
      </c>
      <c r="T494" s="189">
        <f>T70+T113+T156+T199+T242+T285+T328+T371+T414+T457</f>
        <v/>
      </c>
      <c r="U494" s="189">
        <f>U70+U113+U156+U199+U242+U285+U328+U371+U414+U457</f>
        <v/>
      </c>
      <c r="V494" s="189">
        <f>V70+V113+V156+V199+V242+V285+V328+V371+V414+V457</f>
        <v/>
      </c>
      <c r="W494" s="189">
        <f>W70+W113+W156+W199+W242+W285+W328+W371+W414+W457</f>
        <v/>
      </c>
      <c r="X494" s="189">
        <f>X70+X113+X156+X199+X242+X285+X328+X371+X414+X457</f>
        <v/>
      </c>
      <c r="Y494" s="189">
        <f>Y70+Y113+Y156+Y199+Y242+Y285+Y328+Y371+Y414+Y457</f>
        <v/>
      </c>
      <c r="Z494" s="189">
        <f>Z70+Z113+Z156+Z199+Z242+Z285+Z328+Z371+Z414+Z457</f>
        <v/>
      </c>
      <c r="AA494" s="189">
        <f>AA70+AA113+AA156+AA199+AA242+AA285+AA328+AA371+AA414+AA457</f>
        <v/>
      </c>
      <c r="AB494" s="189">
        <f>AB70+AB113+AB156+AB199+AB242+AB285+AB328+AB371+AB414+AB457</f>
        <v/>
      </c>
      <c r="AC494" s="10">
        <f>AC70+AC113+AC156+AC199+AC242+AC285+AC328+AC371+AC414+AC457</f>
        <v/>
      </c>
      <c r="AD494" s="189">
        <f>AD70+AD113+AD156+AD199+AD242+AD285+AD328+AD371+AD414+AD457</f>
        <v/>
      </c>
      <c r="AE494" s="189">
        <f>AE70+AE113+AE156+AE199+AE242+AE285+AE328+AE371+AE414+AE457</f>
        <v/>
      </c>
      <c r="AF494" s="189">
        <f>AF70+AF113+AF156+AF199+AF242+AF285+AF328+AF371+AF414+AF457</f>
        <v/>
      </c>
      <c r="AG494" s="189">
        <f>AG70+AG113+AG156+AG199+AG242+AG285+AG328+AG371+AG414+AG457</f>
        <v/>
      </c>
      <c r="AH494" s="189">
        <f>AH70+AH113+AH156+AH199+AH242+AH285+AH328+AH371+AH414+AH457</f>
        <v/>
      </c>
      <c r="AI494" s="51" t="inlineStr">
        <is>
          <t>U10X</t>
        </is>
      </c>
    </row>
    <row r="495">
      <c r="B495" s="189">
        <f>B71+B114+B157+B200+B243+B286+B329+B372+B415+B458</f>
        <v/>
      </c>
      <c r="C495" s="189">
        <f>C71+C114+C157+C200+C243+C286+C329+C372+C415+C458</f>
        <v/>
      </c>
      <c r="D495" s="189">
        <f>D71+D114+D157+D200+D243+D286+D329+D372+D415+D458</f>
        <v/>
      </c>
      <c r="E495" s="189">
        <f>E71+E114+E157+E200+E243+E286+E329+E372+E415+E458</f>
        <v/>
      </c>
      <c r="F495" s="189">
        <f>F71+F114+F157+F200+F243+F286+F329+F372+F415+F458</f>
        <v/>
      </c>
      <c r="G495" s="189">
        <f>G71+G114+G157+G200+G243+G286+G329+G372+G415+G458</f>
        <v/>
      </c>
      <c r="H495" s="189">
        <f>H71+H114+H157+H200+H243+H286+H329+H372+H415+H458</f>
        <v/>
      </c>
      <c r="I495" s="189">
        <f>I71+I114+I157+I200+I243+I286+I329+I372+I415+I458</f>
        <v/>
      </c>
      <c r="J495" s="189">
        <f>J71+J114+J157+J200+J243+J286+J329+J372+J415+J458</f>
        <v/>
      </c>
      <c r="K495" s="189">
        <f>K71+K114+K157+K200+K243+K286+K329+K372+K415+K458</f>
        <v/>
      </c>
      <c r="L495" s="189">
        <f>L71+L114+L157+L200+L243+L286+L329+L372+L415+L458</f>
        <v/>
      </c>
      <c r="M495" s="189">
        <f>M71+M114+M157+M200+M243+M286+M329+M372+M415+M458</f>
        <v/>
      </c>
      <c r="N495" s="189">
        <f>N71+N114+N157+N200+N243+N286+N329+N372+N415+N458</f>
        <v/>
      </c>
      <c r="O495" s="189">
        <f>O71+O114+O157+O200+O243+O286+O329+O372+O415+O458</f>
        <v/>
      </c>
      <c r="P495" s="189">
        <f>P71+P114+P157+P200+P243+P286+P329+P372+P415+P458</f>
        <v/>
      </c>
      <c r="Q495" s="189">
        <f>Q71+Q114+Q157+Q200+Q243+Q286+Q329+Q372+Q415+Q458</f>
        <v/>
      </c>
      <c r="R495" s="189">
        <f>R71+R114+R157+R200+R243+R286+R329+R372+R415+R458</f>
        <v/>
      </c>
      <c r="S495" s="189">
        <f>S71+S114+S157+S200+S243+S286+S329+S372+S415+S458</f>
        <v/>
      </c>
      <c r="T495" s="189">
        <f>T71+T114+T157+T200+T243+T286+T329+T372+T415+T458</f>
        <v/>
      </c>
      <c r="U495" s="189">
        <f>U71+U114+U157+U200+U243+U286+U329+U372+U415+U458</f>
        <v/>
      </c>
      <c r="V495" s="189">
        <f>V71+V114+V157+V200+V243+V286+V329+V372+V415+V458</f>
        <v/>
      </c>
      <c r="W495" s="189">
        <f>W71+W114+W157+W200+W243+W286+W329+W372+W415+W458</f>
        <v/>
      </c>
      <c r="X495" s="189">
        <f>X71+X114+X157+X200+X243+X286+X329+X372+X415+X458</f>
        <v/>
      </c>
      <c r="Y495" s="189">
        <f>Y71+Y114+Y157+Y200+Y243+Y286+Y329+Y372+Y415+Y458</f>
        <v/>
      </c>
      <c r="Z495" s="189">
        <f>Z71+Z114+Z157+Z200+Z243+Z286+Z329+Z372+Z415+Z458</f>
        <v/>
      </c>
      <c r="AA495" s="189">
        <f>AA71+AA114+AA157+AA200+AA243+AA286+AA329+AA372+AA415+AA458</f>
        <v/>
      </c>
      <c r="AB495" s="189">
        <f>AB71+AB114+AB157+AB200+AB243+AB286+AB329+AB372+AB415+AB458</f>
        <v/>
      </c>
      <c r="AC495" s="189">
        <f>AC71+AC114+AC157+AC200+AC243+AC286+AC329+AC372+AC415+AC458</f>
        <v/>
      </c>
      <c r="AD495" s="10">
        <f>AD71+AD114+AD157+AD200+AD243+AD286+AD329+AD372+AD415+AD458</f>
        <v/>
      </c>
      <c r="AE495" s="189">
        <f>AE71+AE114+AE157+AE200+AE243+AE286+AE329+AE372+AE415+AE458</f>
        <v/>
      </c>
      <c r="AF495" s="189">
        <f>AF71+AF114+AF157+AF200+AF243+AF286+AF329+AF372+AF415+AF458</f>
        <v/>
      </c>
      <c r="AG495" s="189">
        <f>AG71+AG114+AG157+AG200+AG243+AG286+AG329+AG372+AG415+AG458</f>
        <v/>
      </c>
      <c r="AH495" s="189">
        <f>AH71+AH114+AH157+AH200+AH243+AH286+AH329+AH372+AH415+AH458</f>
        <v/>
      </c>
      <c r="AI495" s="51" t="inlineStr">
        <is>
          <t>U10Y</t>
        </is>
      </c>
    </row>
    <row r="496">
      <c r="B496" s="189">
        <f>B72+B115+B158+B201+B244+B287+B330+B373+B416+B459</f>
        <v/>
      </c>
      <c r="C496" s="189">
        <f>C72+C115+C158+C201+C244+C287+C330+C373+C416+C459</f>
        <v/>
      </c>
      <c r="D496" s="189">
        <f>D72+D115+D158+D201+D244+D287+D330+D373+D416+D459</f>
        <v/>
      </c>
      <c r="E496" s="189">
        <f>E72+E115+E158+E201+E244+E287+E330+E373+E416+E459</f>
        <v/>
      </c>
      <c r="F496" s="189">
        <f>F72+F115+F158+F201+F244+F287+F330+F373+F416+F459</f>
        <v/>
      </c>
      <c r="G496" s="189">
        <f>G72+G115+G158+G201+G244+G287+G330+G373+G416+G459</f>
        <v/>
      </c>
      <c r="H496" s="189">
        <f>H72+H115+H158+H201+H244+H287+H330+H373+H416+H459</f>
        <v/>
      </c>
      <c r="I496" s="189">
        <f>I72+I115+I158+I201+I244+I287+I330+I373+I416+I459</f>
        <v/>
      </c>
      <c r="J496" s="189">
        <f>J72+J115+J158+J201+J244+J287+J330+J373+J416+J459</f>
        <v/>
      </c>
      <c r="K496" s="189">
        <f>K72+K115+K158+K201+K244+K287+K330+K373+K416+K459</f>
        <v/>
      </c>
      <c r="L496" s="189">
        <f>L72+L115+L158+L201+L244+L287+L330+L373+L416+L459</f>
        <v/>
      </c>
      <c r="M496" s="189">
        <f>M72+M115+M158+M201+M244+M287+M330+M373+M416+M459</f>
        <v/>
      </c>
      <c r="N496" s="189">
        <f>N72+N115+N158+N201+N244+N287+N330+N373+N416+N459</f>
        <v/>
      </c>
      <c r="O496" s="189">
        <f>O72+O115+O158+O201+O244+O287+O330+O373+O416+O459</f>
        <v/>
      </c>
      <c r="P496" s="189">
        <f>P72+P115+P158+P201+P244+P287+P330+P373+P416+P459</f>
        <v/>
      </c>
      <c r="Q496" s="189">
        <f>Q72+Q115+Q158+Q201+Q244+Q287+Q330+Q373+Q416+Q459</f>
        <v/>
      </c>
      <c r="R496" s="189">
        <f>R72+R115+R158+R201+R244+R287+R330+R373+R416+R459</f>
        <v/>
      </c>
      <c r="S496" s="189">
        <f>S72+S115+S158+S201+S244+S287+S330+S373+S416+S459</f>
        <v/>
      </c>
      <c r="T496" s="189">
        <f>T72+T115+T158+T201+T244+T287+T330+T373+T416+T459</f>
        <v/>
      </c>
      <c r="U496" s="189">
        <f>U72+U115+U158+U201+U244+U287+U330+U373+U416+U459</f>
        <v/>
      </c>
      <c r="V496" s="189">
        <f>V72+V115+V158+V201+V244+V287+V330+V373+V416+V459</f>
        <v/>
      </c>
      <c r="W496" s="189">
        <f>W72+W115+W158+W201+W244+W287+W330+W373+W416+W459</f>
        <v/>
      </c>
      <c r="X496" s="189">
        <f>X72+X115+X158+X201+X244+X287+X330+X373+X416+X459</f>
        <v/>
      </c>
      <c r="Y496" s="189">
        <f>Y72+Y115+Y158+Y201+Y244+Y287+Y330+Y373+Y416+Y459</f>
        <v/>
      </c>
      <c r="Z496" s="189">
        <f>Z72+Z115+Z158+Z201+Z244+Z287+Z330+Z373+Z416+Z459</f>
        <v/>
      </c>
      <c r="AA496" s="189">
        <f>AA72+AA115+AA158+AA201+AA244+AA287+AA330+AA373+AA416+AA459</f>
        <v/>
      </c>
      <c r="AB496" s="189">
        <f>AB72+AB115+AB158+AB201+AB244+AB287+AB330+AB373+AB416+AB459</f>
        <v/>
      </c>
      <c r="AC496" s="189">
        <f>AC72+AC115+AC158+AC201+AC244+AC287+AC330+AC373+AC416+AC459</f>
        <v/>
      </c>
      <c r="AD496" s="189">
        <f>AD72+AD115+AD158+AD201+AD244+AD287+AD330+AD373+AD416+AD459</f>
        <v/>
      </c>
      <c r="AE496" s="10">
        <f>AE72+AE115+AE158+AE201+AE244+AE287+AE330+AE373+AE416+AE459</f>
        <v/>
      </c>
      <c r="AF496" s="189">
        <f>AF72+AF115+AF158+AF201+AF244+AF287+AF330+AF373+AF416+AF459</f>
        <v/>
      </c>
      <c r="AG496" s="189">
        <f>AG72+AG115+AG158+AG201+AG244+AG287+AG330+AG373+AG416+AG459</f>
        <v/>
      </c>
      <c r="AH496" s="189">
        <f>AH72+AH115+AH158+AH201+AH244+AH287+AH330+AH373+AH416+AH459</f>
        <v/>
      </c>
      <c r="AI496" s="51" t="inlineStr">
        <is>
          <t>U10θ</t>
        </is>
      </c>
    </row>
    <row r="497">
      <c r="B497" s="189">
        <f>B73+B116+B159+B202+B245+B288+B331+B374+B417+B460</f>
        <v/>
      </c>
      <c r="C497" s="189">
        <f>C73+C116+C159+C202+C245+C288+C331+C374+C417+C460</f>
        <v/>
      </c>
      <c r="D497" s="189">
        <f>D73+D116+D159+D202+D245+D288+D331+D374+D417+D460</f>
        <v/>
      </c>
      <c r="E497" s="189">
        <f>E73+E116+E159+E202+E245+E288+E331+E374+E417+E460</f>
        <v/>
      </c>
      <c r="F497" s="189">
        <f>F73+F116+F159+F202+F245+F288+F331+F374+F417+F460</f>
        <v/>
      </c>
      <c r="G497" s="189">
        <f>G73+G116+G159+G202+G245+G288+G331+G374+G417+G460</f>
        <v/>
      </c>
      <c r="H497" s="189">
        <f>H73+H116+H159+H202+H245+H288+H331+H374+H417+H460</f>
        <v/>
      </c>
      <c r="I497" s="189">
        <f>I73+I116+I159+I202+I245+I288+I331+I374+I417+I460</f>
        <v/>
      </c>
      <c r="J497" s="189">
        <f>J73+J116+J159+J202+J245+J288+J331+J374+J417+J460</f>
        <v/>
      </c>
      <c r="K497" s="189">
        <f>K73+K116+K159+K202+K245+K288+K331+K374+K417+K460</f>
        <v/>
      </c>
      <c r="L497" s="189">
        <f>L73+L116+L159+L202+L245+L288+L331+L374+L417+L460</f>
        <v/>
      </c>
      <c r="M497" s="189">
        <f>M73+M116+M159+M202+M245+M288+M331+M374+M417+M460</f>
        <v/>
      </c>
      <c r="N497" s="189">
        <f>N73+N116+N159+N202+N245+N288+N331+N374+N417+N460</f>
        <v/>
      </c>
      <c r="O497" s="189">
        <f>O73+O116+O159+O202+O245+O288+O331+O374+O417+O460</f>
        <v/>
      </c>
      <c r="P497" s="189">
        <f>P73+P116+P159+P202+P245+P288+P331+P374+P417+P460</f>
        <v/>
      </c>
      <c r="Q497" s="189">
        <f>Q73+Q116+Q159+Q202+Q245+Q288+Q331+Q374+Q417+Q460</f>
        <v/>
      </c>
      <c r="R497" s="189">
        <f>R73+R116+R159+R202+R245+R288+R331+R374+R417+R460</f>
        <v/>
      </c>
      <c r="S497" s="189">
        <f>S73+S116+S159+S202+S245+S288+S331+S374+S417+S460</f>
        <v/>
      </c>
      <c r="T497" s="189">
        <f>T73+T116+T159+T202+T245+T288+T331+T374+T417+T460</f>
        <v/>
      </c>
      <c r="U497" s="189">
        <f>U73+U116+U159+U202+U245+U288+U331+U374+U417+U460</f>
        <v/>
      </c>
      <c r="V497" s="189">
        <f>V73+V116+V159+V202+V245+V288+V331+V374+V417+V460</f>
        <v/>
      </c>
      <c r="W497" s="189">
        <f>W73+W116+W159+W202+W245+W288+W331+W374+W417+W460</f>
        <v/>
      </c>
      <c r="X497" s="189">
        <f>X73+X116+X159+X202+X245+X288+X331+X374+X417+X460</f>
        <v/>
      </c>
      <c r="Y497" s="189">
        <f>Y73+Y116+Y159+Y202+Y245+Y288+Y331+Y374+Y417+Y460</f>
        <v/>
      </c>
      <c r="Z497" s="189">
        <f>Z73+Z116+Z159+Z202+Z245+Z288+Z331+Z374+Z417+Z460</f>
        <v/>
      </c>
      <c r="AA497" s="189">
        <f>AA73+AA116+AA159+AA202+AA245+AA288+AA331+AA374+AA417+AA460</f>
        <v/>
      </c>
      <c r="AB497" s="189">
        <f>AB73+AB116+AB159+AB202+AB245+AB288+AB331+AB374+AB417+AB460</f>
        <v/>
      </c>
      <c r="AC497" s="189">
        <f>AC73+AC116+AC159+AC202+AC245+AC288+AC331+AC374+AC417+AC460</f>
        <v/>
      </c>
      <c r="AD497" s="189">
        <f>AD73+AD116+AD159+AD202+AD245+AD288+AD331+AD374+AD417+AD460</f>
        <v/>
      </c>
      <c r="AE497" s="189">
        <f>AE73+AE116+AE159+AE202+AE245+AE288+AE331+AE374+AE417+AE460</f>
        <v/>
      </c>
      <c r="AF497" s="10">
        <f>AF73+AF116+AF159+AF202+AF245+AF288+AF331+AF374+AF417+AF460</f>
        <v/>
      </c>
      <c r="AG497" s="189">
        <f>AG73+AG116+AG159+AG202+AG245+AG288+AG331+AG374+AG417+AG460</f>
        <v/>
      </c>
      <c r="AH497" s="189">
        <f>AH73+AH116+AH159+AH202+AH245+AH288+AH331+AH374+AH417+AH460</f>
        <v/>
      </c>
      <c r="AI497" s="51" t="inlineStr">
        <is>
          <t>U11X</t>
        </is>
      </c>
    </row>
    <row r="498">
      <c r="B498" s="189">
        <f>B74+B117+B160+B203+B246+B289+B332+B375+B418+B461</f>
        <v/>
      </c>
      <c r="C498" s="189">
        <f>C74+C117+C160+C203+C246+C289+C332+C375+C418+C461</f>
        <v/>
      </c>
      <c r="D498" s="189">
        <f>D74+D117+D160+D203+D246+D289+D332+D375+D418+D461</f>
        <v/>
      </c>
      <c r="E498" s="189">
        <f>E74+E117+E160+E203+E246+E289+E332+E375+E418+E461</f>
        <v/>
      </c>
      <c r="F498" s="189">
        <f>F74+F117+F160+F203+F246+F289+F332+F375+F418+F461</f>
        <v/>
      </c>
      <c r="G498" s="189">
        <f>G74+G117+G160+G203+G246+G289+G332+G375+G418+G461</f>
        <v/>
      </c>
      <c r="H498" s="189">
        <f>H74+H117+H160+H203+H246+H289+H332+H375+H418+H461</f>
        <v/>
      </c>
      <c r="I498" s="189">
        <f>I74+I117+I160+I203+I246+I289+I332+I375+I418+I461</f>
        <v/>
      </c>
      <c r="J498" s="189">
        <f>J74+J117+J160+J203+J246+J289+J332+J375+J418+J461</f>
        <v/>
      </c>
      <c r="K498" s="189">
        <f>K74+K117+K160+K203+K246+K289+K332+K375+K418+K461</f>
        <v/>
      </c>
      <c r="L498" s="189">
        <f>L74+L117+L160+L203+L246+L289+L332+L375+L418+L461</f>
        <v/>
      </c>
      <c r="M498" s="189">
        <f>M74+M117+M160+M203+M246+M289+M332+M375+M418+M461</f>
        <v/>
      </c>
      <c r="N498" s="189">
        <f>N74+N117+N160+N203+N246+N289+N332+N375+N418+N461</f>
        <v/>
      </c>
      <c r="O498" s="189">
        <f>O74+O117+O160+O203+O246+O289+O332+O375+O418+O461</f>
        <v/>
      </c>
      <c r="P498" s="189">
        <f>P74+P117+P160+P203+P246+P289+P332+P375+P418+P461</f>
        <v/>
      </c>
      <c r="Q498" s="189">
        <f>Q74+Q117+Q160+Q203+Q246+Q289+Q332+Q375+Q418+Q461</f>
        <v/>
      </c>
      <c r="R498" s="189">
        <f>R74+R117+R160+R203+R246+R289+R332+R375+R418+R461</f>
        <v/>
      </c>
      <c r="S498" s="189">
        <f>S74+S117+S160+S203+S246+S289+S332+S375+S418+S461</f>
        <v/>
      </c>
      <c r="T498" s="189">
        <f>T74+T117+T160+T203+T246+T289+T332+T375+T418+T461</f>
        <v/>
      </c>
      <c r="U498" s="189">
        <f>U74+U117+U160+U203+U246+U289+U332+U375+U418+U461</f>
        <v/>
      </c>
      <c r="V498" s="189">
        <f>V74+V117+V160+V203+V246+V289+V332+V375+V418+V461</f>
        <v/>
      </c>
      <c r="W498" s="189">
        <f>W74+W117+W160+W203+W246+W289+W332+W375+W418+W461</f>
        <v/>
      </c>
      <c r="X498" s="189">
        <f>X74+X117+X160+X203+X246+X289+X332+X375+X418+X461</f>
        <v/>
      </c>
      <c r="Y498" s="189">
        <f>Y74+Y117+Y160+Y203+Y246+Y289+Y332+Y375+Y418+Y461</f>
        <v/>
      </c>
      <c r="Z498" s="189">
        <f>Z74+Z117+Z160+Z203+Z246+Z289+Z332+Z375+Z418+Z461</f>
        <v/>
      </c>
      <c r="AA498" s="189">
        <f>AA74+AA117+AA160+AA203+AA246+AA289+AA332+AA375+AA418+AA461</f>
        <v/>
      </c>
      <c r="AB498" s="189">
        <f>AB74+AB117+AB160+AB203+AB246+AB289+AB332+AB375+AB418+AB461</f>
        <v/>
      </c>
      <c r="AC498" s="189">
        <f>AC74+AC117+AC160+AC203+AC246+AC289+AC332+AC375+AC418+AC461</f>
        <v/>
      </c>
      <c r="AD498" s="189">
        <f>AD74+AD117+AD160+AD203+AD246+AD289+AD332+AD375+AD418+AD461</f>
        <v/>
      </c>
      <c r="AE498" s="189">
        <f>AE74+AE117+AE160+AE203+AE246+AE289+AE332+AE375+AE418+AE461</f>
        <v/>
      </c>
      <c r="AF498" s="189">
        <f>AF74+AF117+AF160+AF203+AF246+AF289+AF332+AF375+AF418+AF461</f>
        <v/>
      </c>
      <c r="AG498" s="10">
        <f>AG74+AG117+AG160+AG203+AG246+AG289+AG332+AG375+AG418+AG461</f>
        <v/>
      </c>
      <c r="AH498" s="189">
        <f>AH74+AH117+AH160+AH203+AH246+AH289+AH332+AH375+AH418+AH461</f>
        <v/>
      </c>
      <c r="AI498" s="51" t="inlineStr">
        <is>
          <t>U11Y</t>
        </is>
      </c>
    </row>
    <row r="499">
      <c r="B499" s="189">
        <f>B75+B118+B161+B204+B247+B290+B333+B376+B419+B462</f>
        <v/>
      </c>
      <c r="C499" s="189">
        <f>C75+C118+C161+C204+C247+C290+C333+C376+C419+C462</f>
        <v/>
      </c>
      <c r="D499" s="189">
        <f>D75+D118+D161+D204+D247+D290+D333+D376+D419+D462</f>
        <v/>
      </c>
      <c r="E499" s="189">
        <f>E75+E118+E161+E204+E247+E290+E333+E376+E419+E462</f>
        <v/>
      </c>
      <c r="F499" s="189">
        <f>F75+F118+F161+F204+F247+F290+F333+F376+F419+F462</f>
        <v/>
      </c>
      <c r="G499" s="189">
        <f>G75+G118+G161+G204+G247+G290+G333+G376+G419+G462</f>
        <v/>
      </c>
      <c r="H499" s="189">
        <f>H75+H118+H161+H204+H247+H290+H333+H376+H419+H462</f>
        <v/>
      </c>
      <c r="I499" s="189">
        <f>I75+I118+I161+I204+I247+I290+I333+I376+I419+I462</f>
        <v/>
      </c>
      <c r="J499" s="189">
        <f>J75+J118+J161+J204+J247+J290+J333+J376+J419+J462</f>
        <v/>
      </c>
      <c r="K499" s="189">
        <f>K75+K118+K161+K204+K247+K290+K333+K376+K419+K462</f>
        <v/>
      </c>
      <c r="L499" s="189">
        <f>L75+L118+L161+L204+L247+L290+L333+L376+L419+L462</f>
        <v/>
      </c>
      <c r="M499" s="189">
        <f>M75+M118+M161+M204+M247+M290+M333+M376+M419+M462</f>
        <v/>
      </c>
      <c r="N499" s="189">
        <f>N75+N118+N161+N204+N247+N290+N333+N376+N419+N462</f>
        <v/>
      </c>
      <c r="O499" s="189">
        <f>O75+O118+O161+O204+O247+O290+O333+O376+O419+O462</f>
        <v/>
      </c>
      <c r="P499" s="189">
        <f>P75+P118+P161+P204+P247+P290+P333+P376+P419+P462</f>
        <v/>
      </c>
      <c r="Q499" s="189">
        <f>Q75+Q118+Q161+Q204+Q247+Q290+Q333+Q376+Q419+Q462</f>
        <v/>
      </c>
      <c r="R499" s="189">
        <f>R75+R118+R161+R204+R247+R290+R333+R376+R419+R462</f>
        <v/>
      </c>
      <c r="S499" s="189">
        <f>S75+S118+S161+S204+S247+S290+S333+S376+S419+S462</f>
        <v/>
      </c>
      <c r="T499" s="189">
        <f>T75+T118+T161+T204+T247+T290+T333+T376+T419+T462</f>
        <v/>
      </c>
      <c r="U499" s="189">
        <f>U75+U118+U161+U204+U247+U290+U333+U376+U419+U462</f>
        <v/>
      </c>
      <c r="V499" s="189">
        <f>V75+V118+V161+V204+V247+V290+V333+V376+V419+V462</f>
        <v/>
      </c>
      <c r="W499" s="189">
        <f>W75+W118+W161+W204+W247+W290+W333+W376+W419+W462</f>
        <v/>
      </c>
      <c r="X499" s="189">
        <f>X75+X118+X161+X204+X247+X290+X333+X376+X419+X462</f>
        <v/>
      </c>
      <c r="Y499" s="189">
        <f>Y75+Y118+Y161+Y204+Y247+Y290+Y333+Y376+Y419+Y462</f>
        <v/>
      </c>
      <c r="Z499" s="189">
        <f>Z75+Z118+Z161+Z204+Z247+Z290+Z333+Z376+Z419+Z462</f>
        <v/>
      </c>
      <c r="AA499" s="189">
        <f>AA75+AA118+AA161+AA204+AA247+AA290+AA333+AA376+AA419+AA462</f>
        <v/>
      </c>
      <c r="AB499" s="189">
        <f>AB75+AB118+AB161+AB204+AB247+AB290+AB333+AB376+AB419+AB462</f>
        <v/>
      </c>
      <c r="AC499" s="189">
        <f>AC75+AC118+AC161+AC204+AC247+AC290+AC333+AC376+AC419+AC462</f>
        <v/>
      </c>
      <c r="AD499" s="189">
        <f>AD75+AD118+AD161+AD204+AD247+AD290+AD333+AD376+AD419+AD462</f>
        <v/>
      </c>
      <c r="AE499" s="189">
        <f>AE75+AE118+AE161+AE204+AE247+AE290+AE333+AE376+AE419+AE462</f>
        <v/>
      </c>
      <c r="AF499" s="189">
        <f>AF75+AF118+AF161+AF204+AF247+AF290+AF333+AF376+AF419+AF462</f>
        <v/>
      </c>
      <c r="AG499" s="189">
        <f>AG75+AG118+AG161+AG204+AG247+AG290+AG333+AG376+AG419+AG462</f>
        <v/>
      </c>
      <c r="AH499" s="10">
        <f>AH75+AH118+AH161+AH204+AH247+AH290+AH333+AH376+AH419+AH462</f>
        <v/>
      </c>
      <c r="AI499" s="51" t="inlineStr">
        <is>
          <t>U11θ</t>
        </is>
      </c>
    </row>
    <row r="502">
      <c r="B502" s="53" t="inlineStr">
        <is>
          <t>VECTORES DE CARGAS GLOBALES {C} Y CONDICIONES DE FRONTERA / DESPLAZAMIENTOS {D}</t>
        </is>
      </c>
      <c r="C502" s="190" t="n"/>
      <c r="D502" s="190" t="n"/>
      <c r="E502" s="190" t="n"/>
      <c r="F502" s="190" t="n"/>
      <c r="G502" s="190" t="n"/>
      <c r="H502" s="190" t="n"/>
      <c r="I502" s="190" t="n"/>
      <c r="J502" s="190" t="n"/>
      <c r="K502" s="190" t="n"/>
      <c r="L502" s="190" t="n"/>
      <c r="M502" s="190" t="n"/>
      <c r="N502" s="190" t="n"/>
      <c r="O502" s="190" t="n"/>
      <c r="P502" s="190" t="n"/>
      <c r="Q502" s="190" t="n"/>
      <c r="R502" s="190" t="n"/>
      <c r="S502" s="190" t="n"/>
      <c r="T502" s="190" t="n"/>
      <c r="U502" s="190" t="n"/>
      <c r="V502" s="190" t="n"/>
      <c r="W502" s="190" t="n"/>
      <c r="X502" s="190" t="n"/>
      <c r="Y502" s="190" t="n"/>
      <c r="Z502" s="190" t="n"/>
      <c r="AA502" s="190" t="n"/>
      <c r="AB502" s="190" t="n"/>
      <c r="AC502" s="190" t="n"/>
      <c r="AD502" s="190" t="n"/>
      <c r="AE502" s="190" t="n"/>
      <c r="AF502" s="190" t="n"/>
      <c r="AG502" s="190" t="n"/>
      <c r="AH502" s="191" t="n"/>
    </row>
    <row r="503" ht="26.4" customHeight="1" s="183">
      <c r="B503" s="57" t="inlineStr">
        <is>
          <t>VECTOR DE CARGAS {C}</t>
        </is>
      </c>
      <c r="H503" s="57" t="inlineStr">
        <is>
          <t>VECTOR DE DESPLAZAMIENTOS {D}</t>
        </is>
      </c>
      <c r="N503" s="58" t="inlineStr">
        <is>
          <t>Condición GDL</t>
        </is>
      </c>
    </row>
    <row r="504" ht="26.4" customHeight="1" s="183">
      <c r="B504" s="11" t="inlineStr">
        <is>
          <t>C1X</t>
        </is>
      </c>
      <c r="C504" s="12" t="inlineStr">
        <is>
          <t>U1X</t>
        </is>
      </c>
      <c r="D504" s="187" t="inlineStr">
        <is>
          <t>=</t>
        </is>
      </c>
      <c r="E504" s="13" t="n">
        <v>0</v>
      </c>
      <c r="F504" s="12" t="inlineStr">
        <is>
          <t>U1X</t>
        </is>
      </c>
      <c r="H504" s="11" t="inlineStr">
        <is>
          <t>D1X</t>
        </is>
      </c>
      <c r="I504" s="12" t="inlineStr">
        <is>
          <t>U1X</t>
        </is>
      </c>
      <c r="J504" s="187" t="inlineStr">
        <is>
          <t>=</t>
        </is>
      </c>
      <c r="K504" s="14" t="n">
        <v>0</v>
      </c>
      <c r="L504" s="12" t="inlineStr">
        <is>
          <t>U1X</t>
        </is>
      </c>
      <c r="N504" s="186">
        <f>IF(OR($G$4=0, 1&gt;$G$4), "RESTRINGIDO", IF(ISNUMBER(K504), IF(K504=0, "RESTRINGIDO", "LIBRE"), "LIBRE"))</f>
        <v/>
      </c>
    </row>
    <row r="505" ht="26.4" customHeight="1" s="183">
      <c r="B505" s="11" t="inlineStr">
        <is>
          <t>C1Y</t>
        </is>
      </c>
      <c r="C505" s="12" t="inlineStr">
        <is>
          <t>U1Y</t>
        </is>
      </c>
      <c r="D505" s="187" t="inlineStr">
        <is>
          <t>=</t>
        </is>
      </c>
      <c r="E505" s="13" t="n">
        <v>0</v>
      </c>
      <c r="F505" s="12" t="inlineStr">
        <is>
          <t>U1Y</t>
        </is>
      </c>
      <c r="H505" s="11" t="inlineStr">
        <is>
          <t>D1Y</t>
        </is>
      </c>
      <c r="I505" s="12" t="inlineStr">
        <is>
          <t>U1Y</t>
        </is>
      </c>
      <c r="J505" s="187" t="inlineStr">
        <is>
          <t>=</t>
        </is>
      </c>
      <c r="K505" s="14" t="n">
        <v>0</v>
      </c>
      <c r="L505" s="12" t="inlineStr">
        <is>
          <t>U1Y</t>
        </is>
      </c>
      <c r="N505" s="186">
        <f>IF(OR($G$4=0, 1&gt;$G$4), "RESTRINGIDO", IF(ISNUMBER(K505), IF(K505=0, "RESTRINGIDO", "LIBRE"), "LIBRE"))</f>
        <v/>
      </c>
    </row>
    <row r="506">
      <c r="B506" s="11" t="inlineStr">
        <is>
          <t>C1θ</t>
        </is>
      </c>
      <c r="C506" s="12" t="inlineStr">
        <is>
          <t>U1θ</t>
        </is>
      </c>
      <c r="D506" s="187" t="inlineStr">
        <is>
          <t>=</t>
        </is>
      </c>
      <c r="E506" s="13" t="n">
        <v>0</v>
      </c>
      <c r="F506" s="12" t="inlineStr">
        <is>
          <t>U1θ</t>
        </is>
      </c>
      <c r="H506" s="11" t="inlineStr">
        <is>
          <t>D1θ</t>
        </is>
      </c>
      <c r="I506" s="12" t="inlineStr">
        <is>
          <t>U1θ</t>
        </is>
      </c>
      <c r="J506" s="187" t="inlineStr">
        <is>
          <t>=</t>
        </is>
      </c>
      <c r="K506" s="14">
        <f>H506</f>
        <v/>
      </c>
      <c r="L506" s="12" t="inlineStr">
        <is>
          <t>U1θ</t>
        </is>
      </c>
      <c r="N506" s="186">
        <f>IF(OR($G$4=0, 1&gt;$G$4), "RESTRINGIDO", IF(ISNUMBER(K506), IF(K506=0, "RESTRINGIDO", "LIBRE"), "LIBRE"))</f>
        <v/>
      </c>
    </row>
    <row r="507">
      <c r="B507" s="11" t="inlineStr">
        <is>
          <t>C2X</t>
        </is>
      </c>
      <c r="C507" s="12" t="inlineStr">
        <is>
          <t>U2X</t>
        </is>
      </c>
      <c r="D507" s="187" t="inlineStr">
        <is>
          <t>=</t>
        </is>
      </c>
      <c r="E507" s="13" t="n">
        <v>0</v>
      </c>
      <c r="F507" s="12" t="inlineStr">
        <is>
          <t>U2X</t>
        </is>
      </c>
      <c r="H507" s="11" t="inlineStr">
        <is>
          <t>D2X</t>
        </is>
      </c>
      <c r="I507" s="12" t="inlineStr">
        <is>
          <t>U2X</t>
        </is>
      </c>
      <c r="J507" s="187" t="inlineStr">
        <is>
          <t>=</t>
        </is>
      </c>
      <c r="K507" s="14">
        <f>H507</f>
        <v/>
      </c>
      <c r="L507" s="12" t="inlineStr">
        <is>
          <t>U2X</t>
        </is>
      </c>
      <c r="N507" s="186">
        <f>IF(OR($G$4=0, 2&gt;$G$4), "RESTRINGIDO", IF(ISNUMBER(K507), IF(K507=0, "RESTRINGIDO", "LIBRE"), "LIBRE"))</f>
        <v/>
      </c>
    </row>
    <row r="508">
      <c r="B508" s="11" t="inlineStr">
        <is>
          <t>C2Y</t>
        </is>
      </c>
      <c r="C508" s="12" t="inlineStr">
        <is>
          <t>U2Y</t>
        </is>
      </c>
      <c r="D508" s="187" t="inlineStr">
        <is>
          <t>=</t>
        </is>
      </c>
      <c r="E508" s="13" t="n">
        <v>-2000</v>
      </c>
      <c r="F508" s="12" t="inlineStr">
        <is>
          <t>U2Y</t>
        </is>
      </c>
      <c r="H508" s="11" t="inlineStr">
        <is>
          <t>D2Y</t>
        </is>
      </c>
      <c r="I508" s="12" t="inlineStr">
        <is>
          <t>U2Y</t>
        </is>
      </c>
      <c r="J508" s="187" t="inlineStr">
        <is>
          <t>=</t>
        </is>
      </c>
      <c r="K508" s="14">
        <f>H508</f>
        <v/>
      </c>
      <c r="L508" s="12" t="inlineStr">
        <is>
          <t>U2Y</t>
        </is>
      </c>
      <c r="N508" s="186">
        <f>IF(OR($G$4=0, 2&gt;$G$4), "RESTRINGIDO", IF(ISNUMBER(K508), IF(K508=0, "RESTRINGIDO", "LIBRE"), "LIBRE"))</f>
        <v/>
      </c>
    </row>
    <row r="509">
      <c r="B509" s="11" t="inlineStr">
        <is>
          <t>C2θ</t>
        </is>
      </c>
      <c r="C509" s="12" t="inlineStr">
        <is>
          <t>U2θ</t>
        </is>
      </c>
      <c r="D509" s="187" t="inlineStr">
        <is>
          <t>=</t>
        </is>
      </c>
      <c r="E509" s="13" t="n">
        <v>0</v>
      </c>
      <c r="F509" s="12" t="inlineStr">
        <is>
          <t>U2θ</t>
        </is>
      </c>
      <c r="H509" s="11" t="inlineStr">
        <is>
          <t>D2θ</t>
        </is>
      </c>
      <c r="I509" s="12" t="inlineStr">
        <is>
          <t>U2θ</t>
        </is>
      </c>
      <c r="J509" s="187" t="inlineStr">
        <is>
          <t>=</t>
        </is>
      </c>
      <c r="K509" s="14">
        <f>H509</f>
        <v/>
      </c>
      <c r="L509" s="12" t="inlineStr">
        <is>
          <t>U2θ</t>
        </is>
      </c>
      <c r="N509" s="186">
        <f>IF(OR($G$4=0, 2&gt;$G$4), "RESTRINGIDO", IF(ISNUMBER(K509), IF(K509=0, "RESTRINGIDO", "LIBRE"), "LIBRE"))</f>
        <v/>
      </c>
    </row>
    <row r="510">
      <c r="B510" s="11" t="inlineStr">
        <is>
          <t>C3X</t>
        </is>
      </c>
      <c r="C510" s="12" t="inlineStr">
        <is>
          <t>U3X</t>
        </is>
      </c>
      <c r="D510" s="187" t="inlineStr">
        <is>
          <t>=</t>
        </is>
      </c>
      <c r="E510" s="13" t="n">
        <v>0</v>
      </c>
      <c r="F510" s="12" t="inlineStr">
        <is>
          <t>U3X</t>
        </is>
      </c>
      <c r="H510" s="11" t="inlineStr">
        <is>
          <t>D3X</t>
        </is>
      </c>
      <c r="I510" s="12" t="inlineStr">
        <is>
          <t>U3X</t>
        </is>
      </c>
      <c r="J510" s="187" t="inlineStr">
        <is>
          <t>=</t>
        </is>
      </c>
      <c r="K510" s="14">
        <f>H510</f>
        <v/>
      </c>
      <c r="L510" s="12" t="inlineStr">
        <is>
          <t>U3X</t>
        </is>
      </c>
      <c r="N510" s="186">
        <f>IF(OR($G$4=0, 3&gt;$G$4), "RESTRINGIDO", IF(ISNUMBER(K510), IF(K510=0, "RESTRINGIDO", "LIBRE"), "LIBRE"))</f>
        <v/>
      </c>
    </row>
    <row r="511" ht="26.4" customHeight="1" s="183">
      <c r="B511" s="11" t="inlineStr">
        <is>
          <t>C3Y</t>
        </is>
      </c>
      <c r="C511" s="12" t="inlineStr">
        <is>
          <t>U3Y</t>
        </is>
      </c>
      <c r="D511" s="187" t="inlineStr">
        <is>
          <t>=</t>
        </is>
      </c>
      <c r="E511" s="13" t="n">
        <v>0</v>
      </c>
      <c r="F511" s="12" t="inlineStr">
        <is>
          <t>U3Y</t>
        </is>
      </c>
      <c r="H511" s="11" t="inlineStr">
        <is>
          <t>D3Y</t>
        </is>
      </c>
      <c r="I511" s="12" t="inlineStr">
        <is>
          <t>U3Y</t>
        </is>
      </c>
      <c r="J511" s="187" t="inlineStr">
        <is>
          <t>=</t>
        </is>
      </c>
      <c r="K511" s="14" t="n">
        <v>0</v>
      </c>
      <c r="L511" s="12" t="inlineStr">
        <is>
          <t>U3Y</t>
        </is>
      </c>
      <c r="N511" s="186">
        <f>IF(OR($G$4=0, 3&gt;$G$4), "RESTRINGIDO", IF(ISNUMBER(K511), IF(K511=0, "RESTRINGIDO", "LIBRE"), "LIBRE"))</f>
        <v/>
      </c>
    </row>
    <row r="512">
      <c r="B512" s="11" t="inlineStr">
        <is>
          <t>C3θ</t>
        </is>
      </c>
      <c r="C512" s="12" t="inlineStr">
        <is>
          <t>U3θ</t>
        </is>
      </c>
      <c r="D512" s="187" t="inlineStr">
        <is>
          <t>=</t>
        </is>
      </c>
      <c r="E512" s="13" t="n">
        <v>0</v>
      </c>
      <c r="F512" s="12" t="inlineStr">
        <is>
          <t>U3θ</t>
        </is>
      </c>
      <c r="H512" s="11" t="inlineStr">
        <is>
          <t>D3θ</t>
        </is>
      </c>
      <c r="I512" s="12" t="inlineStr">
        <is>
          <t>U3θ</t>
        </is>
      </c>
      <c r="J512" s="187" t="inlineStr">
        <is>
          <t>=</t>
        </is>
      </c>
      <c r="K512" s="14">
        <f>H512</f>
        <v/>
      </c>
      <c r="L512" s="12" t="inlineStr">
        <is>
          <t>U3θ</t>
        </is>
      </c>
      <c r="N512" s="186">
        <f>IF(OR($G$4=0, 3&gt;$G$4), "RESTRINGIDO", IF(ISNUMBER(K512), IF(K512=0, "RESTRINGIDO", "LIBRE"), "LIBRE"))</f>
        <v/>
      </c>
    </row>
    <row r="513" ht="26.4" customHeight="1" s="183">
      <c r="B513" s="11" t="inlineStr">
        <is>
          <t>C4X</t>
        </is>
      </c>
      <c r="C513" s="12" t="inlineStr">
        <is>
          <t>U4X</t>
        </is>
      </c>
      <c r="D513" s="187" t="inlineStr">
        <is>
          <t>=</t>
        </is>
      </c>
      <c r="E513" s="13" t="n">
        <v>0</v>
      </c>
      <c r="F513" s="12" t="inlineStr">
        <is>
          <t>U4X</t>
        </is>
      </c>
      <c r="H513" s="11" t="inlineStr">
        <is>
          <t>D4X</t>
        </is>
      </c>
      <c r="I513" s="12" t="inlineStr">
        <is>
          <t>U4X</t>
        </is>
      </c>
      <c r="J513" s="187" t="inlineStr">
        <is>
          <t>=</t>
        </is>
      </c>
      <c r="K513" s="14">
        <f>H513</f>
        <v/>
      </c>
      <c r="L513" s="12" t="inlineStr">
        <is>
          <t>U4X</t>
        </is>
      </c>
      <c r="N513" s="186">
        <f>IF(OR($G$4=0, 4&gt;$G$4), "RESTRINGIDO", IF(ISNUMBER(K513), IF(K513=0, "RESTRINGIDO", "LIBRE"), "LIBRE"))</f>
        <v/>
      </c>
    </row>
    <row r="514" ht="26.4" customHeight="1" s="183">
      <c r="B514" s="11" t="inlineStr">
        <is>
          <t>C4Y</t>
        </is>
      </c>
      <c r="C514" s="12" t="inlineStr">
        <is>
          <t>U4Y</t>
        </is>
      </c>
      <c r="D514" s="187" t="inlineStr">
        <is>
          <t>=</t>
        </is>
      </c>
      <c r="E514" s="13" t="n">
        <v>0</v>
      </c>
      <c r="F514" s="12" t="inlineStr">
        <is>
          <t>U4Y</t>
        </is>
      </c>
      <c r="H514" s="11" t="inlineStr">
        <is>
          <t>D4Y</t>
        </is>
      </c>
      <c r="I514" s="12" t="inlineStr">
        <is>
          <t>U4Y</t>
        </is>
      </c>
      <c r="J514" s="187" t="inlineStr">
        <is>
          <t>=</t>
        </is>
      </c>
      <c r="K514" s="14">
        <f>H514</f>
        <v/>
      </c>
      <c r="L514" s="12" t="inlineStr">
        <is>
          <t>U4Y</t>
        </is>
      </c>
      <c r="N514" s="186">
        <f>IF(OR($G$4=0, 4&gt;$G$4), "RESTRINGIDO", IF(ISNUMBER(K514), IF(K514=0, "RESTRINGIDO", "LIBRE"), "LIBRE"))</f>
        <v/>
      </c>
    </row>
    <row r="515" ht="26.4" customHeight="1" s="183">
      <c r="B515" s="11" t="inlineStr">
        <is>
          <t>C4θ</t>
        </is>
      </c>
      <c r="C515" s="12" t="inlineStr">
        <is>
          <t>U4θ</t>
        </is>
      </c>
      <c r="D515" s="187" t="inlineStr">
        <is>
          <t>=</t>
        </is>
      </c>
      <c r="E515" s="13" t="n">
        <v>0</v>
      </c>
      <c r="F515" s="12" t="inlineStr">
        <is>
          <t>U4θ</t>
        </is>
      </c>
      <c r="H515" s="11" t="inlineStr">
        <is>
          <t>D4θ</t>
        </is>
      </c>
      <c r="I515" s="12" t="inlineStr">
        <is>
          <t>U4θ</t>
        </is>
      </c>
      <c r="J515" s="187" t="inlineStr">
        <is>
          <t>=</t>
        </is>
      </c>
      <c r="K515" s="14">
        <f>H515</f>
        <v/>
      </c>
      <c r="L515" s="12" t="inlineStr">
        <is>
          <t>U4θ</t>
        </is>
      </c>
      <c r="N515" s="186">
        <f>IF(OR($G$4=0, 4&gt;$G$4), "RESTRINGIDO", IF(ISNUMBER(K515), IF(K515=0, "RESTRINGIDO", "LIBRE"), "LIBRE"))</f>
        <v/>
      </c>
    </row>
    <row r="516" ht="26.4" customHeight="1" s="183">
      <c r="B516" s="11" t="inlineStr">
        <is>
          <t>C5X</t>
        </is>
      </c>
      <c r="C516" s="12" t="inlineStr">
        <is>
          <t>U5X</t>
        </is>
      </c>
      <c r="D516" s="187" t="inlineStr">
        <is>
          <t>=</t>
        </is>
      </c>
      <c r="E516" s="13" t="n">
        <v>0</v>
      </c>
      <c r="F516" s="12" t="inlineStr">
        <is>
          <t>U5X</t>
        </is>
      </c>
      <c r="H516" s="11" t="inlineStr">
        <is>
          <t>D5X</t>
        </is>
      </c>
      <c r="I516" s="12" t="inlineStr">
        <is>
          <t>U5X</t>
        </is>
      </c>
      <c r="J516" s="187" t="inlineStr">
        <is>
          <t>=</t>
        </is>
      </c>
      <c r="K516" s="14">
        <f>H516</f>
        <v/>
      </c>
      <c r="L516" s="12" t="inlineStr">
        <is>
          <t>U5X</t>
        </is>
      </c>
      <c r="N516" s="186">
        <f>IF(OR($G$4=0, 5&gt;$G$4), "RESTRINGIDO", IF(ISNUMBER(K516), IF(K516=0, "RESTRINGIDO", "LIBRE"), "LIBRE"))</f>
        <v/>
      </c>
    </row>
    <row r="517" ht="26.4" customHeight="1" s="183">
      <c r="B517" s="11" t="inlineStr">
        <is>
          <t>C5Y</t>
        </is>
      </c>
      <c r="C517" s="12" t="inlineStr">
        <is>
          <t>U5Y</t>
        </is>
      </c>
      <c r="D517" s="187" t="inlineStr">
        <is>
          <t>=</t>
        </is>
      </c>
      <c r="E517" s="13" t="n">
        <v>0</v>
      </c>
      <c r="F517" s="12" t="inlineStr">
        <is>
          <t>U5Y</t>
        </is>
      </c>
      <c r="H517" s="11" t="inlineStr">
        <is>
          <t>D5Y</t>
        </is>
      </c>
      <c r="I517" s="12" t="inlineStr">
        <is>
          <t>U5Y</t>
        </is>
      </c>
      <c r="J517" s="187" t="inlineStr">
        <is>
          <t>=</t>
        </is>
      </c>
      <c r="K517" s="14">
        <f>H517</f>
        <v/>
      </c>
      <c r="L517" s="12" t="inlineStr">
        <is>
          <t>U5Y</t>
        </is>
      </c>
      <c r="N517" s="186">
        <f>IF(OR($G$4=0, 5&gt;$G$4), "RESTRINGIDO", IF(ISNUMBER(K517), IF(K517=0, "RESTRINGIDO", "LIBRE"), "LIBRE"))</f>
        <v/>
      </c>
    </row>
    <row r="518" ht="26.4" customHeight="1" s="183">
      <c r="B518" s="11" t="inlineStr">
        <is>
          <t>C5θ</t>
        </is>
      </c>
      <c r="C518" s="12" t="inlineStr">
        <is>
          <t>U5θ</t>
        </is>
      </c>
      <c r="D518" s="187" t="inlineStr">
        <is>
          <t>=</t>
        </is>
      </c>
      <c r="E518" s="13" t="n">
        <v>0</v>
      </c>
      <c r="F518" s="12" t="inlineStr">
        <is>
          <t>U5θ</t>
        </is>
      </c>
      <c r="H518" s="11" t="inlineStr">
        <is>
          <t>D5θ</t>
        </is>
      </c>
      <c r="I518" s="12" t="inlineStr">
        <is>
          <t>U5θ</t>
        </is>
      </c>
      <c r="J518" s="187" t="inlineStr">
        <is>
          <t>=</t>
        </is>
      </c>
      <c r="K518" s="14">
        <f>H518</f>
        <v/>
      </c>
      <c r="L518" s="12" t="inlineStr">
        <is>
          <t>U5θ</t>
        </is>
      </c>
      <c r="N518" s="186">
        <f>IF(OR($G$4=0, 5&gt;$G$4), "RESTRINGIDO", IF(ISNUMBER(K518), IF(K518=0, "RESTRINGIDO", "LIBRE"), "LIBRE"))</f>
        <v/>
      </c>
    </row>
    <row r="519" ht="26.4" customHeight="1" s="183">
      <c r="B519" s="11" t="inlineStr">
        <is>
          <t>C6X</t>
        </is>
      </c>
      <c r="C519" s="12" t="inlineStr">
        <is>
          <t>U6X</t>
        </is>
      </c>
      <c r="D519" s="187" t="inlineStr">
        <is>
          <t>=</t>
        </is>
      </c>
      <c r="E519" s="13" t="n">
        <v>0</v>
      </c>
      <c r="F519" s="12" t="inlineStr">
        <is>
          <t>U6X</t>
        </is>
      </c>
      <c r="H519" s="11" t="inlineStr">
        <is>
          <t>D6X</t>
        </is>
      </c>
      <c r="I519" s="12" t="inlineStr">
        <is>
          <t>U6X</t>
        </is>
      </c>
      <c r="J519" s="187" t="inlineStr">
        <is>
          <t>=</t>
        </is>
      </c>
      <c r="K519" s="14">
        <f>H519</f>
        <v/>
      </c>
      <c r="L519" s="12" t="inlineStr">
        <is>
          <t>U6X</t>
        </is>
      </c>
      <c r="N519" s="186">
        <f>IF(OR($G$4=0, 6&gt;$G$4), "RESTRINGIDO", IF(ISNUMBER(K519), IF(K519=0, "RESTRINGIDO", "LIBRE"), "LIBRE"))</f>
        <v/>
      </c>
    </row>
    <row r="520" ht="26.4" customHeight="1" s="183">
      <c r="B520" s="11" t="inlineStr">
        <is>
          <t>C6Y</t>
        </is>
      </c>
      <c r="C520" s="12" t="inlineStr">
        <is>
          <t>U6Y</t>
        </is>
      </c>
      <c r="D520" s="187" t="inlineStr">
        <is>
          <t>=</t>
        </is>
      </c>
      <c r="E520" s="13" t="n">
        <v>0</v>
      </c>
      <c r="F520" s="12" t="inlineStr">
        <is>
          <t>U6Y</t>
        </is>
      </c>
      <c r="H520" s="11" t="inlineStr">
        <is>
          <t>D6Y</t>
        </is>
      </c>
      <c r="I520" s="12" t="inlineStr">
        <is>
          <t>U6Y</t>
        </is>
      </c>
      <c r="J520" s="187" t="inlineStr">
        <is>
          <t>=</t>
        </is>
      </c>
      <c r="K520" s="14">
        <f>H520</f>
        <v/>
      </c>
      <c r="L520" s="12" t="inlineStr">
        <is>
          <t>U6Y</t>
        </is>
      </c>
      <c r="N520" s="186">
        <f>IF(OR($G$4=0, 6&gt;$G$4), "RESTRINGIDO", IF(ISNUMBER(K520), IF(K520=0, "RESTRINGIDO", "LIBRE"), "LIBRE"))</f>
        <v/>
      </c>
    </row>
    <row r="521" ht="26.4" customHeight="1" s="183">
      <c r="B521" s="11" t="inlineStr">
        <is>
          <t>C6θ</t>
        </is>
      </c>
      <c r="C521" s="12" t="inlineStr">
        <is>
          <t>U6θ</t>
        </is>
      </c>
      <c r="D521" s="187" t="inlineStr">
        <is>
          <t>=</t>
        </is>
      </c>
      <c r="E521" s="13" t="n">
        <v>0</v>
      </c>
      <c r="F521" s="12" t="inlineStr">
        <is>
          <t>U6θ</t>
        </is>
      </c>
      <c r="H521" s="11" t="inlineStr">
        <is>
          <t>D6θ</t>
        </is>
      </c>
      <c r="I521" s="12" t="inlineStr">
        <is>
          <t>U6θ</t>
        </is>
      </c>
      <c r="J521" s="187" t="inlineStr">
        <is>
          <t>=</t>
        </is>
      </c>
      <c r="K521" s="14">
        <f>H521</f>
        <v/>
      </c>
      <c r="L521" s="12" t="inlineStr">
        <is>
          <t>U6θ</t>
        </is>
      </c>
      <c r="N521" s="186">
        <f>IF(OR($G$4=0, 6&gt;$G$4), "RESTRINGIDO", IF(ISNUMBER(K521), IF(K521=0, "RESTRINGIDO", "LIBRE"), "LIBRE"))</f>
        <v/>
      </c>
    </row>
    <row r="522" ht="26.4" customHeight="1" s="183">
      <c r="B522" s="11" t="inlineStr">
        <is>
          <t>C7X</t>
        </is>
      </c>
      <c r="C522" s="12" t="inlineStr">
        <is>
          <t>U7X</t>
        </is>
      </c>
      <c r="D522" s="187" t="inlineStr">
        <is>
          <t>=</t>
        </is>
      </c>
      <c r="E522" s="13" t="n">
        <v>0</v>
      </c>
      <c r="F522" s="12" t="inlineStr">
        <is>
          <t>U7X</t>
        </is>
      </c>
      <c r="H522" s="11" t="inlineStr">
        <is>
          <t>D7X</t>
        </is>
      </c>
      <c r="I522" s="12" t="inlineStr">
        <is>
          <t>U7X</t>
        </is>
      </c>
      <c r="J522" s="187" t="inlineStr">
        <is>
          <t>=</t>
        </is>
      </c>
      <c r="K522" s="14">
        <f>H522</f>
        <v/>
      </c>
      <c r="L522" s="12" t="inlineStr">
        <is>
          <t>U7X</t>
        </is>
      </c>
      <c r="N522" s="186">
        <f>IF(OR($G$4=0, 7&gt;$G$4), "RESTRINGIDO", IF(ISNUMBER(K522), IF(K522=0, "RESTRINGIDO", "LIBRE"), "LIBRE"))</f>
        <v/>
      </c>
    </row>
    <row r="523" ht="26.4" customHeight="1" s="183">
      <c r="B523" s="11" t="inlineStr">
        <is>
          <t>C7Y</t>
        </is>
      </c>
      <c r="C523" s="12" t="inlineStr">
        <is>
          <t>U7Y</t>
        </is>
      </c>
      <c r="D523" s="187" t="inlineStr">
        <is>
          <t>=</t>
        </is>
      </c>
      <c r="E523" s="13" t="n">
        <v>0</v>
      </c>
      <c r="F523" s="12" t="inlineStr">
        <is>
          <t>U7Y</t>
        </is>
      </c>
      <c r="H523" s="11" t="inlineStr">
        <is>
          <t>D7Y</t>
        </is>
      </c>
      <c r="I523" s="12" t="inlineStr">
        <is>
          <t>U7Y</t>
        </is>
      </c>
      <c r="J523" s="187" t="inlineStr">
        <is>
          <t>=</t>
        </is>
      </c>
      <c r="K523" s="14">
        <f>H523</f>
        <v/>
      </c>
      <c r="L523" s="12" t="inlineStr">
        <is>
          <t>U7Y</t>
        </is>
      </c>
      <c r="N523" s="186">
        <f>IF(OR($G$4=0, 7&gt;$G$4), "RESTRINGIDO", IF(ISNUMBER(K523), IF(K523=0, "RESTRINGIDO", "LIBRE"), "LIBRE"))</f>
        <v/>
      </c>
    </row>
    <row r="524" ht="26.4" customHeight="1" s="183">
      <c r="B524" s="11" t="inlineStr">
        <is>
          <t>C7θ</t>
        </is>
      </c>
      <c r="C524" s="12" t="inlineStr">
        <is>
          <t>U7θ</t>
        </is>
      </c>
      <c r="D524" s="187" t="inlineStr">
        <is>
          <t>=</t>
        </is>
      </c>
      <c r="E524" s="13" t="n">
        <v>0</v>
      </c>
      <c r="F524" s="12" t="inlineStr">
        <is>
          <t>U7θ</t>
        </is>
      </c>
      <c r="H524" s="11" t="inlineStr">
        <is>
          <t>D7θ</t>
        </is>
      </c>
      <c r="I524" s="12" t="inlineStr">
        <is>
          <t>U7θ</t>
        </is>
      </c>
      <c r="J524" s="187" t="inlineStr">
        <is>
          <t>=</t>
        </is>
      </c>
      <c r="K524" s="14">
        <f>H524</f>
        <v/>
      </c>
      <c r="L524" s="12" t="inlineStr">
        <is>
          <t>U7θ</t>
        </is>
      </c>
      <c r="N524" s="186">
        <f>IF(OR($G$4=0, 7&gt;$G$4), "RESTRINGIDO", IF(ISNUMBER(K524), IF(K524=0, "RESTRINGIDO", "LIBRE"), "LIBRE"))</f>
        <v/>
      </c>
    </row>
    <row r="525" ht="26.4" customHeight="1" s="183">
      <c r="B525" s="11" t="inlineStr">
        <is>
          <t>C8X</t>
        </is>
      </c>
      <c r="C525" s="12" t="inlineStr">
        <is>
          <t>U8X</t>
        </is>
      </c>
      <c r="D525" s="187" t="inlineStr">
        <is>
          <t>=</t>
        </is>
      </c>
      <c r="E525" s="13" t="n">
        <v>0</v>
      </c>
      <c r="F525" s="12" t="inlineStr">
        <is>
          <t>U8X</t>
        </is>
      </c>
      <c r="H525" s="11" t="inlineStr">
        <is>
          <t>D8X</t>
        </is>
      </c>
      <c r="I525" s="12" t="inlineStr">
        <is>
          <t>U8X</t>
        </is>
      </c>
      <c r="J525" s="187" t="inlineStr">
        <is>
          <t>=</t>
        </is>
      </c>
      <c r="K525" s="14">
        <f>H525</f>
        <v/>
      </c>
      <c r="L525" s="12" t="inlineStr">
        <is>
          <t>U8X</t>
        </is>
      </c>
      <c r="N525" s="186">
        <f>IF(OR($G$4=0, 8&gt;$G$4), "RESTRINGIDO", IF(ISNUMBER(K525), IF(K525=0, "RESTRINGIDO", "LIBRE"), "LIBRE"))</f>
        <v/>
      </c>
    </row>
    <row r="526" ht="26.4" customHeight="1" s="183">
      <c r="B526" s="11" t="inlineStr">
        <is>
          <t>C8Y</t>
        </is>
      </c>
      <c r="C526" s="12" t="inlineStr">
        <is>
          <t>U8Y</t>
        </is>
      </c>
      <c r="D526" s="187" t="inlineStr">
        <is>
          <t>=</t>
        </is>
      </c>
      <c r="E526" s="13" t="n">
        <v>0</v>
      </c>
      <c r="F526" s="12" t="inlineStr">
        <is>
          <t>U8Y</t>
        </is>
      </c>
      <c r="H526" s="11" t="inlineStr">
        <is>
          <t>D8Y</t>
        </is>
      </c>
      <c r="I526" s="12" t="inlineStr">
        <is>
          <t>U8Y</t>
        </is>
      </c>
      <c r="J526" s="187" t="inlineStr">
        <is>
          <t>=</t>
        </is>
      </c>
      <c r="K526" s="14">
        <f>H526</f>
        <v/>
      </c>
      <c r="L526" s="12" t="inlineStr">
        <is>
          <t>U8Y</t>
        </is>
      </c>
      <c r="N526" s="186">
        <f>IF(OR($G$4=0, 8&gt;$G$4), "RESTRINGIDO", IF(ISNUMBER(K526), IF(K526=0, "RESTRINGIDO", "LIBRE"), "LIBRE"))</f>
        <v/>
      </c>
    </row>
    <row r="527" ht="26.4" customHeight="1" s="183">
      <c r="B527" s="11" t="inlineStr">
        <is>
          <t>C8θ</t>
        </is>
      </c>
      <c r="C527" s="12" t="inlineStr">
        <is>
          <t>U8θ</t>
        </is>
      </c>
      <c r="D527" s="187" t="inlineStr">
        <is>
          <t>=</t>
        </is>
      </c>
      <c r="E527" s="13" t="n">
        <v>0</v>
      </c>
      <c r="F527" s="12" t="inlineStr">
        <is>
          <t>U8θ</t>
        </is>
      </c>
      <c r="H527" s="11" t="inlineStr">
        <is>
          <t>D8θ</t>
        </is>
      </c>
      <c r="I527" s="12" t="inlineStr">
        <is>
          <t>U8θ</t>
        </is>
      </c>
      <c r="J527" s="187" t="inlineStr">
        <is>
          <t>=</t>
        </is>
      </c>
      <c r="K527" s="14">
        <f>H527</f>
        <v/>
      </c>
      <c r="L527" s="12" t="inlineStr">
        <is>
          <t>U8θ</t>
        </is>
      </c>
      <c r="N527" s="186">
        <f>IF(OR($G$4=0, 8&gt;$G$4), "RESTRINGIDO", IF(ISNUMBER(K527), IF(K527=0, "RESTRINGIDO", "LIBRE"), "LIBRE"))</f>
        <v/>
      </c>
    </row>
    <row r="528" ht="26.4" customHeight="1" s="183">
      <c r="B528" s="11" t="inlineStr">
        <is>
          <t>C9X</t>
        </is>
      </c>
      <c r="C528" s="12" t="inlineStr">
        <is>
          <t>U9X</t>
        </is>
      </c>
      <c r="D528" s="187" t="inlineStr">
        <is>
          <t>=</t>
        </is>
      </c>
      <c r="E528" s="13" t="n">
        <v>0</v>
      </c>
      <c r="F528" s="12" t="inlineStr">
        <is>
          <t>U9X</t>
        </is>
      </c>
      <c r="H528" s="11" t="inlineStr">
        <is>
          <t>D9X</t>
        </is>
      </c>
      <c r="I528" s="12" t="inlineStr">
        <is>
          <t>U9X</t>
        </is>
      </c>
      <c r="J528" s="187" t="inlineStr">
        <is>
          <t>=</t>
        </is>
      </c>
      <c r="K528" s="14">
        <f>H528</f>
        <v/>
      </c>
      <c r="L528" s="12" t="inlineStr">
        <is>
          <t>U9X</t>
        </is>
      </c>
      <c r="N528" s="186">
        <f>IF(OR($G$4=0, 9&gt;$G$4), "RESTRINGIDO", IF(ISNUMBER(K528), IF(K528=0, "RESTRINGIDO", "LIBRE"), "LIBRE"))</f>
        <v/>
      </c>
    </row>
    <row r="529" ht="26.4" customHeight="1" s="183">
      <c r="B529" s="11" t="inlineStr">
        <is>
          <t>C9Y</t>
        </is>
      </c>
      <c r="C529" s="12" t="inlineStr">
        <is>
          <t>U9Y</t>
        </is>
      </c>
      <c r="D529" s="187" t="inlineStr">
        <is>
          <t>=</t>
        </is>
      </c>
      <c r="E529" s="13" t="n">
        <v>0</v>
      </c>
      <c r="F529" s="12" t="inlineStr">
        <is>
          <t>U9Y</t>
        </is>
      </c>
      <c r="H529" s="11" t="inlineStr">
        <is>
          <t>D9Y</t>
        </is>
      </c>
      <c r="I529" s="12" t="inlineStr">
        <is>
          <t>U9Y</t>
        </is>
      </c>
      <c r="J529" s="187" t="inlineStr">
        <is>
          <t>=</t>
        </is>
      </c>
      <c r="K529" s="14">
        <f>H529</f>
        <v/>
      </c>
      <c r="L529" s="12" t="inlineStr">
        <is>
          <t>U9Y</t>
        </is>
      </c>
      <c r="N529" s="186">
        <f>IF(OR($G$4=0, 9&gt;$G$4), "RESTRINGIDO", IF(ISNUMBER(K529), IF(K529=0, "RESTRINGIDO", "LIBRE"), "LIBRE"))</f>
        <v/>
      </c>
    </row>
    <row r="530" ht="26.4" customHeight="1" s="183">
      <c r="B530" s="11" t="inlineStr">
        <is>
          <t>C9θ</t>
        </is>
      </c>
      <c r="C530" s="12" t="inlineStr">
        <is>
          <t>U9θ</t>
        </is>
      </c>
      <c r="D530" s="187" t="inlineStr">
        <is>
          <t>=</t>
        </is>
      </c>
      <c r="E530" s="13" t="n">
        <v>0</v>
      </c>
      <c r="F530" s="12" t="inlineStr">
        <is>
          <t>U9θ</t>
        </is>
      </c>
      <c r="H530" s="11" t="inlineStr">
        <is>
          <t>D9θ</t>
        </is>
      </c>
      <c r="I530" s="12" t="inlineStr">
        <is>
          <t>U9θ</t>
        </is>
      </c>
      <c r="J530" s="187" t="inlineStr">
        <is>
          <t>=</t>
        </is>
      </c>
      <c r="K530" s="14">
        <f>H530</f>
        <v/>
      </c>
      <c r="L530" s="12" t="inlineStr">
        <is>
          <t>U9θ</t>
        </is>
      </c>
      <c r="N530" s="186">
        <f>IF(OR($G$4=0, 9&gt;$G$4), "RESTRINGIDO", IF(ISNUMBER(K530), IF(K530=0, "RESTRINGIDO", "LIBRE"), "LIBRE"))</f>
        <v/>
      </c>
    </row>
    <row r="531" ht="26.4" customHeight="1" s="183">
      <c r="B531" s="11" t="inlineStr">
        <is>
          <t>C10X</t>
        </is>
      </c>
      <c r="C531" s="12" t="inlineStr">
        <is>
          <t>U10X</t>
        </is>
      </c>
      <c r="D531" s="187" t="inlineStr">
        <is>
          <t>=</t>
        </is>
      </c>
      <c r="E531" s="13" t="n">
        <v>0</v>
      </c>
      <c r="F531" s="12" t="inlineStr">
        <is>
          <t>U10X</t>
        </is>
      </c>
      <c r="H531" s="11" t="inlineStr">
        <is>
          <t>D10X</t>
        </is>
      </c>
      <c r="I531" s="12" t="inlineStr">
        <is>
          <t>U10X</t>
        </is>
      </c>
      <c r="J531" s="187" t="inlineStr">
        <is>
          <t>=</t>
        </is>
      </c>
      <c r="K531" s="14">
        <f>H531</f>
        <v/>
      </c>
      <c r="L531" s="12" t="inlineStr">
        <is>
          <t>U10X</t>
        </is>
      </c>
      <c r="N531" s="186">
        <f>IF(OR($G$4=0, 10&gt;$G$4), "RESTRINGIDO", IF(ISNUMBER(K531), IF(K531=0, "RESTRINGIDO", "LIBRE"), "LIBRE"))</f>
        <v/>
      </c>
    </row>
    <row r="532" ht="26.4" customHeight="1" s="183">
      <c r="B532" s="11" t="inlineStr">
        <is>
          <t>C10Y</t>
        </is>
      </c>
      <c r="C532" s="12" t="inlineStr">
        <is>
          <t>U10Y</t>
        </is>
      </c>
      <c r="D532" s="187" t="inlineStr">
        <is>
          <t>=</t>
        </is>
      </c>
      <c r="E532" s="13" t="n">
        <v>0</v>
      </c>
      <c r="F532" s="12" t="inlineStr">
        <is>
          <t>U10Y</t>
        </is>
      </c>
      <c r="H532" s="11" t="inlineStr">
        <is>
          <t>D10Y</t>
        </is>
      </c>
      <c r="I532" s="12" t="inlineStr">
        <is>
          <t>U10Y</t>
        </is>
      </c>
      <c r="J532" s="187" t="inlineStr">
        <is>
          <t>=</t>
        </is>
      </c>
      <c r="K532" s="14">
        <f>H532</f>
        <v/>
      </c>
      <c r="L532" s="12" t="inlineStr">
        <is>
          <t>U10Y</t>
        </is>
      </c>
      <c r="N532" s="186">
        <f>IF(OR($G$4=0, 10&gt;$G$4), "RESTRINGIDO", IF(ISNUMBER(K532), IF(K532=0, "RESTRINGIDO", "LIBRE"), "LIBRE"))</f>
        <v/>
      </c>
    </row>
    <row r="533" ht="26.4" customHeight="1" s="183">
      <c r="B533" s="11" t="inlineStr">
        <is>
          <t>C10θ</t>
        </is>
      </c>
      <c r="C533" s="12" t="inlineStr">
        <is>
          <t>U10θ</t>
        </is>
      </c>
      <c r="D533" s="187" t="inlineStr">
        <is>
          <t>=</t>
        </is>
      </c>
      <c r="E533" s="13" t="n">
        <v>0</v>
      </c>
      <c r="F533" s="12" t="inlineStr">
        <is>
          <t>U10θ</t>
        </is>
      </c>
      <c r="H533" s="11" t="inlineStr">
        <is>
          <t>D10θ</t>
        </is>
      </c>
      <c r="I533" s="12" t="inlineStr">
        <is>
          <t>U10θ</t>
        </is>
      </c>
      <c r="J533" s="187" t="inlineStr">
        <is>
          <t>=</t>
        </is>
      </c>
      <c r="K533" s="14">
        <f>H533</f>
        <v/>
      </c>
      <c r="L533" s="12" t="inlineStr">
        <is>
          <t>U10θ</t>
        </is>
      </c>
      <c r="N533" s="186">
        <f>IF(OR($G$4=0, 10&gt;$G$4), "RESTRINGIDO", IF(ISNUMBER(K533), IF(K533=0, "RESTRINGIDO", "LIBRE"), "LIBRE"))</f>
        <v/>
      </c>
    </row>
    <row r="534" ht="26.4" customHeight="1" s="183">
      <c r="B534" s="11" t="inlineStr">
        <is>
          <t>C11X</t>
        </is>
      </c>
      <c r="C534" s="12" t="inlineStr">
        <is>
          <t>U11X</t>
        </is>
      </c>
      <c r="D534" s="187" t="inlineStr">
        <is>
          <t>=</t>
        </is>
      </c>
      <c r="E534" s="13" t="n">
        <v>0</v>
      </c>
      <c r="F534" s="12" t="inlineStr">
        <is>
          <t>U11X</t>
        </is>
      </c>
      <c r="H534" s="11" t="inlineStr">
        <is>
          <t>D11X</t>
        </is>
      </c>
      <c r="I534" s="12" t="inlineStr">
        <is>
          <t>U11X</t>
        </is>
      </c>
      <c r="J534" s="187" t="inlineStr">
        <is>
          <t>=</t>
        </is>
      </c>
      <c r="K534" s="14">
        <f>H534</f>
        <v/>
      </c>
      <c r="L534" s="12" t="inlineStr">
        <is>
          <t>U11X</t>
        </is>
      </c>
      <c r="N534" s="186">
        <f>IF(OR($G$4=0, 11&gt;$G$4), "RESTRINGIDO", IF(ISNUMBER(K534), IF(K534=0, "RESTRINGIDO", "LIBRE"), "LIBRE"))</f>
        <v/>
      </c>
    </row>
    <row r="535" ht="26.4" customHeight="1" s="183">
      <c r="B535" s="11" t="inlineStr">
        <is>
          <t>C11Y</t>
        </is>
      </c>
      <c r="C535" s="12" t="inlineStr">
        <is>
          <t>U11Y</t>
        </is>
      </c>
      <c r="D535" s="187" t="inlineStr">
        <is>
          <t>=</t>
        </is>
      </c>
      <c r="E535" s="13" t="n">
        <v>0</v>
      </c>
      <c r="F535" s="12" t="inlineStr">
        <is>
          <t>U11Y</t>
        </is>
      </c>
      <c r="H535" s="11" t="inlineStr">
        <is>
          <t>D11Y</t>
        </is>
      </c>
      <c r="I535" s="12" t="inlineStr">
        <is>
          <t>U11Y</t>
        </is>
      </c>
      <c r="J535" s="187" t="inlineStr">
        <is>
          <t>=</t>
        </is>
      </c>
      <c r="K535" s="14">
        <f>H535</f>
        <v/>
      </c>
      <c r="L535" s="12" t="inlineStr">
        <is>
          <t>U11Y</t>
        </is>
      </c>
      <c r="N535" s="186">
        <f>IF(OR($G$4=0, 11&gt;$G$4), "RESTRINGIDO", IF(ISNUMBER(K535), IF(K535=0, "RESTRINGIDO", "LIBRE"), "LIBRE"))</f>
        <v/>
      </c>
    </row>
    <row r="536" ht="26.4" customHeight="1" s="183">
      <c r="B536" s="11" t="inlineStr">
        <is>
          <t>C11θ</t>
        </is>
      </c>
      <c r="C536" s="12" t="inlineStr">
        <is>
          <t>U11θ</t>
        </is>
      </c>
      <c r="D536" s="187" t="inlineStr">
        <is>
          <t>=</t>
        </is>
      </c>
      <c r="E536" s="13" t="n">
        <v>0</v>
      </c>
      <c r="F536" s="12" t="inlineStr">
        <is>
          <t>U11θ</t>
        </is>
      </c>
      <c r="H536" s="11" t="inlineStr">
        <is>
          <t>D11θ</t>
        </is>
      </c>
      <c r="I536" s="12" t="inlineStr">
        <is>
          <t>U11θ</t>
        </is>
      </c>
      <c r="J536" s="187" t="inlineStr">
        <is>
          <t>=</t>
        </is>
      </c>
      <c r="K536" s="14">
        <f>H536</f>
        <v/>
      </c>
      <c r="L536" s="12" t="inlineStr">
        <is>
          <t>U11θ</t>
        </is>
      </c>
      <c r="N536" s="186">
        <f>IF(OR($G$4=0, 11&gt;$G$4), "RESTRINGIDO", IF(ISNUMBER(K536), IF(K536=0, "RESTRINGIDO", "LIBRE"), "LIBRE"))</f>
        <v/>
      </c>
    </row>
    <row r="539">
      <c r="B539" s="53" t="inlineStr">
        <is>
          <t>ECUACION MATRICIAL DEL SISTEMA: {C} = [Kviga] * {D}</t>
        </is>
      </c>
      <c r="C539" s="190" t="n"/>
      <c r="D539" s="190" t="n"/>
      <c r="E539" s="190" t="n"/>
      <c r="F539" s="190" t="n"/>
      <c r="G539" s="190" t="n"/>
      <c r="H539" s="190" t="n"/>
      <c r="I539" s="190" t="n"/>
      <c r="J539" s="190" t="n"/>
      <c r="K539" s="190" t="n"/>
      <c r="L539" s="190" t="n"/>
      <c r="M539" s="190" t="n"/>
      <c r="N539" s="190" t="n"/>
      <c r="O539" s="190" t="n"/>
      <c r="P539" s="190" t="n"/>
      <c r="Q539" s="190" t="n"/>
      <c r="R539" s="190" t="n"/>
      <c r="S539" s="190" t="n"/>
      <c r="T539" s="190" t="n"/>
      <c r="U539" s="190" t="n"/>
      <c r="V539" s="190" t="n"/>
      <c r="W539" s="190" t="n"/>
      <c r="X539" s="190" t="n"/>
      <c r="Y539" s="190" t="n"/>
      <c r="Z539" s="190" t="n"/>
      <c r="AA539" s="190" t="n"/>
      <c r="AB539" s="190" t="n"/>
      <c r="AC539" s="190" t="n"/>
      <c r="AD539" s="190" t="n"/>
      <c r="AE539" s="190" t="n"/>
      <c r="AF539" s="190" t="n"/>
      <c r="AG539" s="190" t="n"/>
      <c r="AH539" s="191" t="n"/>
    </row>
    <row r="541">
      <c r="A541" s="189">
        <f>E504</f>
        <v/>
      </c>
      <c r="B541" s="118" t="inlineStr">
        <is>
          <t>=</t>
        </is>
      </c>
      <c r="C541" s="8">
        <f>B467</f>
        <v/>
      </c>
      <c r="D541" s="189">
        <f>C467</f>
        <v/>
      </c>
      <c r="E541" s="189">
        <f>D467</f>
        <v/>
      </c>
      <c r="F541" s="189">
        <f>E467</f>
        <v/>
      </c>
      <c r="G541" s="189">
        <f>F467</f>
        <v/>
      </c>
      <c r="H541" s="189">
        <f>G467</f>
        <v/>
      </c>
      <c r="I541" s="189">
        <f>H467</f>
        <v/>
      </c>
      <c r="J541" s="189">
        <f>I467</f>
        <v/>
      </c>
      <c r="K541" s="189">
        <f>J467</f>
        <v/>
      </c>
      <c r="L541" s="189">
        <f>K467</f>
        <v/>
      </c>
      <c r="M541" s="189">
        <f>L467</f>
        <v/>
      </c>
      <c r="N541" s="189">
        <f>M467</f>
        <v/>
      </c>
      <c r="O541" s="189">
        <f>N467</f>
        <v/>
      </c>
      <c r="P541" s="189">
        <f>O467</f>
        <v/>
      </c>
      <c r="Q541" s="189">
        <f>P467</f>
        <v/>
      </c>
      <c r="R541" s="189">
        <f>Q467</f>
        <v/>
      </c>
      <c r="S541" s="189">
        <f>R467</f>
        <v/>
      </c>
      <c r="T541" s="189">
        <f>S467</f>
        <v/>
      </c>
      <c r="U541" s="189">
        <f>T467</f>
        <v/>
      </c>
      <c r="V541" s="189">
        <f>U467</f>
        <v/>
      </c>
      <c r="W541" s="189">
        <f>V467</f>
        <v/>
      </c>
      <c r="X541" s="189">
        <f>W467</f>
        <v/>
      </c>
      <c r="Y541" s="189">
        <f>X467</f>
        <v/>
      </c>
      <c r="Z541" s="189">
        <f>Y467</f>
        <v/>
      </c>
      <c r="AA541" s="189">
        <f>Z467</f>
        <v/>
      </c>
      <c r="AB541" s="189">
        <f>AA467</f>
        <v/>
      </c>
      <c r="AC541" s="189">
        <f>AB467</f>
        <v/>
      </c>
      <c r="AD541" s="189">
        <f>AC467</f>
        <v/>
      </c>
      <c r="AE541" s="189">
        <f>AD467</f>
        <v/>
      </c>
      <c r="AF541" s="189">
        <f>AE467</f>
        <v/>
      </c>
      <c r="AG541" s="189">
        <f>AF467</f>
        <v/>
      </c>
      <c r="AH541" s="189">
        <f>AG467</f>
        <v/>
      </c>
      <c r="AI541" s="189">
        <f>AH467</f>
        <v/>
      </c>
      <c r="AQ541" s="187">
        <f>K504</f>
        <v/>
      </c>
    </row>
    <row r="542">
      <c r="A542" s="189">
        <f>E505</f>
        <v/>
      </c>
      <c r="B542" s="118" t="inlineStr">
        <is>
          <t>=</t>
        </is>
      </c>
      <c r="C542" s="189">
        <f>B468</f>
        <v/>
      </c>
      <c r="D542" s="8">
        <f>C468</f>
        <v/>
      </c>
      <c r="E542" s="189">
        <f>D468</f>
        <v/>
      </c>
      <c r="F542" s="189">
        <f>E468</f>
        <v/>
      </c>
      <c r="G542" s="189">
        <f>F468</f>
        <v/>
      </c>
      <c r="H542" s="189">
        <f>G468</f>
        <v/>
      </c>
      <c r="I542" s="189">
        <f>H468</f>
        <v/>
      </c>
      <c r="J542" s="189">
        <f>I468</f>
        <v/>
      </c>
      <c r="K542" s="189">
        <f>J468</f>
        <v/>
      </c>
      <c r="L542" s="189">
        <f>K468</f>
        <v/>
      </c>
      <c r="M542" s="189">
        <f>L468</f>
        <v/>
      </c>
      <c r="N542" s="189">
        <f>M468</f>
        <v/>
      </c>
      <c r="O542" s="189">
        <f>N468</f>
        <v/>
      </c>
      <c r="P542" s="189">
        <f>O468</f>
        <v/>
      </c>
      <c r="Q542" s="189">
        <f>P468</f>
        <v/>
      </c>
      <c r="R542" s="189">
        <f>Q468</f>
        <v/>
      </c>
      <c r="S542" s="189">
        <f>R468</f>
        <v/>
      </c>
      <c r="T542" s="189">
        <f>S468</f>
        <v/>
      </c>
      <c r="U542" s="189">
        <f>T468</f>
        <v/>
      </c>
      <c r="V542" s="189">
        <f>U468</f>
        <v/>
      </c>
      <c r="W542" s="189">
        <f>V468</f>
        <v/>
      </c>
      <c r="X542" s="189">
        <f>W468</f>
        <v/>
      </c>
      <c r="Y542" s="189">
        <f>X468</f>
        <v/>
      </c>
      <c r="Z542" s="189">
        <f>Y468</f>
        <v/>
      </c>
      <c r="AA542" s="189">
        <f>Z468</f>
        <v/>
      </c>
      <c r="AB542" s="189">
        <f>AA468</f>
        <v/>
      </c>
      <c r="AC542" s="189">
        <f>AB468</f>
        <v/>
      </c>
      <c r="AD542" s="189">
        <f>AC468</f>
        <v/>
      </c>
      <c r="AE542" s="189">
        <f>AD468</f>
        <v/>
      </c>
      <c r="AF542" s="189">
        <f>AE468</f>
        <v/>
      </c>
      <c r="AG542" s="189">
        <f>AF468</f>
        <v/>
      </c>
      <c r="AH542" s="189">
        <f>AG468</f>
        <v/>
      </c>
      <c r="AI542" s="189">
        <f>AH468</f>
        <v/>
      </c>
      <c r="AQ542" s="187">
        <f>K505</f>
        <v/>
      </c>
    </row>
    <row r="543">
      <c r="A543" s="189">
        <f>E506</f>
        <v/>
      </c>
      <c r="B543" s="118" t="inlineStr">
        <is>
          <t>=</t>
        </is>
      </c>
      <c r="C543" s="189">
        <f>B469</f>
        <v/>
      </c>
      <c r="D543" s="189">
        <f>C469</f>
        <v/>
      </c>
      <c r="E543" s="8">
        <f>D469</f>
        <v/>
      </c>
      <c r="F543" s="189">
        <f>E469</f>
        <v/>
      </c>
      <c r="G543" s="189">
        <f>F469</f>
        <v/>
      </c>
      <c r="H543" s="189">
        <f>G469</f>
        <v/>
      </c>
      <c r="I543" s="189">
        <f>H469</f>
        <v/>
      </c>
      <c r="J543" s="189">
        <f>I469</f>
        <v/>
      </c>
      <c r="K543" s="189">
        <f>J469</f>
        <v/>
      </c>
      <c r="L543" s="189">
        <f>K469</f>
        <v/>
      </c>
      <c r="M543" s="189">
        <f>L469</f>
        <v/>
      </c>
      <c r="N543" s="189">
        <f>M469</f>
        <v/>
      </c>
      <c r="O543" s="189">
        <f>N469</f>
        <v/>
      </c>
      <c r="P543" s="189">
        <f>O469</f>
        <v/>
      </c>
      <c r="Q543" s="189">
        <f>P469</f>
        <v/>
      </c>
      <c r="R543" s="189">
        <f>Q469</f>
        <v/>
      </c>
      <c r="S543" s="189">
        <f>R469</f>
        <v/>
      </c>
      <c r="T543" s="189">
        <f>S469</f>
        <v/>
      </c>
      <c r="U543" s="189">
        <f>T469</f>
        <v/>
      </c>
      <c r="V543" s="189">
        <f>U469</f>
        <v/>
      </c>
      <c r="W543" s="189">
        <f>V469</f>
        <v/>
      </c>
      <c r="X543" s="189">
        <f>W469</f>
        <v/>
      </c>
      <c r="Y543" s="189">
        <f>X469</f>
        <v/>
      </c>
      <c r="Z543" s="189">
        <f>Y469</f>
        <v/>
      </c>
      <c r="AA543" s="189">
        <f>Z469</f>
        <v/>
      </c>
      <c r="AB543" s="189">
        <f>AA469</f>
        <v/>
      </c>
      <c r="AC543" s="189">
        <f>AB469</f>
        <v/>
      </c>
      <c r="AD543" s="189">
        <f>AC469</f>
        <v/>
      </c>
      <c r="AE543" s="189">
        <f>AD469</f>
        <v/>
      </c>
      <c r="AF543" s="189">
        <f>AE469</f>
        <v/>
      </c>
      <c r="AG543" s="189">
        <f>AF469</f>
        <v/>
      </c>
      <c r="AH543" s="189">
        <f>AG469</f>
        <v/>
      </c>
      <c r="AI543" s="189">
        <f>AH469</f>
        <v/>
      </c>
      <c r="AQ543" s="187">
        <f>K506</f>
        <v/>
      </c>
    </row>
    <row r="544">
      <c r="A544" s="189">
        <f>E507</f>
        <v/>
      </c>
      <c r="B544" s="118" t="inlineStr">
        <is>
          <t>=</t>
        </is>
      </c>
      <c r="C544" s="189">
        <f>B470</f>
        <v/>
      </c>
      <c r="D544" s="189">
        <f>C470</f>
        <v/>
      </c>
      <c r="E544" s="189">
        <f>D470</f>
        <v/>
      </c>
      <c r="F544" s="8">
        <f>E470</f>
        <v/>
      </c>
      <c r="G544" s="189">
        <f>F470</f>
        <v/>
      </c>
      <c r="H544" s="189">
        <f>G470</f>
        <v/>
      </c>
      <c r="I544" s="189">
        <f>H470</f>
        <v/>
      </c>
      <c r="J544" s="189">
        <f>I470</f>
        <v/>
      </c>
      <c r="K544" s="189">
        <f>J470</f>
        <v/>
      </c>
      <c r="L544" s="189">
        <f>K470</f>
        <v/>
      </c>
      <c r="M544" s="189">
        <f>L470</f>
        <v/>
      </c>
      <c r="N544" s="189">
        <f>M470</f>
        <v/>
      </c>
      <c r="O544" s="189">
        <f>N470</f>
        <v/>
      </c>
      <c r="P544" s="189">
        <f>O470</f>
        <v/>
      </c>
      <c r="Q544" s="189">
        <f>P470</f>
        <v/>
      </c>
      <c r="R544" s="189">
        <f>Q470</f>
        <v/>
      </c>
      <c r="S544" s="189">
        <f>R470</f>
        <v/>
      </c>
      <c r="T544" s="189">
        <f>S470</f>
        <v/>
      </c>
      <c r="U544" s="189">
        <f>T470</f>
        <v/>
      </c>
      <c r="V544" s="189">
        <f>U470</f>
        <v/>
      </c>
      <c r="W544" s="189">
        <f>V470</f>
        <v/>
      </c>
      <c r="X544" s="189">
        <f>W470</f>
        <v/>
      </c>
      <c r="Y544" s="189">
        <f>X470</f>
        <v/>
      </c>
      <c r="Z544" s="189">
        <f>Y470</f>
        <v/>
      </c>
      <c r="AA544" s="189">
        <f>Z470</f>
        <v/>
      </c>
      <c r="AB544" s="189">
        <f>AA470</f>
        <v/>
      </c>
      <c r="AC544" s="189">
        <f>AB470</f>
        <v/>
      </c>
      <c r="AD544" s="189">
        <f>AC470</f>
        <v/>
      </c>
      <c r="AE544" s="189">
        <f>AD470</f>
        <v/>
      </c>
      <c r="AF544" s="189">
        <f>AE470</f>
        <v/>
      </c>
      <c r="AG544" s="189">
        <f>AF470</f>
        <v/>
      </c>
      <c r="AH544" s="189">
        <f>AG470</f>
        <v/>
      </c>
      <c r="AI544" s="189">
        <f>AH470</f>
        <v/>
      </c>
      <c r="AQ544" s="187">
        <f>K507</f>
        <v/>
      </c>
    </row>
    <row r="545">
      <c r="A545" s="189">
        <f>E508</f>
        <v/>
      </c>
      <c r="B545" s="118" t="inlineStr">
        <is>
          <t>=</t>
        </is>
      </c>
      <c r="C545" s="189">
        <f>B471</f>
        <v/>
      </c>
      <c r="D545" s="189">
        <f>C471</f>
        <v/>
      </c>
      <c r="E545" s="189">
        <f>D471</f>
        <v/>
      </c>
      <c r="F545" s="189">
        <f>E471</f>
        <v/>
      </c>
      <c r="G545" s="8">
        <f>F471</f>
        <v/>
      </c>
      <c r="H545" s="189">
        <f>G471</f>
        <v/>
      </c>
      <c r="I545" s="189">
        <f>H471</f>
        <v/>
      </c>
      <c r="J545" s="189">
        <f>I471</f>
        <v/>
      </c>
      <c r="K545" s="189">
        <f>J471</f>
        <v/>
      </c>
      <c r="L545" s="189">
        <f>K471</f>
        <v/>
      </c>
      <c r="M545" s="189">
        <f>L471</f>
        <v/>
      </c>
      <c r="N545" s="189">
        <f>M471</f>
        <v/>
      </c>
      <c r="O545" s="189">
        <f>N471</f>
        <v/>
      </c>
      <c r="P545" s="189">
        <f>O471</f>
        <v/>
      </c>
      <c r="Q545" s="189">
        <f>P471</f>
        <v/>
      </c>
      <c r="R545" s="189">
        <f>Q471</f>
        <v/>
      </c>
      <c r="S545" s="189">
        <f>R471</f>
        <v/>
      </c>
      <c r="T545" s="189">
        <f>S471</f>
        <v/>
      </c>
      <c r="U545" s="189">
        <f>T471</f>
        <v/>
      </c>
      <c r="V545" s="189">
        <f>U471</f>
        <v/>
      </c>
      <c r="W545" s="189">
        <f>V471</f>
        <v/>
      </c>
      <c r="X545" s="189">
        <f>W471</f>
        <v/>
      </c>
      <c r="Y545" s="189">
        <f>X471</f>
        <v/>
      </c>
      <c r="Z545" s="189">
        <f>Y471</f>
        <v/>
      </c>
      <c r="AA545" s="189">
        <f>Z471</f>
        <v/>
      </c>
      <c r="AB545" s="189">
        <f>AA471</f>
        <v/>
      </c>
      <c r="AC545" s="189">
        <f>AB471</f>
        <v/>
      </c>
      <c r="AD545" s="189">
        <f>AC471</f>
        <v/>
      </c>
      <c r="AE545" s="189">
        <f>AD471</f>
        <v/>
      </c>
      <c r="AF545" s="189">
        <f>AE471</f>
        <v/>
      </c>
      <c r="AG545" s="189">
        <f>AF471</f>
        <v/>
      </c>
      <c r="AH545" s="189">
        <f>AG471</f>
        <v/>
      </c>
      <c r="AI545" s="189">
        <f>AH471</f>
        <v/>
      </c>
      <c r="AQ545" s="187">
        <f>K508</f>
        <v/>
      </c>
    </row>
    <row r="546">
      <c r="A546" s="189">
        <f>E509</f>
        <v/>
      </c>
      <c r="B546" s="118" t="inlineStr">
        <is>
          <t>=</t>
        </is>
      </c>
      <c r="C546" s="189">
        <f>B472</f>
        <v/>
      </c>
      <c r="D546" s="189">
        <f>C472</f>
        <v/>
      </c>
      <c r="E546" s="189">
        <f>D472</f>
        <v/>
      </c>
      <c r="F546" s="189">
        <f>E472</f>
        <v/>
      </c>
      <c r="G546" s="189">
        <f>F472</f>
        <v/>
      </c>
      <c r="H546" s="8">
        <f>G472</f>
        <v/>
      </c>
      <c r="I546" s="189">
        <f>H472</f>
        <v/>
      </c>
      <c r="J546" s="189">
        <f>I472</f>
        <v/>
      </c>
      <c r="K546" s="189">
        <f>J472</f>
        <v/>
      </c>
      <c r="L546" s="189">
        <f>K472</f>
        <v/>
      </c>
      <c r="M546" s="189">
        <f>L472</f>
        <v/>
      </c>
      <c r="N546" s="189">
        <f>M472</f>
        <v/>
      </c>
      <c r="O546" s="189">
        <f>N472</f>
        <v/>
      </c>
      <c r="P546" s="189">
        <f>O472</f>
        <v/>
      </c>
      <c r="Q546" s="189">
        <f>P472</f>
        <v/>
      </c>
      <c r="R546" s="189">
        <f>Q472</f>
        <v/>
      </c>
      <c r="S546" s="189">
        <f>R472</f>
        <v/>
      </c>
      <c r="T546" s="189">
        <f>S472</f>
        <v/>
      </c>
      <c r="U546" s="189">
        <f>T472</f>
        <v/>
      </c>
      <c r="V546" s="189">
        <f>U472</f>
        <v/>
      </c>
      <c r="W546" s="189">
        <f>V472</f>
        <v/>
      </c>
      <c r="X546" s="189">
        <f>W472</f>
        <v/>
      </c>
      <c r="Y546" s="189">
        <f>X472</f>
        <v/>
      </c>
      <c r="Z546" s="189">
        <f>Y472</f>
        <v/>
      </c>
      <c r="AA546" s="189">
        <f>Z472</f>
        <v/>
      </c>
      <c r="AB546" s="189">
        <f>AA472</f>
        <v/>
      </c>
      <c r="AC546" s="189">
        <f>AB472</f>
        <v/>
      </c>
      <c r="AD546" s="189">
        <f>AC472</f>
        <v/>
      </c>
      <c r="AE546" s="189">
        <f>AD472</f>
        <v/>
      </c>
      <c r="AF546" s="189">
        <f>AE472</f>
        <v/>
      </c>
      <c r="AG546" s="189">
        <f>AF472</f>
        <v/>
      </c>
      <c r="AH546" s="189">
        <f>AG472</f>
        <v/>
      </c>
      <c r="AI546" s="189">
        <f>AH472</f>
        <v/>
      </c>
      <c r="AQ546" s="187">
        <f>K509</f>
        <v/>
      </c>
    </row>
    <row r="547">
      <c r="A547" s="189">
        <f>E510</f>
        <v/>
      </c>
      <c r="B547" s="118" t="inlineStr">
        <is>
          <t>=</t>
        </is>
      </c>
      <c r="C547" s="189">
        <f>B473</f>
        <v/>
      </c>
      <c r="D547" s="189">
        <f>C473</f>
        <v/>
      </c>
      <c r="E547" s="189">
        <f>D473</f>
        <v/>
      </c>
      <c r="F547" s="189">
        <f>E473</f>
        <v/>
      </c>
      <c r="G547" s="189">
        <f>F473</f>
        <v/>
      </c>
      <c r="H547" s="189">
        <f>G473</f>
        <v/>
      </c>
      <c r="I547" s="8">
        <f>H473</f>
        <v/>
      </c>
      <c r="J547" s="189">
        <f>I473</f>
        <v/>
      </c>
      <c r="K547" s="189">
        <f>J473</f>
        <v/>
      </c>
      <c r="L547" s="189">
        <f>K473</f>
        <v/>
      </c>
      <c r="M547" s="189">
        <f>L473</f>
        <v/>
      </c>
      <c r="N547" s="189">
        <f>M473</f>
        <v/>
      </c>
      <c r="O547" s="189">
        <f>N473</f>
        <v/>
      </c>
      <c r="P547" s="189">
        <f>O473</f>
        <v/>
      </c>
      <c r="Q547" s="189">
        <f>P473</f>
        <v/>
      </c>
      <c r="R547" s="189">
        <f>Q473</f>
        <v/>
      </c>
      <c r="S547" s="189">
        <f>R473</f>
        <v/>
      </c>
      <c r="T547" s="189">
        <f>S473</f>
        <v/>
      </c>
      <c r="U547" s="189">
        <f>T473</f>
        <v/>
      </c>
      <c r="V547" s="189">
        <f>U473</f>
        <v/>
      </c>
      <c r="W547" s="189">
        <f>V473</f>
        <v/>
      </c>
      <c r="X547" s="189">
        <f>W473</f>
        <v/>
      </c>
      <c r="Y547" s="189">
        <f>X473</f>
        <v/>
      </c>
      <c r="Z547" s="189">
        <f>Y473</f>
        <v/>
      </c>
      <c r="AA547" s="189">
        <f>Z473</f>
        <v/>
      </c>
      <c r="AB547" s="189">
        <f>AA473</f>
        <v/>
      </c>
      <c r="AC547" s="189">
        <f>AB473</f>
        <v/>
      </c>
      <c r="AD547" s="189">
        <f>AC473</f>
        <v/>
      </c>
      <c r="AE547" s="189">
        <f>AD473</f>
        <v/>
      </c>
      <c r="AF547" s="189">
        <f>AE473</f>
        <v/>
      </c>
      <c r="AG547" s="189">
        <f>AF473</f>
        <v/>
      </c>
      <c r="AH547" s="189">
        <f>AG473</f>
        <v/>
      </c>
      <c r="AI547" s="189">
        <f>AH473</f>
        <v/>
      </c>
      <c r="AQ547" s="187">
        <f>K510</f>
        <v/>
      </c>
    </row>
    <row r="548">
      <c r="A548" s="189">
        <f>E511</f>
        <v/>
      </c>
      <c r="B548" s="118" t="inlineStr">
        <is>
          <t>=</t>
        </is>
      </c>
      <c r="C548" s="189">
        <f>B474</f>
        <v/>
      </c>
      <c r="D548" s="189">
        <f>C474</f>
        <v/>
      </c>
      <c r="E548" s="189">
        <f>D474</f>
        <v/>
      </c>
      <c r="F548" s="189">
        <f>E474</f>
        <v/>
      </c>
      <c r="G548" s="189">
        <f>F474</f>
        <v/>
      </c>
      <c r="H548" s="189">
        <f>G474</f>
        <v/>
      </c>
      <c r="I548" s="189">
        <f>H474</f>
        <v/>
      </c>
      <c r="J548" s="8">
        <f>I474</f>
        <v/>
      </c>
      <c r="K548" s="189">
        <f>J474</f>
        <v/>
      </c>
      <c r="L548" s="189">
        <f>K474</f>
        <v/>
      </c>
      <c r="M548" s="189">
        <f>L474</f>
        <v/>
      </c>
      <c r="N548" s="189">
        <f>M474</f>
        <v/>
      </c>
      <c r="O548" s="189">
        <f>N474</f>
        <v/>
      </c>
      <c r="P548" s="189">
        <f>O474</f>
        <v/>
      </c>
      <c r="Q548" s="189">
        <f>P474</f>
        <v/>
      </c>
      <c r="R548" s="189">
        <f>Q474</f>
        <v/>
      </c>
      <c r="S548" s="189">
        <f>R474</f>
        <v/>
      </c>
      <c r="T548" s="189">
        <f>S474</f>
        <v/>
      </c>
      <c r="U548" s="189">
        <f>T474</f>
        <v/>
      </c>
      <c r="V548" s="189">
        <f>U474</f>
        <v/>
      </c>
      <c r="W548" s="189">
        <f>V474</f>
        <v/>
      </c>
      <c r="X548" s="189">
        <f>W474</f>
        <v/>
      </c>
      <c r="Y548" s="189">
        <f>X474</f>
        <v/>
      </c>
      <c r="Z548" s="189">
        <f>Y474</f>
        <v/>
      </c>
      <c r="AA548" s="189">
        <f>Z474</f>
        <v/>
      </c>
      <c r="AB548" s="189">
        <f>AA474</f>
        <v/>
      </c>
      <c r="AC548" s="189">
        <f>AB474</f>
        <v/>
      </c>
      <c r="AD548" s="189">
        <f>AC474</f>
        <v/>
      </c>
      <c r="AE548" s="189">
        <f>AD474</f>
        <v/>
      </c>
      <c r="AF548" s="189">
        <f>AE474</f>
        <v/>
      </c>
      <c r="AG548" s="189">
        <f>AF474</f>
        <v/>
      </c>
      <c r="AH548" s="189">
        <f>AG474</f>
        <v/>
      </c>
      <c r="AI548" s="189">
        <f>AH474</f>
        <v/>
      </c>
      <c r="AQ548" s="187">
        <f>K511</f>
        <v/>
      </c>
    </row>
    <row r="549">
      <c r="A549" s="189">
        <f>E512</f>
        <v/>
      </c>
      <c r="B549" s="118" t="inlineStr">
        <is>
          <t>=</t>
        </is>
      </c>
      <c r="C549" s="189">
        <f>B475</f>
        <v/>
      </c>
      <c r="D549" s="189">
        <f>C475</f>
        <v/>
      </c>
      <c r="E549" s="189">
        <f>D475</f>
        <v/>
      </c>
      <c r="F549" s="189">
        <f>E475</f>
        <v/>
      </c>
      <c r="G549" s="189">
        <f>F475</f>
        <v/>
      </c>
      <c r="H549" s="189">
        <f>G475</f>
        <v/>
      </c>
      <c r="I549" s="189">
        <f>H475</f>
        <v/>
      </c>
      <c r="J549" s="189">
        <f>I475</f>
        <v/>
      </c>
      <c r="K549" s="8">
        <f>J475</f>
        <v/>
      </c>
      <c r="L549" s="189">
        <f>K475</f>
        <v/>
      </c>
      <c r="M549" s="189">
        <f>L475</f>
        <v/>
      </c>
      <c r="N549" s="189">
        <f>M475</f>
        <v/>
      </c>
      <c r="O549" s="189">
        <f>N475</f>
        <v/>
      </c>
      <c r="P549" s="189">
        <f>O475</f>
        <v/>
      </c>
      <c r="Q549" s="189">
        <f>P475</f>
        <v/>
      </c>
      <c r="R549" s="189">
        <f>Q475</f>
        <v/>
      </c>
      <c r="S549" s="189">
        <f>R475</f>
        <v/>
      </c>
      <c r="T549" s="189">
        <f>S475</f>
        <v/>
      </c>
      <c r="U549" s="189">
        <f>T475</f>
        <v/>
      </c>
      <c r="V549" s="189">
        <f>U475</f>
        <v/>
      </c>
      <c r="W549" s="189">
        <f>V475</f>
        <v/>
      </c>
      <c r="X549" s="189">
        <f>W475</f>
        <v/>
      </c>
      <c r="Y549" s="189">
        <f>X475</f>
        <v/>
      </c>
      <c r="Z549" s="189">
        <f>Y475</f>
        <v/>
      </c>
      <c r="AA549" s="189">
        <f>Z475</f>
        <v/>
      </c>
      <c r="AB549" s="189">
        <f>AA475</f>
        <v/>
      </c>
      <c r="AC549" s="189">
        <f>AB475</f>
        <v/>
      </c>
      <c r="AD549" s="189">
        <f>AC475</f>
        <v/>
      </c>
      <c r="AE549" s="189">
        <f>AD475</f>
        <v/>
      </c>
      <c r="AF549" s="189">
        <f>AE475</f>
        <v/>
      </c>
      <c r="AG549" s="189">
        <f>AF475</f>
        <v/>
      </c>
      <c r="AH549" s="189">
        <f>AG475</f>
        <v/>
      </c>
      <c r="AI549" s="189">
        <f>AH475</f>
        <v/>
      </c>
      <c r="AQ549" s="187">
        <f>K512</f>
        <v/>
      </c>
    </row>
    <row r="550">
      <c r="A550" s="189">
        <f>E513</f>
        <v/>
      </c>
      <c r="B550" s="118" t="inlineStr">
        <is>
          <t>=</t>
        </is>
      </c>
      <c r="C550" s="189">
        <f>B476</f>
        <v/>
      </c>
      <c r="D550" s="189">
        <f>C476</f>
        <v/>
      </c>
      <c r="E550" s="189">
        <f>D476</f>
        <v/>
      </c>
      <c r="F550" s="189">
        <f>E476</f>
        <v/>
      </c>
      <c r="G550" s="189">
        <f>F476</f>
        <v/>
      </c>
      <c r="H550" s="189">
        <f>G476</f>
        <v/>
      </c>
      <c r="I550" s="189">
        <f>H476</f>
        <v/>
      </c>
      <c r="J550" s="189">
        <f>I476</f>
        <v/>
      </c>
      <c r="K550" s="189">
        <f>J476</f>
        <v/>
      </c>
      <c r="L550" s="8">
        <f>K476</f>
        <v/>
      </c>
      <c r="M550" s="189">
        <f>L476</f>
        <v/>
      </c>
      <c r="N550" s="189">
        <f>M476</f>
        <v/>
      </c>
      <c r="O550" s="189">
        <f>N476</f>
        <v/>
      </c>
      <c r="P550" s="189">
        <f>O476</f>
        <v/>
      </c>
      <c r="Q550" s="189">
        <f>P476</f>
        <v/>
      </c>
      <c r="R550" s="189">
        <f>Q476</f>
        <v/>
      </c>
      <c r="S550" s="189">
        <f>R476</f>
        <v/>
      </c>
      <c r="T550" s="189">
        <f>S476</f>
        <v/>
      </c>
      <c r="U550" s="189">
        <f>T476</f>
        <v/>
      </c>
      <c r="V550" s="189">
        <f>U476</f>
        <v/>
      </c>
      <c r="W550" s="189">
        <f>V476</f>
        <v/>
      </c>
      <c r="X550" s="189">
        <f>W476</f>
        <v/>
      </c>
      <c r="Y550" s="189">
        <f>X476</f>
        <v/>
      </c>
      <c r="Z550" s="189">
        <f>Y476</f>
        <v/>
      </c>
      <c r="AA550" s="189">
        <f>Z476</f>
        <v/>
      </c>
      <c r="AB550" s="189">
        <f>AA476</f>
        <v/>
      </c>
      <c r="AC550" s="189">
        <f>AB476</f>
        <v/>
      </c>
      <c r="AD550" s="189">
        <f>AC476</f>
        <v/>
      </c>
      <c r="AE550" s="189">
        <f>AD476</f>
        <v/>
      </c>
      <c r="AF550" s="189">
        <f>AE476</f>
        <v/>
      </c>
      <c r="AG550" s="189">
        <f>AF476</f>
        <v/>
      </c>
      <c r="AH550" s="189">
        <f>AG476</f>
        <v/>
      </c>
      <c r="AI550" s="189">
        <f>AH476</f>
        <v/>
      </c>
      <c r="AQ550" s="187">
        <f>K513</f>
        <v/>
      </c>
    </row>
    <row r="551">
      <c r="A551" s="189">
        <f>E514</f>
        <v/>
      </c>
      <c r="B551" s="118" t="inlineStr">
        <is>
          <t>=</t>
        </is>
      </c>
      <c r="C551" s="189">
        <f>B477</f>
        <v/>
      </c>
      <c r="D551" s="189">
        <f>C477</f>
        <v/>
      </c>
      <c r="E551" s="189">
        <f>D477</f>
        <v/>
      </c>
      <c r="F551" s="189">
        <f>E477</f>
        <v/>
      </c>
      <c r="G551" s="189">
        <f>F477</f>
        <v/>
      </c>
      <c r="H551" s="189">
        <f>G477</f>
        <v/>
      </c>
      <c r="I551" s="189">
        <f>H477</f>
        <v/>
      </c>
      <c r="J551" s="189">
        <f>I477</f>
        <v/>
      </c>
      <c r="K551" s="189">
        <f>J477</f>
        <v/>
      </c>
      <c r="L551" s="189">
        <f>K477</f>
        <v/>
      </c>
      <c r="M551" s="8">
        <f>L477</f>
        <v/>
      </c>
      <c r="N551" s="189">
        <f>M477</f>
        <v/>
      </c>
      <c r="O551" s="189">
        <f>N477</f>
        <v/>
      </c>
      <c r="P551" s="189">
        <f>O477</f>
        <v/>
      </c>
      <c r="Q551" s="189">
        <f>P477</f>
        <v/>
      </c>
      <c r="R551" s="189">
        <f>Q477</f>
        <v/>
      </c>
      <c r="S551" s="189">
        <f>R477</f>
        <v/>
      </c>
      <c r="T551" s="189">
        <f>S477</f>
        <v/>
      </c>
      <c r="U551" s="189">
        <f>T477</f>
        <v/>
      </c>
      <c r="V551" s="189">
        <f>U477</f>
        <v/>
      </c>
      <c r="W551" s="189">
        <f>V477</f>
        <v/>
      </c>
      <c r="X551" s="189">
        <f>W477</f>
        <v/>
      </c>
      <c r="Y551" s="189">
        <f>X477</f>
        <v/>
      </c>
      <c r="Z551" s="189">
        <f>Y477</f>
        <v/>
      </c>
      <c r="AA551" s="189">
        <f>Z477</f>
        <v/>
      </c>
      <c r="AB551" s="189">
        <f>AA477</f>
        <v/>
      </c>
      <c r="AC551" s="189">
        <f>AB477</f>
        <v/>
      </c>
      <c r="AD551" s="189">
        <f>AC477</f>
        <v/>
      </c>
      <c r="AE551" s="189">
        <f>AD477</f>
        <v/>
      </c>
      <c r="AF551" s="189">
        <f>AE477</f>
        <v/>
      </c>
      <c r="AG551" s="189">
        <f>AF477</f>
        <v/>
      </c>
      <c r="AH551" s="189">
        <f>AG477</f>
        <v/>
      </c>
      <c r="AI551" s="189">
        <f>AH477</f>
        <v/>
      </c>
      <c r="AQ551" s="187">
        <f>K514</f>
        <v/>
      </c>
    </row>
    <row r="552">
      <c r="A552" s="189">
        <f>E515</f>
        <v/>
      </c>
      <c r="B552" s="118" t="inlineStr">
        <is>
          <t>=</t>
        </is>
      </c>
      <c r="C552" s="189">
        <f>B478</f>
        <v/>
      </c>
      <c r="D552" s="189">
        <f>C478</f>
        <v/>
      </c>
      <c r="E552" s="189">
        <f>D478</f>
        <v/>
      </c>
      <c r="F552" s="189">
        <f>E478</f>
        <v/>
      </c>
      <c r="G552" s="189">
        <f>F478</f>
        <v/>
      </c>
      <c r="H552" s="189">
        <f>G478</f>
        <v/>
      </c>
      <c r="I552" s="189">
        <f>H478</f>
        <v/>
      </c>
      <c r="J552" s="189">
        <f>I478</f>
        <v/>
      </c>
      <c r="K552" s="189">
        <f>J478</f>
        <v/>
      </c>
      <c r="L552" s="189">
        <f>K478</f>
        <v/>
      </c>
      <c r="M552" s="189">
        <f>L478</f>
        <v/>
      </c>
      <c r="N552" s="8">
        <f>M478</f>
        <v/>
      </c>
      <c r="O552" s="189">
        <f>N478</f>
        <v/>
      </c>
      <c r="P552" s="189">
        <f>O478</f>
        <v/>
      </c>
      <c r="Q552" s="189">
        <f>P478</f>
        <v/>
      </c>
      <c r="R552" s="189">
        <f>Q478</f>
        <v/>
      </c>
      <c r="S552" s="189">
        <f>R478</f>
        <v/>
      </c>
      <c r="T552" s="189">
        <f>S478</f>
        <v/>
      </c>
      <c r="U552" s="189">
        <f>T478</f>
        <v/>
      </c>
      <c r="V552" s="189">
        <f>U478</f>
        <v/>
      </c>
      <c r="W552" s="189">
        <f>V478</f>
        <v/>
      </c>
      <c r="X552" s="189">
        <f>W478</f>
        <v/>
      </c>
      <c r="Y552" s="189">
        <f>X478</f>
        <v/>
      </c>
      <c r="Z552" s="189">
        <f>Y478</f>
        <v/>
      </c>
      <c r="AA552" s="189">
        <f>Z478</f>
        <v/>
      </c>
      <c r="AB552" s="189">
        <f>AA478</f>
        <v/>
      </c>
      <c r="AC552" s="189">
        <f>AB478</f>
        <v/>
      </c>
      <c r="AD552" s="189">
        <f>AC478</f>
        <v/>
      </c>
      <c r="AE552" s="189">
        <f>AD478</f>
        <v/>
      </c>
      <c r="AF552" s="189">
        <f>AE478</f>
        <v/>
      </c>
      <c r="AG552" s="189">
        <f>AF478</f>
        <v/>
      </c>
      <c r="AH552" s="189">
        <f>AG478</f>
        <v/>
      </c>
      <c r="AI552" s="189">
        <f>AH478</f>
        <v/>
      </c>
      <c r="AQ552" s="187">
        <f>K515</f>
        <v/>
      </c>
    </row>
    <row r="553">
      <c r="A553" s="189">
        <f>E516</f>
        <v/>
      </c>
      <c r="B553" s="118" t="inlineStr">
        <is>
          <t>=</t>
        </is>
      </c>
      <c r="C553" s="189">
        <f>B479</f>
        <v/>
      </c>
      <c r="D553" s="189">
        <f>C479</f>
        <v/>
      </c>
      <c r="E553" s="189">
        <f>D479</f>
        <v/>
      </c>
      <c r="F553" s="189">
        <f>E479</f>
        <v/>
      </c>
      <c r="G553" s="189">
        <f>F479</f>
        <v/>
      </c>
      <c r="H553" s="189">
        <f>G479</f>
        <v/>
      </c>
      <c r="I553" s="189">
        <f>H479</f>
        <v/>
      </c>
      <c r="J553" s="189">
        <f>I479</f>
        <v/>
      </c>
      <c r="K553" s="189">
        <f>J479</f>
        <v/>
      </c>
      <c r="L553" s="189">
        <f>K479</f>
        <v/>
      </c>
      <c r="M553" s="189">
        <f>L479</f>
        <v/>
      </c>
      <c r="N553" s="189">
        <f>M479</f>
        <v/>
      </c>
      <c r="O553" s="8">
        <f>N479</f>
        <v/>
      </c>
      <c r="P553" s="189">
        <f>O479</f>
        <v/>
      </c>
      <c r="Q553" s="189">
        <f>P479</f>
        <v/>
      </c>
      <c r="R553" s="189">
        <f>Q479</f>
        <v/>
      </c>
      <c r="S553" s="189">
        <f>R479</f>
        <v/>
      </c>
      <c r="T553" s="189">
        <f>S479</f>
        <v/>
      </c>
      <c r="U553" s="189">
        <f>T479</f>
        <v/>
      </c>
      <c r="V553" s="189">
        <f>U479</f>
        <v/>
      </c>
      <c r="W553" s="189">
        <f>V479</f>
        <v/>
      </c>
      <c r="X553" s="189">
        <f>W479</f>
        <v/>
      </c>
      <c r="Y553" s="189">
        <f>X479</f>
        <v/>
      </c>
      <c r="Z553" s="189">
        <f>Y479</f>
        <v/>
      </c>
      <c r="AA553" s="189">
        <f>Z479</f>
        <v/>
      </c>
      <c r="AB553" s="189">
        <f>AA479</f>
        <v/>
      </c>
      <c r="AC553" s="189">
        <f>AB479</f>
        <v/>
      </c>
      <c r="AD553" s="189">
        <f>AC479</f>
        <v/>
      </c>
      <c r="AE553" s="189">
        <f>AD479</f>
        <v/>
      </c>
      <c r="AF553" s="189">
        <f>AE479</f>
        <v/>
      </c>
      <c r="AG553" s="189">
        <f>AF479</f>
        <v/>
      </c>
      <c r="AH553" s="189">
        <f>AG479</f>
        <v/>
      </c>
      <c r="AI553" s="189">
        <f>AH479</f>
        <v/>
      </c>
      <c r="AQ553" s="187">
        <f>K516</f>
        <v/>
      </c>
    </row>
    <row r="554">
      <c r="A554" s="189">
        <f>E517</f>
        <v/>
      </c>
      <c r="B554" s="118" t="inlineStr">
        <is>
          <t>=</t>
        </is>
      </c>
      <c r="C554" s="189">
        <f>B480</f>
        <v/>
      </c>
      <c r="D554" s="189">
        <f>C480</f>
        <v/>
      </c>
      <c r="E554" s="189">
        <f>D480</f>
        <v/>
      </c>
      <c r="F554" s="189">
        <f>E480</f>
        <v/>
      </c>
      <c r="G554" s="189">
        <f>F480</f>
        <v/>
      </c>
      <c r="H554" s="189">
        <f>G480</f>
        <v/>
      </c>
      <c r="I554" s="189">
        <f>H480</f>
        <v/>
      </c>
      <c r="J554" s="189">
        <f>I480</f>
        <v/>
      </c>
      <c r="K554" s="189">
        <f>J480</f>
        <v/>
      </c>
      <c r="L554" s="189">
        <f>K480</f>
        <v/>
      </c>
      <c r="M554" s="189">
        <f>L480</f>
        <v/>
      </c>
      <c r="N554" s="189">
        <f>M480</f>
        <v/>
      </c>
      <c r="O554" s="189">
        <f>N480</f>
        <v/>
      </c>
      <c r="P554" s="8">
        <f>O480</f>
        <v/>
      </c>
      <c r="Q554" s="189">
        <f>P480</f>
        <v/>
      </c>
      <c r="R554" s="189">
        <f>Q480</f>
        <v/>
      </c>
      <c r="S554" s="189">
        <f>R480</f>
        <v/>
      </c>
      <c r="T554" s="189">
        <f>S480</f>
        <v/>
      </c>
      <c r="U554" s="189">
        <f>T480</f>
        <v/>
      </c>
      <c r="V554" s="189">
        <f>U480</f>
        <v/>
      </c>
      <c r="W554" s="189">
        <f>V480</f>
        <v/>
      </c>
      <c r="X554" s="189">
        <f>W480</f>
        <v/>
      </c>
      <c r="Y554" s="189">
        <f>X480</f>
        <v/>
      </c>
      <c r="Z554" s="189">
        <f>Y480</f>
        <v/>
      </c>
      <c r="AA554" s="189">
        <f>Z480</f>
        <v/>
      </c>
      <c r="AB554" s="189">
        <f>AA480</f>
        <v/>
      </c>
      <c r="AC554" s="189">
        <f>AB480</f>
        <v/>
      </c>
      <c r="AD554" s="189">
        <f>AC480</f>
        <v/>
      </c>
      <c r="AE554" s="189">
        <f>AD480</f>
        <v/>
      </c>
      <c r="AF554" s="189">
        <f>AE480</f>
        <v/>
      </c>
      <c r="AG554" s="189">
        <f>AF480</f>
        <v/>
      </c>
      <c r="AH554" s="189">
        <f>AG480</f>
        <v/>
      </c>
      <c r="AI554" s="189">
        <f>AH480</f>
        <v/>
      </c>
      <c r="AQ554" s="187">
        <f>K517</f>
        <v/>
      </c>
    </row>
    <row r="555">
      <c r="A555" s="189">
        <f>E518</f>
        <v/>
      </c>
      <c r="B555" s="118" t="inlineStr">
        <is>
          <t>=</t>
        </is>
      </c>
      <c r="C555" s="189">
        <f>B481</f>
        <v/>
      </c>
      <c r="D555" s="189">
        <f>C481</f>
        <v/>
      </c>
      <c r="E555" s="189">
        <f>D481</f>
        <v/>
      </c>
      <c r="F555" s="189">
        <f>E481</f>
        <v/>
      </c>
      <c r="G555" s="189">
        <f>F481</f>
        <v/>
      </c>
      <c r="H555" s="189">
        <f>G481</f>
        <v/>
      </c>
      <c r="I555" s="189">
        <f>H481</f>
        <v/>
      </c>
      <c r="J555" s="189">
        <f>I481</f>
        <v/>
      </c>
      <c r="K555" s="189">
        <f>J481</f>
        <v/>
      </c>
      <c r="L555" s="189">
        <f>K481</f>
        <v/>
      </c>
      <c r="M555" s="189">
        <f>L481</f>
        <v/>
      </c>
      <c r="N555" s="189">
        <f>M481</f>
        <v/>
      </c>
      <c r="O555" s="189">
        <f>N481</f>
        <v/>
      </c>
      <c r="P555" s="189">
        <f>O481</f>
        <v/>
      </c>
      <c r="Q555" s="8">
        <f>P481</f>
        <v/>
      </c>
      <c r="R555" s="189">
        <f>Q481</f>
        <v/>
      </c>
      <c r="S555" s="189">
        <f>R481</f>
        <v/>
      </c>
      <c r="T555" s="189">
        <f>S481</f>
        <v/>
      </c>
      <c r="U555" s="189">
        <f>T481</f>
        <v/>
      </c>
      <c r="V555" s="189">
        <f>U481</f>
        <v/>
      </c>
      <c r="W555" s="189">
        <f>V481</f>
        <v/>
      </c>
      <c r="X555" s="189">
        <f>W481</f>
        <v/>
      </c>
      <c r="Y555" s="189">
        <f>X481</f>
        <v/>
      </c>
      <c r="Z555" s="189">
        <f>Y481</f>
        <v/>
      </c>
      <c r="AA555" s="189">
        <f>Z481</f>
        <v/>
      </c>
      <c r="AB555" s="189">
        <f>AA481</f>
        <v/>
      </c>
      <c r="AC555" s="189">
        <f>AB481</f>
        <v/>
      </c>
      <c r="AD555" s="189">
        <f>AC481</f>
        <v/>
      </c>
      <c r="AE555" s="189">
        <f>AD481</f>
        <v/>
      </c>
      <c r="AF555" s="189">
        <f>AE481</f>
        <v/>
      </c>
      <c r="AG555" s="189">
        <f>AF481</f>
        <v/>
      </c>
      <c r="AH555" s="189">
        <f>AG481</f>
        <v/>
      </c>
      <c r="AI555" s="189">
        <f>AH481</f>
        <v/>
      </c>
      <c r="AQ555" s="187">
        <f>K518</f>
        <v/>
      </c>
    </row>
    <row r="556">
      <c r="A556" s="189">
        <f>E519</f>
        <v/>
      </c>
      <c r="B556" s="118" t="inlineStr">
        <is>
          <t>=</t>
        </is>
      </c>
      <c r="C556" s="189">
        <f>B482</f>
        <v/>
      </c>
      <c r="D556" s="189">
        <f>C482</f>
        <v/>
      </c>
      <c r="E556" s="189">
        <f>D482</f>
        <v/>
      </c>
      <c r="F556" s="189">
        <f>E482</f>
        <v/>
      </c>
      <c r="G556" s="189">
        <f>F482</f>
        <v/>
      </c>
      <c r="H556" s="189">
        <f>G482</f>
        <v/>
      </c>
      <c r="I556" s="189">
        <f>H482</f>
        <v/>
      </c>
      <c r="J556" s="189">
        <f>I482</f>
        <v/>
      </c>
      <c r="K556" s="189">
        <f>J482</f>
        <v/>
      </c>
      <c r="L556" s="189">
        <f>K482</f>
        <v/>
      </c>
      <c r="M556" s="189">
        <f>L482</f>
        <v/>
      </c>
      <c r="N556" s="189">
        <f>M482</f>
        <v/>
      </c>
      <c r="O556" s="189">
        <f>N482</f>
        <v/>
      </c>
      <c r="P556" s="189">
        <f>O482</f>
        <v/>
      </c>
      <c r="Q556" s="189">
        <f>P482</f>
        <v/>
      </c>
      <c r="R556" s="8">
        <f>Q482</f>
        <v/>
      </c>
      <c r="S556" s="189">
        <f>R482</f>
        <v/>
      </c>
      <c r="T556" s="189">
        <f>S482</f>
        <v/>
      </c>
      <c r="U556" s="189">
        <f>T482</f>
        <v/>
      </c>
      <c r="V556" s="189">
        <f>U482</f>
        <v/>
      </c>
      <c r="W556" s="189">
        <f>V482</f>
        <v/>
      </c>
      <c r="X556" s="189">
        <f>W482</f>
        <v/>
      </c>
      <c r="Y556" s="189">
        <f>X482</f>
        <v/>
      </c>
      <c r="Z556" s="189">
        <f>Y482</f>
        <v/>
      </c>
      <c r="AA556" s="189">
        <f>Z482</f>
        <v/>
      </c>
      <c r="AB556" s="189">
        <f>AA482</f>
        <v/>
      </c>
      <c r="AC556" s="189">
        <f>AB482</f>
        <v/>
      </c>
      <c r="AD556" s="189">
        <f>AC482</f>
        <v/>
      </c>
      <c r="AE556" s="189">
        <f>AD482</f>
        <v/>
      </c>
      <c r="AF556" s="189">
        <f>AE482</f>
        <v/>
      </c>
      <c r="AG556" s="189">
        <f>AF482</f>
        <v/>
      </c>
      <c r="AH556" s="189">
        <f>AG482</f>
        <v/>
      </c>
      <c r="AI556" s="189">
        <f>AH482</f>
        <v/>
      </c>
      <c r="AQ556" s="187">
        <f>K519</f>
        <v/>
      </c>
    </row>
    <row r="557">
      <c r="A557" s="189">
        <f>E520</f>
        <v/>
      </c>
      <c r="B557" s="118" t="inlineStr">
        <is>
          <t>=</t>
        </is>
      </c>
      <c r="C557" s="189">
        <f>B483</f>
        <v/>
      </c>
      <c r="D557" s="189">
        <f>C483</f>
        <v/>
      </c>
      <c r="E557" s="189">
        <f>D483</f>
        <v/>
      </c>
      <c r="F557" s="189">
        <f>E483</f>
        <v/>
      </c>
      <c r="G557" s="189">
        <f>F483</f>
        <v/>
      </c>
      <c r="H557" s="189">
        <f>G483</f>
        <v/>
      </c>
      <c r="I557" s="189">
        <f>H483</f>
        <v/>
      </c>
      <c r="J557" s="189">
        <f>I483</f>
        <v/>
      </c>
      <c r="K557" s="189">
        <f>J483</f>
        <v/>
      </c>
      <c r="L557" s="189">
        <f>K483</f>
        <v/>
      </c>
      <c r="M557" s="189">
        <f>L483</f>
        <v/>
      </c>
      <c r="N557" s="189">
        <f>M483</f>
        <v/>
      </c>
      <c r="O557" s="189">
        <f>N483</f>
        <v/>
      </c>
      <c r="P557" s="189">
        <f>O483</f>
        <v/>
      </c>
      <c r="Q557" s="189">
        <f>P483</f>
        <v/>
      </c>
      <c r="R557" s="189">
        <f>Q483</f>
        <v/>
      </c>
      <c r="S557" s="8">
        <f>R483</f>
        <v/>
      </c>
      <c r="T557" s="189">
        <f>S483</f>
        <v/>
      </c>
      <c r="U557" s="189">
        <f>T483</f>
        <v/>
      </c>
      <c r="V557" s="189">
        <f>U483</f>
        <v/>
      </c>
      <c r="W557" s="189">
        <f>V483</f>
        <v/>
      </c>
      <c r="X557" s="189">
        <f>W483</f>
        <v/>
      </c>
      <c r="Y557" s="189">
        <f>X483</f>
        <v/>
      </c>
      <c r="Z557" s="189">
        <f>Y483</f>
        <v/>
      </c>
      <c r="AA557" s="189">
        <f>Z483</f>
        <v/>
      </c>
      <c r="AB557" s="189">
        <f>AA483</f>
        <v/>
      </c>
      <c r="AC557" s="189">
        <f>AB483</f>
        <v/>
      </c>
      <c r="AD557" s="189">
        <f>AC483</f>
        <v/>
      </c>
      <c r="AE557" s="189">
        <f>AD483</f>
        <v/>
      </c>
      <c r="AF557" s="189">
        <f>AE483</f>
        <v/>
      </c>
      <c r="AG557" s="189">
        <f>AF483</f>
        <v/>
      </c>
      <c r="AH557" s="189">
        <f>AG483</f>
        <v/>
      </c>
      <c r="AI557" s="189">
        <f>AH483</f>
        <v/>
      </c>
      <c r="AQ557" s="187">
        <f>K520</f>
        <v/>
      </c>
    </row>
    <row r="558">
      <c r="A558" s="189">
        <f>E521</f>
        <v/>
      </c>
      <c r="B558" s="118" t="inlineStr">
        <is>
          <t>=</t>
        </is>
      </c>
      <c r="C558" s="189">
        <f>B484</f>
        <v/>
      </c>
      <c r="D558" s="189">
        <f>C484</f>
        <v/>
      </c>
      <c r="E558" s="189">
        <f>D484</f>
        <v/>
      </c>
      <c r="F558" s="189">
        <f>E484</f>
        <v/>
      </c>
      <c r="G558" s="189">
        <f>F484</f>
        <v/>
      </c>
      <c r="H558" s="189">
        <f>G484</f>
        <v/>
      </c>
      <c r="I558" s="189">
        <f>H484</f>
        <v/>
      </c>
      <c r="J558" s="189">
        <f>I484</f>
        <v/>
      </c>
      <c r="K558" s="189">
        <f>J484</f>
        <v/>
      </c>
      <c r="L558" s="189">
        <f>K484</f>
        <v/>
      </c>
      <c r="M558" s="189">
        <f>L484</f>
        <v/>
      </c>
      <c r="N558" s="189">
        <f>M484</f>
        <v/>
      </c>
      <c r="O558" s="189">
        <f>N484</f>
        <v/>
      </c>
      <c r="P558" s="189">
        <f>O484</f>
        <v/>
      </c>
      <c r="Q558" s="189">
        <f>P484</f>
        <v/>
      </c>
      <c r="R558" s="189">
        <f>Q484</f>
        <v/>
      </c>
      <c r="S558" s="189">
        <f>R484</f>
        <v/>
      </c>
      <c r="T558" s="8">
        <f>S484</f>
        <v/>
      </c>
      <c r="U558" s="189">
        <f>T484</f>
        <v/>
      </c>
      <c r="V558" s="189">
        <f>U484</f>
        <v/>
      </c>
      <c r="W558" s="189">
        <f>V484</f>
        <v/>
      </c>
      <c r="X558" s="189">
        <f>W484</f>
        <v/>
      </c>
      <c r="Y558" s="189">
        <f>X484</f>
        <v/>
      </c>
      <c r="Z558" s="189">
        <f>Y484</f>
        <v/>
      </c>
      <c r="AA558" s="189">
        <f>Z484</f>
        <v/>
      </c>
      <c r="AB558" s="189">
        <f>AA484</f>
        <v/>
      </c>
      <c r="AC558" s="189">
        <f>AB484</f>
        <v/>
      </c>
      <c r="AD558" s="189">
        <f>AC484</f>
        <v/>
      </c>
      <c r="AE558" s="189">
        <f>AD484</f>
        <v/>
      </c>
      <c r="AF558" s="189">
        <f>AE484</f>
        <v/>
      </c>
      <c r="AG558" s="189">
        <f>AF484</f>
        <v/>
      </c>
      <c r="AH558" s="189">
        <f>AG484</f>
        <v/>
      </c>
      <c r="AI558" s="189">
        <f>AH484</f>
        <v/>
      </c>
      <c r="AQ558" s="187">
        <f>K521</f>
        <v/>
      </c>
    </row>
    <row r="559">
      <c r="A559" s="189">
        <f>E522</f>
        <v/>
      </c>
      <c r="B559" s="118" t="inlineStr">
        <is>
          <t>=</t>
        </is>
      </c>
      <c r="C559" s="189">
        <f>B485</f>
        <v/>
      </c>
      <c r="D559" s="189">
        <f>C485</f>
        <v/>
      </c>
      <c r="E559" s="189">
        <f>D485</f>
        <v/>
      </c>
      <c r="F559" s="189">
        <f>E485</f>
        <v/>
      </c>
      <c r="G559" s="189">
        <f>F485</f>
        <v/>
      </c>
      <c r="H559" s="189">
        <f>G485</f>
        <v/>
      </c>
      <c r="I559" s="189">
        <f>H485</f>
        <v/>
      </c>
      <c r="J559" s="189">
        <f>I485</f>
        <v/>
      </c>
      <c r="K559" s="189">
        <f>J485</f>
        <v/>
      </c>
      <c r="L559" s="189">
        <f>K485</f>
        <v/>
      </c>
      <c r="M559" s="189">
        <f>L485</f>
        <v/>
      </c>
      <c r="N559" s="189">
        <f>M485</f>
        <v/>
      </c>
      <c r="O559" s="189">
        <f>N485</f>
        <v/>
      </c>
      <c r="P559" s="189">
        <f>O485</f>
        <v/>
      </c>
      <c r="Q559" s="189">
        <f>P485</f>
        <v/>
      </c>
      <c r="R559" s="189">
        <f>Q485</f>
        <v/>
      </c>
      <c r="S559" s="189">
        <f>R485</f>
        <v/>
      </c>
      <c r="T559" s="189">
        <f>S485</f>
        <v/>
      </c>
      <c r="U559" s="8">
        <f>T485</f>
        <v/>
      </c>
      <c r="V559" s="189">
        <f>U485</f>
        <v/>
      </c>
      <c r="W559" s="189">
        <f>V485</f>
        <v/>
      </c>
      <c r="X559" s="189">
        <f>W485</f>
        <v/>
      </c>
      <c r="Y559" s="189">
        <f>X485</f>
        <v/>
      </c>
      <c r="Z559" s="189">
        <f>Y485</f>
        <v/>
      </c>
      <c r="AA559" s="189">
        <f>Z485</f>
        <v/>
      </c>
      <c r="AB559" s="189">
        <f>AA485</f>
        <v/>
      </c>
      <c r="AC559" s="189">
        <f>AB485</f>
        <v/>
      </c>
      <c r="AD559" s="189">
        <f>AC485</f>
        <v/>
      </c>
      <c r="AE559" s="189">
        <f>AD485</f>
        <v/>
      </c>
      <c r="AF559" s="189">
        <f>AE485</f>
        <v/>
      </c>
      <c r="AG559" s="189">
        <f>AF485</f>
        <v/>
      </c>
      <c r="AH559" s="189">
        <f>AG485</f>
        <v/>
      </c>
      <c r="AI559" s="189">
        <f>AH485</f>
        <v/>
      </c>
      <c r="AQ559" s="187">
        <f>K522</f>
        <v/>
      </c>
    </row>
    <row r="560">
      <c r="A560" s="189">
        <f>E523</f>
        <v/>
      </c>
      <c r="B560" s="118" t="inlineStr">
        <is>
          <t>=</t>
        </is>
      </c>
      <c r="C560" s="189">
        <f>B486</f>
        <v/>
      </c>
      <c r="D560" s="189">
        <f>C486</f>
        <v/>
      </c>
      <c r="E560" s="189">
        <f>D486</f>
        <v/>
      </c>
      <c r="F560" s="189">
        <f>E486</f>
        <v/>
      </c>
      <c r="G560" s="189">
        <f>F486</f>
        <v/>
      </c>
      <c r="H560" s="189">
        <f>G486</f>
        <v/>
      </c>
      <c r="I560" s="189">
        <f>H486</f>
        <v/>
      </c>
      <c r="J560" s="189">
        <f>I486</f>
        <v/>
      </c>
      <c r="K560" s="189">
        <f>J486</f>
        <v/>
      </c>
      <c r="L560" s="189">
        <f>K486</f>
        <v/>
      </c>
      <c r="M560" s="189">
        <f>L486</f>
        <v/>
      </c>
      <c r="N560" s="189">
        <f>M486</f>
        <v/>
      </c>
      <c r="O560" s="189">
        <f>N486</f>
        <v/>
      </c>
      <c r="P560" s="189">
        <f>O486</f>
        <v/>
      </c>
      <c r="Q560" s="189">
        <f>P486</f>
        <v/>
      </c>
      <c r="R560" s="189">
        <f>Q486</f>
        <v/>
      </c>
      <c r="S560" s="189">
        <f>R486</f>
        <v/>
      </c>
      <c r="T560" s="189">
        <f>S486</f>
        <v/>
      </c>
      <c r="U560" s="189">
        <f>T486</f>
        <v/>
      </c>
      <c r="V560" s="8">
        <f>U486</f>
        <v/>
      </c>
      <c r="W560" s="189">
        <f>V486</f>
        <v/>
      </c>
      <c r="X560" s="189">
        <f>W486</f>
        <v/>
      </c>
      <c r="Y560" s="189">
        <f>X486</f>
        <v/>
      </c>
      <c r="Z560" s="189">
        <f>Y486</f>
        <v/>
      </c>
      <c r="AA560" s="189">
        <f>Z486</f>
        <v/>
      </c>
      <c r="AB560" s="189">
        <f>AA486</f>
        <v/>
      </c>
      <c r="AC560" s="189">
        <f>AB486</f>
        <v/>
      </c>
      <c r="AD560" s="189">
        <f>AC486</f>
        <v/>
      </c>
      <c r="AE560" s="189">
        <f>AD486</f>
        <v/>
      </c>
      <c r="AF560" s="189">
        <f>AE486</f>
        <v/>
      </c>
      <c r="AG560" s="189">
        <f>AF486</f>
        <v/>
      </c>
      <c r="AH560" s="189">
        <f>AG486</f>
        <v/>
      </c>
      <c r="AI560" s="189">
        <f>AH486</f>
        <v/>
      </c>
      <c r="AQ560" s="187">
        <f>K523</f>
        <v/>
      </c>
    </row>
    <row r="561">
      <c r="A561" s="189">
        <f>E524</f>
        <v/>
      </c>
      <c r="B561" s="118" t="inlineStr">
        <is>
          <t>=</t>
        </is>
      </c>
      <c r="C561" s="189">
        <f>B487</f>
        <v/>
      </c>
      <c r="D561" s="189">
        <f>C487</f>
        <v/>
      </c>
      <c r="E561" s="189">
        <f>D487</f>
        <v/>
      </c>
      <c r="F561" s="189">
        <f>E487</f>
        <v/>
      </c>
      <c r="G561" s="189">
        <f>F487</f>
        <v/>
      </c>
      <c r="H561" s="189">
        <f>G487</f>
        <v/>
      </c>
      <c r="I561" s="189">
        <f>H487</f>
        <v/>
      </c>
      <c r="J561" s="189">
        <f>I487</f>
        <v/>
      </c>
      <c r="K561" s="189">
        <f>J487</f>
        <v/>
      </c>
      <c r="L561" s="189">
        <f>K487</f>
        <v/>
      </c>
      <c r="M561" s="189">
        <f>L487</f>
        <v/>
      </c>
      <c r="N561" s="189">
        <f>M487</f>
        <v/>
      </c>
      <c r="O561" s="189">
        <f>N487</f>
        <v/>
      </c>
      <c r="P561" s="189">
        <f>O487</f>
        <v/>
      </c>
      <c r="Q561" s="189">
        <f>P487</f>
        <v/>
      </c>
      <c r="R561" s="189">
        <f>Q487</f>
        <v/>
      </c>
      <c r="S561" s="189">
        <f>R487</f>
        <v/>
      </c>
      <c r="T561" s="189">
        <f>S487</f>
        <v/>
      </c>
      <c r="U561" s="189">
        <f>T487</f>
        <v/>
      </c>
      <c r="V561" s="189">
        <f>U487</f>
        <v/>
      </c>
      <c r="W561" s="8">
        <f>V487</f>
        <v/>
      </c>
      <c r="X561" s="189">
        <f>W487</f>
        <v/>
      </c>
      <c r="Y561" s="189">
        <f>X487</f>
        <v/>
      </c>
      <c r="Z561" s="189">
        <f>Y487</f>
        <v/>
      </c>
      <c r="AA561" s="189">
        <f>Z487</f>
        <v/>
      </c>
      <c r="AB561" s="189">
        <f>AA487</f>
        <v/>
      </c>
      <c r="AC561" s="189">
        <f>AB487</f>
        <v/>
      </c>
      <c r="AD561" s="189">
        <f>AC487</f>
        <v/>
      </c>
      <c r="AE561" s="189">
        <f>AD487</f>
        <v/>
      </c>
      <c r="AF561" s="189">
        <f>AE487</f>
        <v/>
      </c>
      <c r="AG561" s="189">
        <f>AF487</f>
        <v/>
      </c>
      <c r="AH561" s="189">
        <f>AG487</f>
        <v/>
      </c>
      <c r="AI561" s="189">
        <f>AH487</f>
        <v/>
      </c>
      <c r="AQ561" s="187">
        <f>K524</f>
        <v/>
      </c>
    </row>
    <row r="562">
      <c r="A562" s="189">
        <f>E525</f>
        <v/>
      </c>
      <c r="B562" s="118" t="inlineStr">
        <is>
          <t>=</t>
        </is>
      </c>
      <c r="C562" s="189">
        <f>B488</f>
        <v/>
      </c>
      <c r="D562" s="189">
        <f>C488</f>
        <v/>
      </c>
      <c r="E562" s="189">
        <f>D488</f>
        <v/>
      </c>
      <c r="F562" s="189">
        <f>E488</f>
        <v/>
      </c>
      <c r="G562" s="189">
        <f>F488</f>
        <v/>
      </c>
      <c r="H562" s="189">
        <f>G488</f>
        <v/>
      </c>
      <c r="I562" s="189">
        <f>H488</f>
        <v/>
      </c>
      <c r="J562" s="189">
        <f>I488</f>
        <v/>
      </c>
      <c r="K562" s="189">
        <f>J488</f>
        <v/>
      </c>
      <c r="L562" s="189">
        <f>K488</f>
        <v/>
      </c>
      <c r="M562" s="189">
        <f>L488</f>
        <v/>
      </c>
      <c r="N562" s="189">
        <f>M488</f>
        <v/>
      </c>
      <c r="O562" s="189">
        <f>N488</f>
        <v/>
      </c>
      <c r="P562" s="189">
        <f>O488</f>
        <v/>
      </c>
      <c r="Q562" s="189">
        <f>P488</f>
        <v/>
      </c>
      <c r="R562" s="189">
        <f>Q488</f>
        <v/>
      </c>
      <c r="S562" s="189">
        <f>R488</f>
        <v/>
      </c>
      <c r="T562" s="189">
        <f>S488</f>
        <v/>
      </c>
      <c r="U562" s="189">
        <f>T488</f>
        <v/>
      </c>
      <c r="V562" s="189">
        <f>U488</f>
        <v/>
      </c>
      <c r="W562" s="189">
        <f>V488</f>
        <v/>
      </c>
      <c r="X562" s="8">
        <f>W488</f>
        <v/>
      </c>
      <c r="Y562" s="189">
        <f>X488</f>
        <v/>
      </c>
      <c r="Z562" s="189">
        <f>Y488</f>
        <v/>
      </c>
      <c r="AA562" s="189">
        <f>Z488</f>
        <v/>
      </c>
      <c r="AB562" s="189">
        <f>AA488</f>
        <v/>
      </c>
      <c r="AC562" s="189">
        <f>AB488</f>
        <v/>
      </c>
      <c r="AD562" s="189">
        <f>AC488</f>
        <v/>
      </c>
      <c r="AE562" s="189">
        <f>AD488</f>
        <v/>
      </c>
      <c r="AF562" s="189">
        <f>AE488</f>
        <v/>
      </c>
      <c r="AG562" s="189">
        <f>AF488</f>
        <v/>
      </c>
      <c r="AH562" s="189">
        <f>AG488</f>
        <v/>
      </c>
      <c r="AI562" s="189">
        <f>AH488</f>
        <v/>
      </c>
      <c r="AQ562" s="187">
        <f>K525</f>
        <v/>
      </c>
    </row>
    <row r="563">
      <c r="A563" s="189">
        <f>E526</f>
        <v/>
      </c>
      <c r="B563" s="118" t="inlineStr">
        <is>
          <t>=</t>
        </is>
      </c>
      <c r="C563" s="189">
        <f>B489</f>
        <v/>
      </c>
      <c r="D563" s="189">
        <f>C489</f>
        <v/>
      </c>
      <c r="E563" s="189">
        <f>D489</f>
        <v/>
      </c>
      <c r="F563" s="189">
        <f>E489</f>
        <v/>
      </c>
      <c r="G563" s="189">
        <f>F489</f>
        <v/>
      </c>
      <c r="H563" s="189">
        <f>G489</f>
        <v/>
      </c>
      <c r="I563" s="189">
        <f>H489</f>
        <v/>
      </c>
      <c r="J563" s="189">
        <f>I489</f>
        <v/>
      </c>
      <c r="K563" s="189">
        <f>J489</f>
        <v/>
      </c>
      <c r="L563" s="189">
        <f>K489</f>
        <v/>
      </c>
      <c r="M563" s="189">
        <f>L489</f>
        <v/>
      </c>
      <c r="N563" s="189">
        <f>M489</f>
        <v/>
      </c>
      <c r="O563" s="189">
        <f>N489</f>
        <v/>
      </c>
      <c r="P563" s="189">
        <f>O489</f>
        <v/>
      </c>
      <c r="Q563" s="189">
        <f>P489</f>
        <v/>
      </c>
      <c r="R563" s="189">
        <f>Q489</f>
        <v/>
      </c>
      <c r="S563" s="189">
        <f>R489</f>
        <v/>
      </c>
      <c r="T563" s="189">
        <f>S489</f>
        <v/>
      </c>
      <c r="U563" s="189">
        <f>T489</f>
        <v/>
      </c>
      <c r="V563" s="189">
        <f>U489</f>
        <v/>
      </c>
      <c r="W563" s="189">
        <f>V489</f>
        <v/>
      </c>
      <c r="X563" s="189">
        <f>W489</f>
        <v/>
      </c>
      <c r="Y563" s="8">
        <f>X489</f>
        <v/>
      </c>
      <c r="Z563" s="189">
        <f>Y489</f>
        <v/>
      </c>
      <c r="AA563" s="189">
        <f>Z489</f>
        <v/>
      </c>
      <c r="AB563" s="189">
        <f>AA489</f>
        <v/>
      </c>
      <c r="AC563" s="189">
        <f>AB489</f>
        <v/>
      </c>
      <c r="AD563" s="189">
        <f>AC489</f>
        <v/>
      </c>
      <c r="AE563" s="189">
        <f>AD489</f>
        <v/>
      </c>
      <c r="AF563" s="189">
        <f>AE489</f>
        <v/>
      </c>
      <c r="AG563" s="189">
        <f>AF489</f>
        <v/>
      </c>
      <c r="AH563" s="189">
        <f>AG489</f>
        <v/>
      </c>
      <c r="AI563" s="189">
        <f>AH489</f>
        <v/>
      </c>
      <c r="AQ563" s="187">
        <f>K526</f>
        <v/>
      </c>
    </row>
    <row r="564">
      <c r="A564" s="189">
        <f>E527</f>
        <v/>
      </c>
      <c r="B564" s="118" t="inlineStr">
        <is>
          <t>=</t>
        </is>
      </c>
      <c r="C564" s="189">
        <f>B490</f>
        <v/>
      </c>
      <c r="D564" s="189">
        <f>C490</f>
        <v/>
      </c>
      <c r="E564" s="189">
        <f>D490</f>
        <v/>
      </c>
      <c r="F564" s="189">
        <f>E490</f>
        <v/>
      </c>
      <c r="G564" s="189">
        <f>F490</f>
        <v/>
      </c>
      <c r="H564" s="189">
        <f>G490</f>
        <v/>
      </c>
      <c r="I564" s="189">
        <f>H490</f>
        <v/>
      </c>
      <c r="J564" s="189">
        <f>I490</f>
        <v/>
      </c>
      <c r="K564" s="189">
        <f>J490</f>
        <v/>
      </c>
      <c r="L564" s="189">
        <f>K490</f>
        <v/>
      </c>
      <c r="M564" s="189">
        <f>L490</f>
        <v/>
      </c>
      <c r="N564" s="189">
        <f>M490</f>
        <v/>
      </c>
      <c r="O564" s="189">
        <f>N490</f>
        <v/>
      </c>
      <c r="P564" s="189">
        <f>O490</f>
        <v/>
      </c>
      <c r="Q564" s="189">
        <f>P490</f>
        <v/>
      </c>
      <c r="R564" s="189">
        <f>Q490</f>
        <v/>
      </c>
      <c r="S564" s="189">
        <f>R490</f>
        <v/>
      </c>
      <c r="T564" s="189">
        <f>S490</f>
        <v/>
      </c>
      <c r="U564" s="189">
        <f>T490</f>
        <v/>
      </c>
      <c r="V564" s="189">
        <f>U490</f>
        <v/>
      </c>
      <c r="W564" s="189">
        <f>V490</f>
        <v/>
      </c>
      <c r="X564" s="189">
        <f>W490</f>
        <v/>
      </c>
      <c r="Y564" s="189">
        <f>X490</f>
        <v/>
      </c>
      <c r="Z564" s="8">
        <f>Y490</f>
        <v/>
      </c>
      <c r="AA564" s="189">
        <f>Z490</f>
        <v/>
      </c>
      <c r="AB564" s="189">
        <f>AA490</f>
        <v/>
      </c>
      <c r="AC564" s="189">
        <f>AB490</f>
        <v/>
      </c>
      <c r="AD564" s="189">
        <f>AC490</f>
        <v/>
      </c>
      <c r="AE564" s="189">
        <f>AD490</f>
        <v/>
      </c>
      <c r="AF564" s="189">
        <f>AE490</f>
        <v/>
      </c>
      <c r="AG564" s="189">
        <f>AF490</f>
        <v/>
      </c>
      <c r="AH564" s="189">
        <f>AG490</f>
        <v/>
      </c>
      <c r="AI564" s="189">
        <f>AH490</f>
        <v/>
      </c>
      <c r="AQ564" s="187">
        <f>K527</f>
        <v/>
      </c>
    </row>
    <row r="565">
      <c r="A565" s="189">
        <f>E528</f>
        <v/>
      </c>
      <c r="B565" s="118" t="inlineStr">
        <is>
          <t>=</t>
        </is>
      </c>
      <c r="C565" s="189">
        <f>B491</f>
        <v/>
      </c>
      <c r="D565" s="189">
        <f>C491</f>
        <v/>
      </c>
      <c r="E565" s="189">
        <f>D491</f>
        <v/>
      </c>
      <c r="F565" s="189">
        <f>E491</f>
        <v/>
      </c>
      <c r="G565" s="189">
        <f>F491</f>
        <v/>
      </c>
      <c r="H565" s="189">
        <f>G491</f>
        <v/>
      </c>
      <c r="I565" s="189">
        <f>H491</f>
        <v/>
      </c>
      <c r="J565" s="189">
        <f>I491</f>
        <v/>
      </c>
      <c r="K565" s="189">
        <f>J491</f>
        <v/>
      </c>
      <c r="L565" s="189">
        <f>K491</f>
        <v/>
      </c>
      <c r="M565" s="189">
        <f>L491</f>
        <v/>
      </c>
      <c r="N565" s="189">
        <f>M491</f>
        <v/>
      </c>
      <c r="O565" s="189">
        <f>N491</f>
        <v/>
      </c>
      <c r="P565" s="189">
        <f>O491</f>
        <v/>
      </c>
      <c r="Q565" s="189">
        <f>P491</f>
        <v/>
      </c>
      <c r="R565" s="189">
        <f>Q491</f>
        <v/>
      </c>
      <c r="S565" s="189">
        <f>R491</f>
        <v/>
      </c>
      <c r="T565" s="189">
        <f>S491</f>
        <v/>
      </c>
      <c r="U565" s="189">
        <f>T491</f>
        <v/>
      </c>
      <c r="V565" s="189">
        <f>U491</f>
        <v/>
      </c>
      <c r="W565" s="189">
        <f>V491</f>
        <v/>
      </c>
      <c r="X565" s="189">
        <f>W491</f>
        <v/>
      </c>
      <c r="Y565" s="189">
        <f>X491</f>
        <v/>
      </c>
      <c r="Z565" s="189">
        <f>Y491</f>
        <v/>
      </c>
      <c r="AA565" s="8">
        <f>Z491</f>
        <v/>
      </c>
      <c r="AB565" s="189">
        <f>AA491</f>
        <v/>
      </c>
      <c r="AC565" s="189">
        <f>AB491</f>
        <v/>
      </c>
      <c r="AD565" s="189">
        <f>AC491</f>
        <v/>
      </c>
      <c r="AE565" s="189">
        <f>AD491</f>
        <v/>
      </c>
      <c r="AF565" s="189">
        <f>AE491</f>
        <v/>
      </c>
      <c r="AG565" s="189">
        <f>AF491</f>
        <v/>
      </c>
      <c r="AH565" s="189">
        <f>AG491</f>
        <v/>
      </c>
      <c r="AI565" s="189">
        <f>AH491</f>
        <v/>
      </c>
      <c r="AQ565" s="187">
        <f>K528</f>
        <v/>
      </c>
    </row>
    <row r="566">
      <c r="A566" s="189">
        <f>E529</f>
        <v/>
      </c>
      <c r="B566" s="118" t="inlineStr">
        <is>
          <t>=</t>
        </is>
      </c>
      <c r="C566" s="189">
        <f>B492</f>
        <v/>
      </c>
      <c r="D566" s="189">
        <f>C492</f>
        <v/>
      </c>
      <c r="E566" s="189">
        <f>D492</f>
        <v/>
      </c>
      <c r="F566" s="189">
        <f>E492</f>
        <v/>
      </c>
      <c r="G566" s="189">
        <f>F492</f>
        <v/>
      </c>
      <c r="H566" s="189">
        <f>G492</f>
        <v/>
      </c>
      <c r="I566" s="189">
        <f>H492</f>
        <v/>
      </c>
      <c r="J566" s="189">
        <f>I492</f>
        <v/>
      </c>
      <c r="K566" s="189">
        <f>J492</f>
        <v/>
      </c>
      <c r="L566" s="189">
        <f>K492</f>
        <v/>
      </c>
      <c r="M566" s="189">
        <f>L492</f>
        <v/>
      </c>
      <c r="N566" s="189">
        <f>M492</f>
        <v/>
      </c>
      <c r="O566" s="189">
        <f>N492</f>
        <v/>
      </c>
      <c r="P566" s="189">
        <f>O492</f>
        <v/>
      </c>
      <c r="Q566" s="189">
        <f>P492</f>
        <v/>
      </c>
      <c r="R566" s="189">
        <f>Q492</f>
        <v/>
      </c>
      <c r="S566" s="189">
        <f>R492</f>
        <v/>
      </c>
      <c r="T566" s="189">
        <f>S492</f>
        <v/>
      </c>
      <c r="U566" s="189">
        <f>T492</f>
        <v/>
      </c>
      <c r="V566" s="189">
        <f>U492</f>
        <v/>
      </c>
      <c r="W566" s="189">
        <f>V492</f>
        <v/>
      </c>
      <c r="X566" s="189">
        <f>W492</f>
        <v/>
      </c>
      <c r="Y566" s="189">
        <f>X492</f>
        <v/>
      </c>
      <c r="Z566" s="189">
        <f>Y492</f>
        <v/>
      </c>
      <c r="AA566" s="189">
        <f>Z492</f>
        <v/>
      </c>
      <c r="AB566" s="8">
        <f>AA492</f>
        <v/>
      </c>
      <c r="AC566" s="189">
        <f>AB492</f>
        <v/>
      </c>
      <c r="AD566" s="189">
        <f>AC492</f>
        <v/>
      </c>
      <c r="AE566" s="189">
        <f>AD492</f>
        <v/>
      </c>
      <c r="AF566" s="189">
        <f>AE492</f>
        <v/>
      </c>
      <c r="AG566" s="189">
        <f>AF492</f>
        <v/>
      </c>
      <c r="AH566" s="189">
        <f>AG492</f>
        <v/>
      </c>
      <c r="AI566" s="189">
        <f>AH492</f>
        <v/>
      </c>
      <c r="AQ566" s="187">
        <f>K529</f>
        <v/>
      </c>
    </row>
    <row r="567">
      <c r="A567" s="189">
        <f>E530</f>
        <v/>
      </c>
      <c r="B567" s="118" t="inlineStr">
        <is>
          <t>=</t>
        </is>
      </c>
      <c r="C567" s="189">
        <f>B493</f>
        <v/>
      </c>
      <c r="D567" s="189">
        <f>C493</f>
        <v/>
      </c>
      <c r="E567" s="189">
        <f>D493</f>
        <v/>
      </c>
      <c r="F567" s="189">
        <f>E493</f>
        <v/>
      </c>
      <c r="G567" s="189">
        <f>F493</f>
        <v/>
      </c>
      <c r="H567" s="189">
        <f>G493</f>
        <v/>
      </c>
      <c r="I567" s="189">
        <f>H493</f>
        <v/>
      </c>
      <c r="J567" s="189">
        <f>I493</f>
        <v/>
      </c>
      <c r="K567" s="189">
        <f>J493</f>
        <v/>
      </c>
      <c r="L567" s="189">
        <f>K493</f>
        <v/>
      </c>
      <c r="M567" s="189">
        <f>L493</f>
        <v/>
      </c>
      <c r="N567" s="189">
        <f>M493</f>
        <v/>
      </c>
      <c r="O567" s="189">
        <f>N493</f>
        <v/>
      </c>
      <c r="P567" s="189">
        <f>O493</f>
        <v/>
      </c>
      <c r="Q567" s="189">
        <f>P493</f>
        <v/>
      </c>
      <c r="R567" s="189">
        <f>Q493</f>
        <v/>
      </c>
      <c r="S567" s="189">
        <f>R493</f>
        <v/>
      </c>
      <c r="T567" s="189">
        <f>S493</f>
        <v/>
      </c>
      <c r="U567" s="189">
        <f>T493</f>
        <v/>
      </c>
      <c r="V567" s="189">
        <f>U493</f>
        <v/>
      </c>
      <c r="W567" s="189">
        <f>V493</f>
        <v/>
      </c>
      <c r="X567" s="189">
        <f>W493</f>
        <v/>
      </c>
      <c r="Y567" s="189">
        <f>X493</f>
        <v/>
      </c>
      <c r="Z567" s="189">
        <f>Y493</f>
        <v/>
      </c>
      <c r="AA567" s="189">
        <f>Z493</f>
        <v/>
      </c>
      <c r="AB567" s="189">
        <f>AA493</f>
        <v/>
      </c>
      <c r="AC567" s="8">
        <f>AB493</f>
        <v/>
      </c>
      <c r="AD567" s="189">
        <f>AC493</f>
        <v/>
      </c>
      <c r="AE567" s="189">
        <f>AD493</f>
        <v/>
      </c>
      <c r="AF567" s="189">
        <f>AE493</f>
        <v/>
      </c>
      <c r="AG567" s="189">
        <f>AF493</f>
        <v/>
      </c>
      <c r="AH567" s="189">
        <f>AG493</f>
        <v/>
      </c>
      <c r="AI567" s="189">
        <f>AH493</f>
        <v/>
      </c>
      <c r="AQ567" s="187">
        <f>K530</f>
        <v/>
      </c>
    </row>
    <row r="568">
      <c r="A568" s="189">
        <f>E531</f>
        <v/>
      </c>
      <c r="B568" s="118" t="inlineStr">
        <is>
          <t>=</t>
        </is>
      </c>
      <c r="C568" s="189">
        <f>B494</f>
        <v/>
      </c>
      <c r="D568" s="189">
        <f>C494</f>
        <v/>
      </c>
      <c r="E568" s="189">
        <f>D494</f>
        <v/>
      </c>
      <c r="F568" s="189">
        <f>E494</f>
        <v/>
      </c>
      <c r="G568" s="189">
        <f>F494</f>
        <v/>
      </c>
      <c r="H568" s="189">
        <f>G494</f>
        <v/>
      </c>
      <c r="I568" s="189">
        <f>H494</f>
        <v/>
      </c>
      <c r="J568" s="189">
        <f>I494</f>
        <v/>
      </c>
      <c r="K568" s="189">
        <f>J494</f>
        <v/>
      </c>
      <c r="L568" s="189">
        <f>K494</f>
        <v/>
      </c>
      <c r="M568" s="189">
        <f>L494</f>
        <v/>
      </c>
      <c r="N568" s="189">
        <f>M494</f>
        <v/>
      </c>
      <c r="O568" s="189">
        <f>N494</f>
        <v/>
      </c>
      <c r="P568" s="189">
        <f>O494</f>
        <v/>
      </c>
      <c r="Q568" s="189">
        <f>P494</f>
        <v/>
      </c>
      <c r="R568" s="189">
        <f>Q494</f>
        <v/>
      </c>
      <c r="S568" s="189">
        <f>R494</f>
        <v/>
      </c>
      <c r="T568" s="189">
        <f>S494</f>
        <v/>
      </c>
      <c r="U568" s="189">
        <f>T494</f>
        <v/>
      </c>
      <c r="V568" s="189">
        <f>U494</f>
        <v/>
      </c>
      <c r="W568" s="189">
        <f>V494</f>
        <v/>
      </c>
      <c r="X568" s="189">
        <f>W494</f>
        <v/>
      </c>
      <c r="Y568" s="189">
        <f>X494</f>
        <v/>
      </c>
      <c r="Z568" s="189">
        <f>Y494</f>
        <v/>
      </c>
      <c r="AA568" s="189">
        <f>Z494</f>
        <v/>
      </c>
      <c r="AB568" s="189">
        <f>AA494</f>
        <v/>
      </c>
      <c r="AC568" s="189">
        <f>AB494</f>
        <v/>
      </c>
      <c r="AD568" s="8">
        <f>AC494</f>
        <v/>
      </c>
      <c r="AE568" s="189">
        <f>AD494</f>
        <v/>
      </c>
      <c r="AF568" s="189">
        <f>AE494</f>
        <v/>
      </c>
      <c r="AG568" s="189">
        <f>AF494</f>
        <v/>
      </c>
      <c r="AH568" s="189">
        <f>AG494</f>
        <v/>
      </c>
      <c r="AI568" s="189">
        <f>AH494</f>
        <v/>
      </c>
      <c r="AQ568" s="187">
        <f>K531</f>
        <v/>
      </c>
    </row>
    <row r="569">
      <c r="A569" s="189">
        <f>E532</f>
        <v/>
      </c>
      <c r="B569" s="118" t="inlineStr">
        <is>
          <t>=</t>
        </is>
      </c>
      <c r="C569" s="189">
        <f>B495</f>
        <v/>
      </c>
      <c r="D569" s="189">
        <f>C495</f>
        <v/>
      </c>
      <c r="E569" s="189">
        <f>D495</f>
        <v/>
      </c>
      <c r="F569" s="189">
        <f>E495</f>
        <v/>
      </c>
      <c r="G569" s="189">
        <f>F495</f>
        <v/>
      </c>
      <c r="H569" s="189">
        <f>G495</f>
        <v/>
      </c>
      <c r="I569" s="189">
        <f>H495</f>
        <v/>
      </c>
      <c r="J569" s="189">
        <f>I495</f>
        <v/>
      </c>
      <c r="K569" s="189">
        <f>J495</f>
        <v/>
      </c>
      <c r="L569" s="189">
        <f>K495</f>
        <v/>
      </c>
      <c r="M569" s="189">
        <f>L495</f>
        <v/>
      </c>
      <c r="N569" s="189">
        <f>M495</f>
        <v/>
      </c>
      <c r="O569" s="189">
        <f>N495</f>
        <v/>
      </c>
      <c r="P569" s="189">
        <f>O495</f>
        <v/>
      </c>
      <c r="Q569" s="189">
        <f>P495</f>
        <v/>
      </c>
      <c r="R569" s="189">
        <f>Q495</f>
        <v/>
      </c>
      <c r="S569" s="189">
        <f>R495</f>
        <v/>
      </c>
      <c r="T569" s="189">
        <f>S495</f>
        <v/>
      </c>
      <c r="U569" s="189">
        <f>T495</f>
        <v/>
      </c>
      <c r="V569" s="189">
        <f>U495</f>
        <v/>
      </c>
      <c r="W569" s="189">
        <f>V495</f>
        <v/>
      </c>
      <c r="X569" s="189">
        <f>W495</f>
        <v/>
      </c>
      <c r="Y569" s="189">
        <f>X495</f>
        <v/>
      </c>
      <c r="Z569" s="189">
        <f>Y495</f>
        <v/>
      </c>
      <c r="AA569" s="189">
        <f>Z495</f>
        <v/>
      </c>
      <c r="AB569" s="189">
        <f>AA495</f>
        <v/>
      </c>
      <c r="AC569" s="189">
        <f>AB495</f>
        <v/>
      </c>
      <c r="AD569" s="189">
        <f>AC495</f>
        <v/>
      </c>
      <c r="AE569" s="8">
        <f>AD495</f>
        <v/>
      </c>
      <c r="AF569" s="189">
        <f>AE495</f>
        <v/>
      </c>
      <c r="AG569" s="189">
        <f>AF495</f>
        <v/>
      </c>
      <c r="AH569" s="189">
        <f>AG495</f>
        <v/>
      </c>
      <c r="AI569" s="189">
        <f>AH495</f>
        <v/>
      </c>
      <c r="AQ569" s="187">
        <f>K532</f>
        <v/>
      </c>
    </row>
    <row r="570">
      <c r="A570" s="189">
        <f>E533</f>
        <v/>
      </c>
      <c r="B570" s="118" t="inlineStr">
        <is>
          <t>=</t>
        </is>
      </c>
      <c r="C570" s="189">
        <f>B496</f>
        <v/>
      </c>
      <c r="D570" s="189">
        <f>C496</f>
        <v/>
      </c>
      <c r="E570" s="189">
        <f>D496</f>
        <v/>
      </c>
      <c r="F570" s="189">
        <f>E496</f>
        <v/>
      </c>
      <c r="G570" s="189">
        <f>F496</f>
        <v/>
      </c>
      <c r="H570" s="189">
        <f>G496</f>
        <v/>
      </c>
      <c r="I570" s="189">
        <f>H496</f>
        <v/>
      </c>
      <c r="J570" s="189">
        <f>I496</f>
        <v/>
      </c>
      <c r="K570" s="189">
        <f>J496</f>
        <v/>
      </c>
      <c r="L570" s="189">
        <f>K496</f>
        <v/>
      </c>
      <c r="M570" s="189">
        <f>L496</f>
        <v/>
      </c>
      <c r="N570" s="189">
        <f>M496</f>
        <v/>
      </c>
      <c r="O570" s="189">
        <f>N496</f>
        <v/>
      </c>
      <c r="P570" s="189">
        <f>O496</f>
        <v/>
      </c>
      <c r="Q570" s="189">
        <f>P496</f>
        <v/>
      </c>
      <c r="R570" s="189">
        <f>Q496</f>
        <v/>
      </c>
      <c r="S570" s="189">
        <f>R496</f>
        <v/>
      </c>
      <c r="T570" s="189">
        <f>S496</f>
        <v/>
      </c>
      <c r="U570" s="189">
        <f>T496</f>
        <v/>
      </c>
      <c r="V570" s="189">
        <f>U496</f>
        <v/>
      </c>
      <c r="W570" s="189">
        <f>V496</f>
        <v/>
      </c>
      <c r="X570" s="189">
        <f>W496</f>
        <v/>
      </c>
      <c r="Y570" s="189">
        <f>X496</f>
        <v/>
      </c>
      <c r="Z570" s="189">
        <f>Y496</f>
        <v/>
      </c>
      <c r="AA570" s="189">
        <f>Z496</f>
        <v/>
      </c>
      <c r="AB570" s="189">
        <f>AA496</f>
        <v/>
      </c>
      <c r="AC570" s="189">
        <f>AB496</f>
        <v/>
      </c>
      <c r="AD570" s="189">
        <f>AC496</f>
        <v/>
      </c>
      <c r="AE570" s="189">
        <f>AD496</f>
        <v/>
      </c>
      <c r="AF570" s="8">
        <f>AE496</f>
        <v/>
      </c>
      <c r="AG570" s="189">
        <f>AF496</f>
        <v/>
      </c>
      <c r="AH570" s="189">
        <f>AG496</f>
        <v/>
      </c>
      <c r="AI570" s="189">
        <f>AH496</f>
        <v/>
      </c>
      <c r="AQ570" s="187">
        <f>K533</f>
        <v/>
      </c>
    </row>
    <row r="571">
      <c r="A571" s="189">
        <f>E534</f>
        <v/>
      </c>
      <c r="B571" s="118" t="inlineStr">
        <is>
          <t>=</t>
        </is>
      </c>
      <c r="C571" s="189">
        <f>B497</f>
        <v/>
      </c>
      <c r="D571" s="189">
        <f>C497</f>
        <v/>
      </c>
      <c r="E571" s="189">
        <f>D497</f>
        <v/>
      </c>
      <c r="F571" s="189">
        <f>E497</f>
        <v/>
      </c>
      <c r="G571" s="189">
        <f>F497</f>
        <v/>
      </c>
      <c r="H571" s="189">
        <f>G497</f>
        <v/>
      </c>
      <c r="I571" s="189">
        <f>H497</f>
        <v/>
      </c>
      <c r="J571" s="189">
        <f>I497</f>
        <v/>
      </c>
      <c r="K571" s="189">
        <f>J497</f>
        <v/>
      </c>
      <c r="L571" s="189">
        <f>K497</f>
        <v/>
      </c>
      <c r="M571" s="189">
        <f>L497</f>
        <v/>
      </c>
      <c r="N571" s="189">
        <f>M497</f>
        <v/>
      </c>
      <c r="O571" s="189">
        <f>N497</f>
        <v/>
      </c>
      <c r="P571" s="189">
        <f>O497</f>
        <v/>
      </c>
      <c r="Q571" s="189">
        <f>P497</f>
        <v/>
      </c>
      <c r="R571" s="189">
        <f>Q497</f>
        <v/>
      </c>
      <c r="S571" s="189">
        <f>R497</f>
        <v/>
      </c>
      <c r="T571" s="189">
        <f>S497</f>
        <v/>
      </c>
      <c r="U571" s="189">
        <f>T497</f>
        <v/>
      </c>
      <c r="V571" s="189">
        <f>U497</f>
        <v/>
      </c>
      <c r="W571" s="189">
        <f>V497</f>
        <v/>
      </c>
      <c r="X571" s="189">
        <f>W497</f>
        <v/>
      </c>
      <c r="Y571" s="189">
        <f>X497</f>
        <v/>
      </c>
      <c r="Z571" s="189">
        <f>Y497</f>
        <v/>
      </c>
      <c r="AA571" s="189">
        <f>Z497</f>
        <v/>
      </c>
      <c r="AB571" s="189">
        <f>AA497</f>
        <v/>
      </c>
      <c r="AC571" s="189">
        <f>AB497</f>
        <v/>
      </c>
      <c r="AD571" s="189">
        <f>AC497</f>
        <v/>
      </c>
      <c r="AE571" s="189">
        <f>AD497</f>
        <v/>
      </c>
      <c r="AF571" s="189">
        <f>AE497</f>
        <v/>
      </c>
      <c r="AG571" s="8">
        <f>AF497</f>
        <v/>
      </c>
      <c r="AH571" s="189">
        <f>AG497</f>
        <v/>
      </c>
      <c r="AI571" s="189">
        <f>AH497</f>
        <v/>
      </c>
      <c r="AQ571" s="187">
        <f>K534</f>
        <v/>
      </c>
    </row>
    <row r="572">
      <c r="A572" s="189">
        <f>E535</f>
        <v/>
      </c>
      <c r="B572" s="118" t="inlineStr">
        <is>
          <t>=</t>
        </is>
      </c>
      <c r="C572" s="189">
        <f>B498</f>
        <v/>
      </c>
      <c r="D572" s="189">
        <f>C498</f>
        <v/>
      </c>
      <c r="E572" s="189">
        <f>D498</f>
        <v/>
      </c>
      <c r="F572" s="189">
        <f>E498</f>
        <v/>
      </c>
      <c r="G572" s="189">
        <f>F498</f>
        <v/>
      </c>
      <c r="H572" s="189">
        <f>G498</f>
        <v/>
      </c>
      <c r="I572" s="189">
        <f>H498</f>
        <v/>
      </c>
      <c r="J572" s="189">
        <f>I498</f>
        <v/>
      </c>
      <c r="K572" s="189">
        <f>J498</f>
        <v/>
      </c>
      <c r="L572" s="189">
        <f>K498</f>
        <v/>
      </c>
      <c r="M572" s="189">
        <f>L498</f>
        <v/>
      </c>
      <c r="N572" s="189">
        <f>M498</f>
        <v/>
      </c>
      <c r="O572" s="189">
        <f>N498</f>
        <v/>
      </c>
      <c r="P572" s="189">
        <f>O498</f>
        <v/>
      </c>
      <c r="Q572" s="189">
        <f>P498</f>
        <v/>
      </c>
      <c r="R572" s="189">
        <f>Q498</f>
        <v/>
      </c>
      <c r="S572" s="189">
        <f>R498</f>
        <v/>
      </c>
      <c r="T572" s="189">
        <f>S498</f>
        <v/>
      </c>
      <c r="U572" s="189">
        <f>T498</f>
        <v/>
      </c>
      <c r="V572" s="189">
        <f>U498</f>
        <v/>
      </c>
      <c r="W572" s="189">
        <f>V498</f>
        <v/>
      </c>
      <c r="X572" s="189">
        <f>W498</f>
        <v/>
      </c>
      <c r="Y572" s="189">
        <f>X498</f>
        <v/>
      </c>
      <c r="Z572" s="189">
        <f>Y498</f>
        <v/>
      </c>
      <c r="AA572" s="189">
        <f>Z498</f>
        <v/>
      </c>
      <c r="AB572" s="189">
        <f>AA498</f>
        <v/>
      </c>
      <c r="AC572" s="189">
        <f>AB498</f>
        <v/>
      </c>
      <c r="AD572" s="189">
        <f>AC498</f>
        <v/>
      </c>
      <c r="AE572" s="189">
        <f>AD498</f>
        <v/>
      </c>
      <c r="AF572" s="189">
        <f>AE498</f>
        <v/>
      </c>
      <c r="AG572" s="189">
        <f>AF498</f>
        <v/>
      </c>
      <c r="AH572" s="8">
        <f>AG498</f>
        <v/>
      </c>
      <c r="AI572" s="189">
        <f>AH498</f>
        <v/>
      </c>
      <c r="AQ572" s="187">
        <f>K535</f>
        <v/>
      </c>
    </row>
    <row r="573">
      <c r="A573" s="189">
        <f>E536</f>
        <v/>
      </c>
      <c r="B573" s="118" t="inlineStr">
        <is>
          <t>=</t>
        </is>
      </c>
      <c r="C573" s="189">
        <f>B499</f>
        <v/>
      </c>
      <c r="D573" s="189">
        <f>C499</f>
        <v/>
      </c>
      <c r="E573" s="189">
        <f>D499</f>
        <v/>
      </c>
      <c r="F573" s="189">
        <f>E499</f>
        <v/>
      </c>
      <c r="G573" s="189">
        <f>F499</f>
        <v/>
      </c>
      <c r="H573" s="189">
        <f>G499</f>
        <v/>
      </c>
      <c r="I573" s="189">
        <f>H499</f>
        <v/>
      </c>
      <c r="J573" s="189">
        <f>I499</f>
        <v/>
      </c>
      <c r="K573" s="189">
        <f>J499</f>
        <v/>
      </c>
      <c r="L573" s="189">
        <f>K499</f>
        <v/>
      </c>
      <c r="M573" s="189">
        <f>L499</f>
        <v/>
      </c>
      <c r="N573" s="189">
        <f>M499</f>
        <v/>
      </c>
      <c r="O573" s="189">
        <f>N499</f>
        <v/>
      </c>
      <c r="P573" s="189">
        <f>O499</f>
        <v/>
      </c>
      <c r="Q573" s="189">
        <f>P499</f>
        <v/>
      </c>
      <c r="R573" s="189">
        <f>Q499</f>
        <v/>
      </c>
      <c r="S573" s="189">
        <f>R499</f>
        <v/>
      </c>
      <c r="T573" s="189">
        <f>S499</f>
        <v/>
      </c>
      <c r="U573" s="189">
        <f>T499</f>
        <v/>
      </c>
      <c r="V573" s="189">
        <f>U499</f>
        <v/>
      </c>
      <c r="W573" s="189">
        <f>V499</f>
        <v/>
      </c>
      <c r="X573" s="189">
        <f>W499</f>
        <v/>
      </c>
      <c r="Y573" s="189">
        <f>X499</f>
        <v/>
      </c>
      <c r="Z573" s="189">
        <f>Y499</f>
        <v/>
      </c>
      <c r="AA573" s="189">
        <f>Z499</f>
        <v/>
      </c>
      <c r="AB573" s="189">
        <f>AA499</f>
        <v/>
      </c>
      <c r="AC573" s="189">
        <f>AB499</f>
        <v/>
      </c>
      <c r="AD573" s="189">
        <f>AC499</f>
        <v/>
      </c>
      <c r="AE573" s="189">
        <f>AD499</f>
        <v/>
      </c>
      <c r="AF573" s="189">
        <f>AE499</f>
        <v/>
      </c>
      <c r="AG573" s="189">
        <f>AF499</f>
        <v/>
      </c>
      <c r="AH573" s="189">
        <f>AG499</f>
        <v/>
      </c>
      <c r="AI573" s="8">
        <f>AH499</f>
        <v/>
      </c>
      <c r="AQ573" s="187">
        <f>K536</f>
        <v/>
      </c>
    </row>
    <row r="576">
      <c r="B576" s="58" t="inlineStr">
        <is>
          <t>BLOQUE TÉCNICO DE RESOLUCIÓN AUTOMÁTICA [K_SOLVER] (INVERSIÓN POR PENALIZACIÓN/IDENTIDAD)</t>
        </is>
      </c>
      <c r="C576" s="190" t="n"/>
      <c r="D576" s="190" t="n"/>
      <c r="E576" s="190" t="n"/>
      <c r="F576" s="190" t="n"/>
      <c r="G576" s="190" t="n"/>
      <c r="H576" s="190" t="n"/>
      <c r="I576" s="190" t="n"/>
      <c r="J576" s="190" t="n"/>
      <c r="K576" s="190" t="n"/>
      <c r="L576" s="190" t="n"/>
      <c r="M576" s="190" t="n"/>
      <c r="N576" s="190" t="n"/>
      <c r="O576" s="190" t="n"/>
      <c r="P576" s="190" t="n"/>
      <c r="Q576" s="190" t="n"/>
      <c r="R576" s="190" t="n"/>
      <c r="S576" s="190" t="n"/>
      <c r="T576" s="190" t="n"/>
      <c r="U576" s="190" t="n"/>
      <c r="V576" s="190" t="n"/>
      <c r="W576" s="190" t="n"/>
      <c r="X576" s="190" t="n"/>
      <c r="Y576" s="190" t="n"/>
      <c r="Z576" s="190" t="n"/>
      <c r="AA576" s="190" t="n"/>
      <c r="AB576" s="190" t="n"/>
      <c r="AC576" s="190" t="n"/>
      <c r="AD576" s="190" t="n"/>
      <c r="AE576" s="190" t="n"/>
      <c r="AF576" s="190" t="n"/>
      <c r="AG576" s="190" t="n"/>
      <c r="AH576" s="191" t="n"/>
    </row>
    <row r="577">
      <c r="AL577" s="58" t="inlineStr">
        <is>
          <t>D_CALCULADO</t>
        </is>
      </c>
      <c r="AN577" s="58" t="inlineStr">
        <is>
          <t>REACCIONES_CALCULADAS</t>
        </is>
      </c>
    </row>
    <row r="578">
      <c r="B578" s="189">
        <f>IF($N504="RESTRINGIDO", 1, IF(OR($N504="", $C467=""), 1, B467))</f>
        <v/>
      </c>
      <c r="C578" s="189">
        <f>IF(OR($N504="RESTRINGIDO", $N505="RESTRINGIDO"), 0, C467)</f>
        <v/>
      </c>
      <c r="D578" s="189">
        <f>IF(OR($N504="RESTRINGIDO", $N506="RESTRINGIDO"), 0, D467)</f>
        <v/>
      </c>
      <c r="E578" s="189">
        <f>IF(OR($N504="RESTRINGIDO", $N507="RESTRINGIDO"), 0, E467)</f>
        <v/>
      </c>
      <c r="F578" s="189">
        <f>IF(OR($N504="RESTRINGIDO", $N508="RESTRINGIDO"), 0, F467)</f>
        <v/>
      </c>
      <c r="G578" s="189">
        <f>IF(OR($N504="RESTRINGIDO", $N509="RESTRINGIDO"), 0, G467)</f>
        <v/>
      </c>
      <c r="H578" s="189">
        <f>IF(OR($N504="RESTRINGIDO", $N510="RESTRINGIDO"), 0, H467)</f>
        <v/>
      </c>
      <c r="I578" s="189">
        <f>IF(OR($N504="RESTRINGIDO", $N511="RESTRINGIDO"), 0, I467)</f>
        <v/>
      </c>
      <c r="J578" s="189">
        <f>IF(OR($N504="RESTRINGIDO", $N512="RESTRINGIDO"), 0, J467)</f>
        <v/>
      </c>
      <c r="K578" s="189">
        <f>IF(OR($N504="RESTRINGIDO", $N513="RESTRINGIDO"), 0, K467)</f>
        <v/>
      </c>
      <c r="L578" s="189">
        <f>IF(OR($N504="RESTRINGIDO", $N514="RESTRINGIDO"), 0, L467)</f>
        <v/>
      </c>
      <c r="M578" s="189">
        <f>IF(OR($N504="RESTRINGIDO", $N515="RESTRINGIDO"), 0, M467)</f>
        <v/>
      </c>
      <c r="N578" s="189">
        <f>IF(OR($N504="RESTRINGIDO", $N516="RESTRINGIDO"), 0, N467)</f>
        <v/>
      </c>
      <c r="O578" s="189">
        <f>IF(OR($N504="RESTRINGIDO", $N517="RESTRINGIDO"), 0, O467)</f>
        <v/>
      </c>
      <c r="P578" s="189">
        <f>IF(OR($N504="RESTRINGIDO", $N518="RESTRINGIDO"), 0, P467)</f>
        <v/>
      </c>
      <c r="Q578" s="189">
        <f>IF(OR($N504="RESTRINGIDO", $N519="RESTRINGIDO"), 0, Q467)</f>
        <v/>
      </c>
      <c r="R578" s="189">
        <f>IF(OR($N504="RESTRINGIDO", $N520="RESTRINGIDO"), 0, R467)</f>
        <v/>
      </c>
      <c r="S578" s="189">
        <f>IF(OR($N504="RESTRINGIDO", $N521="RESTRINGIDO"), 0, S467)</f>
        <v/>
      </c>
      <c r="T578" s="189">
        <f>IF(OR($N504="RESTRINGIDO", $N522="RESTRINGIDO"), 0, T467)</f>
        <v/>
      </c>
      <c r="U578" s="189">
        <f>IF(OR($N504="RESTRINGIDO", $N523="RESTRINGIDO"), 0, U467)</f>
        <v/>
      </c>
      <c r="V578" s="189">
        <f>IF(OR($N504="RESTRINGIDO", $N524="RESTRINGIDO"), 0, V467)</f>
        <v/>
      </c>
      <c r="W578" s="189">
        <f>IF(OR($N504="RESTRINGIDO", $N525="RESTRINGIDO"), 0, W467)</f>
        <v/>
      </c>
      <c r="X578" s="189">
        <f>IF(OR($N504="RESTRINGIDO", $N526="RESTRINGIDO"), 0, X467)</f>
        <v/>
      </c>
      <c r="Y578" s="189">
        <f>IF(OR($N504="RESTRINGIDO", $N527="RESTRINGIDO"), 0, Y467)</f>
        <v/>
      </c>
      <c r="Z578" s="189">
        <f>IF(OR($N504="RESTRINGIDO", $N528="RESTRINGIDO"), 0, Z467)</f>
        <v/>
      </c>
      <c r="AA578" s="189">
        <f>IF(OR($N504="RESTRINGIDO", $N529="RESTRINGIDO"), 0, AA467)</f>
        <v/>
      </c>
      <c r="AB578" s="189">
        <f>IF(OR($N504="RESTRINGIDO", $N530="RESTRINGIDO"), 0, AB467)</f>
        <v/>
      </c>
      <c r="AC578" s="189">
        <f>IF(OR($N504="RESTRINGIDO", $N531="RESTRINGIDO"), 0, AC467)</f>
        <v/>
      </c>
      <c r="AD578" s="189">
        <f>IF(OR($N504="RESTRINGIDO", $N532="RESTRINGIDO"), 0, AD467)</f>
        <v/>
      </c>
      <c r="AE578" s="189">
        <f>IF(OR($N504="RESTRINGIDO", $N533="RESTRINGIDO"), 0, AE467)</f>
        <v/>
      </c>
      <c r="AF578" s="189">
        <f>IF(OR($N504="RESTRINGIDO", $N534="RESTRINGIDO"), 0, AF467)</f>
        <v/>
      </c>
      <c r="AG578" s="189">
        <f>IF(OR($N504="RESTRINGIDO", $N535="RESTRINGIDO"), 0, AG467)</f>
        <v/>
      </c>
      <c r="AH578" s="189">
        <f>IF(OR($N504="RESTRINGIDO", $N536="RESTRINGIDO"), 0, AH467)</f>
        <v/>
      </c>
      <c r="AJ578" s="189">
        <f>IF($N504="LIBRE", IF(ISNUMBER(E504), E504, 0), 0)</f>
        <v/>
      </c>
      <c r="AL578" s="188">
        <f t="array" ref="AL578:AL610">MMULT(MINVERSE(B578:AH610), AJ578:AJ610)</f>
        <v/>
      </c>
      <c r="AN578" s="188">
        <f t="array" ref="AN578:AN610">MMULT(B467:AH499, AL578:AL610) - IF(ISNUMBER(E504:E536), E504:E536, 0)</f>
        <v/>
      </c>
    </row>
    <row r="579">
      <c r="B579" s="189">
        <f>IF(OR($N505="RESTRINGIDO", $N504="RESTRINGIDO"), 0, B468)</f>
        <v/>
      </c>
      <c r="C579" s="189">
        <f>IF($N505="RESTRINGIDO", 1, IF(OR($N505="", $C468=""), 1, C468))</f>
        <v/>
      </c>
      <c r="D579" s="189">
        <f>IF(OR($N505="RESTRINGIDO", $N506="RESTRINGIDO"), 0, D468)</f>
        <v/>
      </c>
      <c r="E579" s="189">
        <f>IF(OR($N505="RESTRINGIDO", $N507="RESTRINGIDO"), 0, E468)</f>
        <v/>
      </c>
      <c r="F579" s="189">
        <f>IF(OR($N505="RESTRINGIDO", $N508="RESTRINGIDO"), 0, F468)</f>
        <v/>
      </c>
      <c r="G579" s="189">
        <f>IF(OR($N505="RESTRINGIDO", $N509="RESTRINGIDO"), 0, G468)</f>
        <v/>
      </c>
      <c r="H579" s="189">
        <f>IF(OR($N505="RESTRINGIDO", $N510="RESTRINGIDO"), 0, H468)</f>
        <v/>
      </c>
      <c r="I579" s="189">
        <f>IF(OR($N505="RESTRINGIDO", $N511="RESTRINGIDO"), 0, I468)</f>
        <v/>
      </c>
      <c r="J579" s="189">
        <f>IF(OR($N505="RESTRINGIDO", $N512="RESTRINGIDO"), 0, J468)</f>
        <v/>
      </c>
      <c r="K579" s="189">
        <f>IF(OR($N505="RESTRINGIDO", $N513="RESTRINGIDO"), 0, K468)</f>
        <v/>
      </c>
      <c r="L579" s="189">
        <f>IF(OR($N505="RESTRINGIDO", $N514="RESTRINGIDO"), 0, L468)</f>
        <v/>
      </c>
      <c r="M579" s="189">
        <f>IF(OR($N505="RESTRINGIDO", $N515="RESTRINGIDO"), 0, M468)</f>
        <v/>
      </c>
      <c r="N579" s="189">
        <f>IF(OR($N505="RESTRINGIDO", $N516="RESTRINGIDO"), 0, N468)</f>
        <v/>
      </c>
      <c r="O579" s="189">
        <f>IF(OR($N505="RESTRINGIDO", $N517="RESTRINGIDO"), 0, O468)</f>
        <v/>
      </c>
      <c r="P579" s="189">
        <f>IF(OR($N505="RESTRINGIDO", $N518="RESTRINGIDO"), 0, P468)</f>
        <v/>
      </c>
      <c r="Q579" s="189">
        <f>IF(OR($N505="RESTRINGIDO", $N519="RESTRINGIDO"), 0, Q468)</f>
        <v/>
      </c>
      <c r="R579" s="189">
        <f>IF(OR($N505="RESTRINGIDO", $N520="RESTRINGIDO"), 0, R468)</f>
        <v/>
      </c>
      <c r="S579" s="189">
        <f>IF(OR($N505="RESTRINGIDO", $N521="RESTRINGIDO"), 0, S468)</f>
        <v/>
      </c>
      <c r="T579" s="189">
        <f>IF(OR($N505="RESTRINGIDO", $N522="RESTRINGIDO"), 0, T468)</f>
        <v/>
      </c>
      <c r="U579" s="189">
        <f>IF(OR($N505="RESTRINGIDO", $N523="RESTRINGIDO"), 0, U468)</f>
        <v/>
      </c>
      <c r="V579" s="189">
        <f>IF(OR($N505="RESTRINGIDO", $N524="RESTRINGIDO"), 0, V468)</f>
        <v/>
      </c>
      <c r="W579" s="189">
        <f>IF(OR($N505="RESTRINGIDO", $N525="RESTRINGIDO"), 0, W468)</f>
        <v/>
      </c>
      <c r="X579" s="189">
        <f>IF(OR($N505="RESTRINGIDO", $N526="RESTRINGIDO"), 0, X468)</f>
        <v/>
      </c>
      <c r="Y579" s="189">
        <f>IF(OR($N505="RESTRINGIDO", $N527="RESTRINGIDO"), 0, Y468)</f>
        <v/>
      </c>
      <c r="Z579" s="189">
        <f>IF(OR($N505="RESTRINGIDO", $N528="RESTRINGIDO"), 0, Z468)</f>
        <v/>
      </c>
      <c r="AA579" s="189">
        <f>IF(OR($N505="RESTRINGIDO", $N529="RESTRINGIDO"), 0, AA468)</f>
        <v/>
      </c>
      <c r="AB579" s="189">
        <f>IF(OR($N505="RESTRINGIDO", $N530="RESTRINGIDO"), 0, AB468)</f>
        <v/>
      </c>
      <c r="AC579" s="189">
        <f>IF(OR($N505="RESTRINGIDO", $N531="RESTRINGIDO"), 0, AC468)</f>
        <v/>
      </c>
      <c r="AD579" s="189">
        <f>IF(OR($N505="RESTRINGIDO", $N532="RESTRINGIDO"), 0, AD468)</f>
        <v/>
      </c>
      <c r="AE579" s="189">
        <f>IF(OR($N505="RESTRINGIDO", $N533="RESTRINGIDO"), 0, AE468)</f>
        <v/>
      </c>
      <c r="AF579" s="189">
        <f>IF(OR($N505="RESTRINGIDO", $N534="RESTRINGIDO"), 0, AF468)</f>
        <v/>
      </c>
      <c r="AG579" s="189">
        <f>IF(OR($N505="RESTRINGIDO", $N535="RESTRINGIDO"), 0, AG468)</f>
        <v/>
      </c>
      <c r="AH579" s="189">
        <f>IF(OR($N505="RESTRINGIDO", $N536="RESTRINGIDO"), 0, AH468)</f>
        <v/>
      </c>
      <c r="AJ579" s="189">
        <f>IF($N505="LIBRE", IF(ISNUMBER(E505), E505, 0), 0)</f>
        <v/>
      </c>
      <c r="AL579" s="188" t="n">
        <v>0</v>
      </c>
      <c r="AN579" s="188" t="n">
        <v>1000</v>
      </c>
    </row>
    <row r="580">
      <c r="B580" s="189">
        <f>IF(OR($N506="RESTRINGIDO", $N504="RESTRINGIDO"), 0, B469)</f>
        <v/>
      </c>
      <c r="C580" s="189">
        <f>IF(OR($N506="RESTRINGIDO", $N505="RESTRINGIDO"), 0, C469)</f>
        <v/>
      </c>
      <c r="D580" s="189">
        <f>IF($N506="RESTRINGIDO", 1, IF(OR($N506="", $C469=""), 1, D469))</f>
        <v/>
      </c>
      <c r="E580" s="189">
        <f>IF(OR($N506="RESTRINGIDO", $N507="RESTRINGIDO"), 0, E469)</f>
        <v/>
      </c>
      <c r="F580" s="189">
        <f>IF(OR($N506="RESTRINGIDO", $N508="RESTRINGIDO"), 0, F469)</f>
        <v/>
      </c>
      <c r="G580" s="189">
        <f>IF(OR($N506="RESTRINGIDO", $N509="RESTRINGIDO"), 0, G469)</f>
        <v/>
      </c>
      <c r="H580" s="189">
        <f>IF(OR($N506="RESTRINGIDO", $N510="RESTRINGIDO"), 0, H469)</f>
        <v/>
      </c>
      <c r="I580" s="189">
        <f>IF(OR($N506="RESTRINGIDO", $N511="RESTRINGIDO"), 0, I469)</f>
        <v/>
      </c>
      <c r="J580" s="189">
        <f>IF(OR($N506="RESTRINGIDO", $N512="RESTRINGIDO"), 0, J469)</f>
        <v/>
      </c>
      <c r="K580" s="189">
        <f>IF(OR($N506="RESTRINGIDO", $N513="RESTRINGIDO"), 0, K469)</f>
        <v/>
      </c>
      <c r="L580" s="189">
        <f>IF(OR($N506="RESTRINGIDO", $N514="RESTRINGIDO"), 0, L469)</f>
        <v/>
      </c>
      <c r="M580" s="189">
        <f>IF(OR($N506="RESTRINGIDO", $N515="RESTRINGIDO"), 0, M469)</f>
        <v/>
      </c>
      <c r="N580" s="189">
        <f>IF(OR($N506="RESTRINGIDO", $N516="RESTRINGIDO"), 0, N469)</f>
        <v/>
      </c>
      <c r="O580" s="189">
        <f>IF(OR($N506="RESTRINGIDO", $N517="RESTRINGIDO"), 0, O469)</f>
        <v/>
      </c>
      <c r="P580" s="189">
        <f>IF(OR($N506="RESTRINGIDO", $N518="RESTRINGIDO"), 0, P469)</f>
        <v/>
      </c>
      <c r="Q580" s="189">
        <f>IF(OR($N506="RESTRINGIDO", $N519="RESTRINGIDO"), 0, Q469)</f>
        <v/>
      </c>
      <c r="R580" s="189">
        <f>IF(OR($N506="RESTRINGIDO", $N520="RESTRINGIDO"), 0, R469)</f>
        <v/>
      </c>
      <c r="S580" s="189">
        <f>IF(OR($N506="RESTRINGIDO", $N521="RESTRINGIDO"), 0, S469)</f>
        <v/>
      </c>
      <c r="T580" s="189">
        <f>IF(OR($N506="RESTRINGIDO", $N522="RESTRINGIDO"), 0, T469)</f>
        <v/>
      </c>
      <c r="U580" s="189">
        <f>IF(OR($N506="RESTRINGIDO", $N523="RESTRINGIDO"), 0, U469)</f>
        <v/>
      </c>
      <c r="V580" s="189">
        <f>IF(OR($N506="RESTRINGIDO", $N524="RESTRINGIDO"), 0, V469)</f>
        <v/>
      </c>
      <c r="W580" s="189">
        <f>IF(OR($N506="RESTRINGIDO", $N525="RESTRINGIDO"), 0, W469)</f>
        <v/>
      </c>
      <c r="X580" s="189">
        <f>IF(OR($N506="RESTRINGIDO", $N526="RESTRINGIDO"), 0, X469)</f>
        <v/>
      </c>
      <c r="Y580" s="189">
        <f>IF(OR($N506="RESTRINGIDO", $N527="RESTRINGIDO"), 0, Y469)</f>
        <v/>
      </c>
      <c r="Z580" s="189">
        <f>IF(OR($N506="RESTRINGIDO", $N528="RESTRINGIDO"), 0, Z469)</f>
        <v/>
      </c>
      <c r="AA580" s="189">
        <f>IF(OR($N506="RESTRINGIDO", $N529="RESTRINGIDO"), 0, AA469)</f>
        <v/>
      </c>
      <c r="AB580" s="189">
        <f>IF(OR($N506="RESTRINGIDO", $N530="RESTRINGIDO"), 0, AB469)</f>
        <v/>
      </c>
      <c r="AC580" s="189">
        <f>IF(OR($N506="RESTRINGIDO", $N531="RESTRINGIDO"), 0, AC469)</f>
        <v/>
      </c>
      <c r="AD580" s="189">
        <f>IF(OR($N506="RESTRINGIDO", $N532="RESTRINGIDO"), 0, AD469)</f>
        <v/>
      </c>
      <c r="AE580" s="189">
        <f>IF(OR($N506="RESTRINGIDO", $N533="RESTRINGIDO"), 0, AE469)</f>
        <v/>
      </c>
      <c r="AF580" s="189">
        <f>IF(OR($N506="RESTRINGIDO", $N534="RESTRINGIDO"), 0, AF469)</f>
        <v/>
      </c>
      <c r="AG580" s="189">
        <f>IF(OR($N506="RESTRINGIDO", $N535="RESTRINGIDO"), 0, AG469)</f>
        <v/>
      </c>
      <c r="AH580" s="189">
        <f>IF(OR($N506="RESTRINGIDO", $N536="RESTRINGIDO"), 0, AH469)</f>
        <v/>
      </c>
      <c r="AJ580" s="189">
        <f>IF($N506="LIBRE", IF(ISNUMBER(E506), E506, 0), 0)</f>
        <v/>
      </c>
      <c r="AL580" s="188" t="n">
        <v>-0.08</v>
      </c>
      <c r="AN580" s="188" t="n">
        <v>2.91038304567337e-11</v>
      </c>
    </row>
    <row r="581">
      <c r="B581" s="189">
        <f>IF(OR($N507="RESTRINGIDO", $N504="RESTRINGIDO"), 0, B470)</f>
        <v/>
      </c>
      <c r="C581" s="189">
        <f>IF(OR($N507="RESTRINGIDO", $N505="RESTRINGIDO"), 0, C470)</f>
        <v/>
      </c>
      <c r="D581" s="189">
        <f>IF(OR($N507="RESTRINGIDO", $N506="RESTRINGIDO"), 0, D470)</f>
        <v/>
      </c>
      <c r="E581" s="189">
        <f>IF($N507="RESTRINGIDO", 1, IF(OR($N507="", $C470=""), 1, E470))</f>
        <v/>
      </c>
      <c r="F581" s="189">
        <f>IF(OR($N507="RESTRINGIDO", $N508="RESTRINGIDO"), 0, F470)</f>
        <v/>
      </c>
      <c r="G581" s="189">
        <f>IF(OR($N507="RESTRINGIDO", $N509="RESTRINGIDO"), 0, G470)</f>
        <v/>
      </c>
      <c r="H581" s="189">
        <f>IF(OR($N507="RESTRINGIDO", $N510="RESTRINGIDO"), 0, H470)</f>
        <v/>
      </c>
      <c r="I581" s="189">
        <f>IF(OR($N507="RESTRINGIDO", $N511="RESTRINGIDO"), 0, I470)</f>
        <v/>
      </c>
      <c r="J581" s="189">
        <f>IF(OR($N507="RESTRINGIDO", $N512="RESTRINGIDO"), 0, J470)</f>
        <v/>
      </c>
      <c r="K581" s="189">
        <f>IF(OR($N507="RESTRINGIDO", $N513="RESTRINGIDO"), 0, K470)</f>
        <v/>
      </c>
      <c r="L581" s="189">
        <f>IF(OR($N507="RESTRINGIDO", $N514="RESTRINGIDO"), 0, L470)</f>
        <v/>
      </c>
      <c r="M581" s="189">
        <f>IF(OR($N507="RESTRINGIDO", $N515="RESTRINGIDO"), 0, M470)</f>
        <v/>
      </c>
      <c r="N581" s="189">
        <f>IF(OR($N507="RESTRINGIDO", $N516="RESTRINGIDO"), 0, N470)</f>
        <v/>
      </c>
      <c r="O581" s="189">
        <f>IF(OR($N507="RESTRINGIDO", $N517="RESTRINGIDO"), 0, O470)</f>
        <v/>
      </c>
      <c r="P581" s="189">
        <f>IF(OR($N507="RESTRINGIDO", $N518="RESTRINGIDO"), 0, P470)</f>
        <v/>
      </c>
      <c r="Q581" s="189">
        <f>IF(OR($N507="RESTRINGIDO", $N519="RESTRINGIDO"), 0, Q470)</f>
        <v/>
      </c>
      <c r="R581" s="189">
        <f>IF(OR($N507="RESTRINGIDO", $N520="RESTRINGIDO"), 0, R470)</f>
        <v/>
      </c>
      <c r="S581" s="189">
        <f>IF(OR($N507="RESTRINGIDO", $N521="RESTRINGIDO"), 0, S470)</f>
        <v/>
      </c>
      <c r="T581" s="189">
        <f>IF(OR($N507="RESTRINGIDO", $N522="RESTRINGIDO"), 0, T470)</f>
        <v/>
      </c>
      <c r="U581" s="189">
        <f>IF(OR($N507="RESTRINGIDO", $N523="RESTRINGIDO"), 0, U470)</f>
        <v/>
      </c>
      <c r="V581" s="189">
        <f>IF(OR($N507="RESTRINGIDO", $N524="RESTRINGIDO"), 0, V470)</f>
        <v/>
      </c>
      <c r="W581" s="189">
        <f>IF(OR($N507="RESTRINGIDO", $N525="RESTRINGIDO"), 0, W470)</f>
        <v/>
      </c>
      <c r="X581" s="189">
        <f>IF(OR($N507="RESTRINGIDO", $N526="RESTRINGIDO"), 0, X470)</f>
        <v/>
      </c>
      <c r="Y581" s="189">
        <f>IF(OR($N507="RESTRINGIDO", $N527="RESTRINGIDO"), 0, Y470)</f>
        <v/>
      </c>
      <c r="Z581" s="189">
        <f>IF(OR($N507="RESTRINGIDO", $N528="RESTRINGIDO"), 0, Z470)</f>
        <v/>
      </c>
      <c r="AA581" s="189">
        <f>IF(OR($N507="RESTRINGIDO", $N529="RESTRINGIDO"), 0, AA470)</f>
        <v/>
      </c>
      <c r="AB581" s="189">
        <f>IF(OR($N507="RESTRINGIDO", $N530="RESTRINGIDO"), 0, AB470)</f>
        <v/>
      </c>
      <c r="AC581" s="189">
        <f>IF(OR($N507="RESTRINGIDO", $N531="RESTRINGIDO"), 0, AC470)</f>
        <v/>
      </c>
      <c r="AD581" s="189">
        <f>IF(OR($N507="RESTRINGIDO", $N532="RESTRINGIDO"), 0, AD470)</f>
        <v/>
      </c>
      <c r="AE581" s="189">
        <f>IF(OR($N507="RESTRINGIDO", $N533="RESTRINGIDO"), 0, AE470)</f>
        <v/>
      </c>
      <c r="AF581" s="189">
        <f>IF(OR($N507="RESTRINGIDO", $N534="RESTRINGIDO"), 0, AF470)</f>
        <v/>
      </c>
      <c r="AG581" s="189">
        <f>IF(OR($N507="RESTRINGIDO", $N535="RESTRINGIDO"), 0, AG470)</f>
        <v/>
      </c>
      <c r="AH581" s="189">
        <f>IF(OR($N507="RESTRINGIDO", $N536="RESTRINGIDO"), 0, AH470)</f>
        <v/>
      </c>
      <c r="AJ581" s="189">
        <f>IF($N507="LIBRE", IF(ISNUMBER(E507), E507, 0), 0)</f>
        <v/>
      </c>
      <c r="AL581" s="188" t="n">
        <v>0</v>
      </c>
      <c r="AN581" s="188" t="n">
        <v>0</v>
      </c>
    </row>
    <row r="582">
      <c r="B582" s="189">
        <f>IF(OR($N508="RESTRINGIDO", $N504="RESTRINGIDO"), 0, B471)</f>
        <v/>
      </c>
      <c r="C582" s="189">
        <f>IF(OR($N508="RESTRINGIDO", $N505="RESTRINGIDO"), 0, C471)</f>
        <v/>
      </c>
      <c r="D582" s="189">
        <f>IF(OR($N508="RESTRINGIDO", $N506="RESTRINGIDO"), 0, D471)</f>
        <v/>
      </c>
      <c r="E582" s="189">
        <f>IF(OR($N508="RESTRINGIDO", $N507="RESTRINGIDO"), 0, E471)</f>
        <v/>
      </c>
      <c r="F582" s="189">
        <f>IF($N508="RESTRINGIDO", 1, IF(OR($N508="", $C471=""), 1, F471))</f>
        <v/>
      </c>
      <c r="G582" s="189">
        <f>IF(OR($N508="RESTRINGIDO", $N509="RESTRINGIDO"), 0, G471)</f>
        <v/>
      </c>
      <c r="H582" s="189">
        <f>IF(OR($N508="RESTRINGIDO", $N510="RESTRINGIDO"), 0, H471)</f>
        <v/>
      </c>
      <c r="I582" s="189">
        <f>IF(OR($N508="RESTRINGIDO", $N511="RESTRINGIDO"), 0, I471)</f>
        <v/>
      </c>
      <c r="J582" s="189">
        <f>IF(OR($N508="RESTRINGIDO", $N512="RESTRINGIDO"), 0, J471)</f>
        <v/>
      </c>
      <c r="K582" s="189">
        <f>IF(OR($N508="RESTRINGIDO", $N513="RESTRINGIDO"), 0, K471)</f>
        <v/>
      </c>
      <c r="L582" s="189">
        <f>IF(OR($N508="RESTRINGIDO", $N514="RESTRINGIDO"), 0, L471)</f>
        <v/>
      </c>
      <c r="M582" s="189">
        <f>IF(OR($N508="RESTRINGIDO", $N515="RESTRINGIDO"), 0, M471)</f>
        <v/>
      </c>
      <c r="N582" s="189">
        <f>IF(OR($N508="RESTRINGIDO", $N516="RESTRINGIDO"), 0, N471)</f>
        <v/>
      </c>
      <c r="O582" s="189">
        <f>IF(OR($N508="RESTRINGIDO", $N517="RESTRINGIDO"), 0, O471)</f>
        <v/>
      </c>
      <c r="P582" s="189">
        <f>IF(OR($N508="RESTRINGIDO", $N518="RESTRINGIDO"), 0, P471)</f>
        <v/>
      </c>
      <c r="Q582" s="189">
        <f>IF(OR($N508="RESTRINGIDO", $N519="RESTRINGIDO"), 0, Q471)</f>
        <v/>
      </c>
      <c r="R582" s="189">
        <f>IF(OR($N508="RESTRINGIDO", $N520="RESTRINGIDO"), 0, R471)</f>
        <v/>
      </c>
      <c r="S582" s="189">
        <f>IF(OR($N508="RESTRINGIDO", $N521="RESTRINGIDO"), 0, S471)</f>
        <v/>
      </c>
      <c r="T582" s="189">
        <f>IF(OR($N508="RESTRINGIDO", $N522="RESTRINGIDO"), 0, T471)</f>
        <v/>
      </c>
      <c r="U582" s="189">
        <f>IF(OR($N508="RESTRINGIDO", $N523="RESTRINGIDO"), 0, U471)</f>
        <v/>
      </c>
      <c r="V582" s="189">
        <f>IF(OR($N508="RESTRINGIDO", $N524="RESTRINGIDO"), 0, V471)</f>
        <v/>
      </c>
      <c r="W582" s="189">
        <f>IF(OR($N508="RESTRINGIDO", $N525="RESTRINGIDO"), 0, W471)</f>
        <v/>
      </c>
      <c r="X582" s="189">
        <f>IF(OR($N508="RESTRINGIDO", $N526="RESTRINGIDO"), 0, X471)</f>
        <v/>
      </c>
      <c r="Y582" s="189">
        <f>IF(OR($N508="RESTRINGIDO", $N527="RESTRINGIDO"), 0, Y471)</f>
        <v/>
      </c>
      <c r="Z582" s="189">
        <f>IF(OR($N508="RESTRINGIDO", $N528="RESTRINGIDO"), 0, Z471)</f>
        <v/>
      </c>
      <c r="AA582" s="189">
        <f>IF(OR($N508="RESTRINGIDO", $N529="RESTRINGIDO"), 0, AA471)</f>
        <v/>
      </c>
      <c r="AB582" s="189">
        <f>IF(OR($N508="RESTRINGIDO", $N530="RESTRINGIDO"), 0, AB471)</f>
        <v/>
      </c>
      <c r="AC582" s="189">
        <f>IF(OR($N508="RESTRINGIDO", $N531="RESTRINGIDO"), 0, AC471)</f>
        <v/>
      </c>
      <c r="AD582" s="189">
        <f>IF(OR($N508="RESTRINGIDO", $N532="RESTRINGIDO"), 0, AD471)</f>
        <v/>
      </c>
      <c r="AE582" s="189">
        <f>IF(OR($N508="RESTRINGIDO", $N533="RESTRINGIDO"), 0, AE471)</f>
        <v/>
      </c>
      <c r="AF582" s="189">
        <f>IF(OR($N508="RESTRINGIDO", $N534="RESTRINGIDO"), 0, AF471)</f>
        <v/>
      </c>
      <c r="AG582" s="189">
        <f>IF(OR($N508="RESTRINGIDO", $N535="RESTRINGIDO"), 0, AG471)</f>
        <v/>
      </c>
      <c r="AH582" s="189">
        <f>IF(OR($N508="RESTRINGIDO", $N536="RESTRINGIDO"), 0, AH471)</f>
        <v/>
      </c>
      <c r="AJ582" s="189">
        <f>IF($N508="LIBRE", IF(ISNUMBER(E508), E508, 0), 0)</f>
        <v/>
      </c>
      <c r="AL582" s="188" t="n">
        <v>-5.333333333333334</v>
      </c>
      <c r="AN582" s="188" t="n">
        <v>0</v>
      </c>
    </row>
    <row r="583">
      <c r="B583" s="189">
        <f>IF(OR($N509="RESTRINGIDO", $N504="RESTRINGIDO"), 0, B472)</f>
        <v/>
      </c>
      <c r="C583" s="189">
        <f>IF(OR($N509="RESTRINGIDO", $N505="RESTRINGIDO"), 0, C472)</f>
        <v/>
      </c>
      <c r="D583" s="189">
        <f>IF(OR($N509="RESTRINGIDO", $N506="RESTRINGIDO"), 0, D472)</f>
        <v/>
      </c>
      <c r="E583" s="189">
        <f>IF(OR($N509="RESTRINGIDO", $N507="RESTRINGIDO"), 0, E472)</f>
        <v/>
      </c>
      <c r="F583" s="189">
        <f>IF(OR($N509="RESTRINGIDO", $N508="RESTRINGIDO"), 0, F472)</f>
        <v/>
      </c>
      <c r="G583" s="189">
        <f>IF($N509="RESTRINGIDO", 1, IF(OR($N509="", $C472=""), 1, G472))</f>
        <v/>
      </c>
      <c r="H583" s="189">
        <f>IF(OR($N509="RESTRINGIDO", $N510="RESTRINGIDO"), 0, H472)</f>
        <v/>
      </c>
      <c r="I583" s="189">
        <f>IF(OR($N509="RESTRINGIDO", $N511="RESTRINGIDO"), 0, I472)</f>
        <v/>
      </c>
      <c r="J583" s="189">
        <f>IF(OR($N509="RESTRINGIDO", $N512="RESTRINGIDO"), 0, J472)</f>
        <v/>
      </c>
      <c r="K583" s="189">
        <f>IF(OR($N509="RESTRINGIDO", $N513="RESTRINGIDO"), 0, K472)</f>
        <v/>
      </c>
      <c r="L583" s="189">
        <f>IF(OR($N509="RESTRINGIDO", $N514="RESTRINGIDO"), 0, L472)</f>
        <v/>
      </c>
      <c r="M583" s="189">
        <f>IF(OR($N509="RESTRINGIDO", $N515="RESTRINGIDO"), 0, M472)</f>
        <v/>
      </c>
      <c r="N583" s="189">
        <f>IF(OR($N509="RESTRINGIDO", $N516="RESTRINGIDO"), 0, N472)</f>
        <v/>
      </c>
      <c r="O583" s="189">
        <f>IF(OR($N509="RESTRINGIDO", $N517="RESTRINGIDO"), 0, O472)</f>
        <v/>
      </c>
      <c r="P583" s="189">
        <f>IF(OR($N509="RESTRINGIDO", $N518="RESTRINGIDO"), 0, P472)</f>
        <v/>
      </c>
      <c r="Q583" s="189">
        <f>IF(OR($N509="RESTRINGIDO", $N519="RESTRINGIDO"), 0, Q472)</f>
        <v/>
      </c>
      <c r="R583" s="189">
        <f>IF(OR($N509="RESTRINGIDO", $N520="RESTRINGIDO"), 0, R472)</f>
        <v/>
      </c>
      <c r="S583" s="189">
        <f>IF(OR($N509="RESTRINGIDO", $N521="RESTRINGIDO"), 0, S472)</f>
        <v/>
      </c>
      <c r="T583" s="189">
        <f>IF(OR($N509="RESTRINGIDO", $N522="RESTRINGIDO"), 0, T472)</f>
        <v/>
      </c>
      <c r="U583" s="189">
        <f>IF(OR($N509="RESTRINGIDO", $N523="RESTRINGIDO"), 0, U472)</f>
        <v/>
      </c>
      <c r="V583" s="189">
        <f>IF(OR($N509="RESTRINGIDO", $N524="RESTRINGIDO"), 0, V472)</f>
        <v/>
      </c>
      <c r="W583" s="189">
        <f>IF(OR($N509="RESTRINGIDO", $N525="RESTRINGIDO"), 0, W472)</f>
        <v/>
      </c>
      <c r="X583" s="189">
        <f>IF(OR($N509="RESTRINGIDO", $N526="RESTRINGIDO"), 0, X472)</f>
        <v/>
      </c>
      <c r="Y583" s="189">
        <f>IF(OR($N509="RESTRINGIDO", $N527="RESTRINGIDO"), 0, Y472)</f>
        <v/>
      </c>
      <c r="Z583" s="189">
        <f>IF(OR($N509="RESTRINGIDO", $N528="RESTRINGIDO"), 0, Z472)</f>
        <v/>
      </c>
      <c r="AA583" s="189">
        <f>IF(OR($N509="RESTRINGIDO", $N529="RESTRINGIDO"), 0, AA472)</f>
        <v/>
      </c>
      <c r="AB583" s="189">
        <f>IF(OR($N509="RESTRINGIDO", $N530="RESTRINGIDO"), 0, AB472)</f>
        <v/>
      </c>
      <c r="AC583" s="189">
        <f>IF(OR($N509="RESTRINGIDO", $N531="RESTRINGIDO"), 0, AC472)</f>
        <v/>
      </c>
      <c r="AD583" s="189">
        <f>IF(OR($N509="RESTRINGIDO", $N532="RESTRINGIDO"), 0, AD472)</f>
        <v/>
      </c>
      <c r="AE583" s="189">
        <f>IF(OR($N509="RESTRINGIDO", $N533="RESTRINGIDO"), 0, AE472)</f>
        <v/>
      </c>
      <c r="AF583" s="189">
        <f>IF(OR($N509="RESTRINGIDO", $N534="RESTRINGIDO"), 0, AF472)</f>
        <v/>
      </c>
      <c r="AG583" s="189">
        <f>IF(OR($N509="RESTRINGIDO", $N535="RESTRINGIDO"), 0, AG472)</f>
        <v/>
      </c>
      <c r="AH583" s="189">
        <f>IF(OR($N509="RESTRINGIDO", $N536="RESTRINGIDO"), 0, AH472)</f>
        <v/>
      </c>
      <c r="AJ583" s="189">
        <f>IF($N509="LIBRE", IF(ISNUMBER(E509), E509, 0), 0)</f>
        <v/>
      </c>
      <c r="AL583" s="188" t="n">
        <v>0</v>
      </c>
      <c r="AN583" s="188" t="n">
        <v>0</v>
      </c>
    </row>
    <row r="584">
      <c r="B584" s="189">
        <f>IF(OR($N510="RESTRINGIDO", $N504="RESTRINGIDO"), 0, B473)</f>
        <v/>
      </c>
      <c r="C584" s="189">
        <f>IF(OR($N510="RESTRINGIDO", $N505="RESTRINGIDO"), 0, C473)</f>
        <v/>
      </c>
      <c r="D584" s="189">
        <f>IF(OR($N510="RESTRINGIDO", $N506="RESTRINGIDO"), 0, D473)</f>
        <v/>
      </c>
      <c r="E584" s="189">
        <f>IF(OR($N510="RESTRINGIDO", $N507="RESTRINGIDO"), 0, E473)</f>
        <v/>
      </c>
      <c r="F584" s="189">
        <f>IF(OR($N510="RESTRINGIDO", $N508="RESTRINGIDO"), 0, F473)</f>
        <v/>
      </c>
      <c r="G584" s="189">
        <f>IF(OR($N510="RESTRINGIDO", $N509="RESTRINGIDO"), 0, G473)</f>
        <v/>
      </c>
      <c r="H584" s="189">
        <f>IF($N510="RESTRINGIDO", 1, IF(OR($N510="", $C473=""), 1, H473))</f>
        <v/>
      </c>
      <c r="I584" s="189">
        <f>IF(OR($N510="RESTRINGIDO", $N511="RESTRINGIDO"), 0, I473)</f>
        <v/>
      </c>
      <c r="J584" s="189">
        <f>IF(OR($N510="RESTRINGIDO", $N512="RESTRINGIDO"), 0, J473)</f>
        <v/>
      </c>
      <c r="K584" s="189">
        <f>IF(OR($N510="RESTRINGIDO", $N513="RESTRINGIDO"), 0, K473)</f>
        <v/>
      </c>
      <c r="L584" s="189">
        <f>IF(OR($N510="RESTRINGIDO", $N514="RESTRINGIDO"), 0, L473)</f>
        <v/>
      </c>
      <c r="M584" s="189">
        <f>IF(OR($N510="RESTRINGIDO", $N515="RESTRINGIDO"), 0, M473)</f>
        <v/>
      </c>
      <c r="N584" s="189">
        <f>IF(OR($N510="RESTRINGIDO", $N516="RESTRINGIDO"), 0, N473)</f>
        <v/>
      </c>
      <c r="O584" s="189">
        <f>IF(OR($N510="RESTRINGIDO", $N517="RESTRINGIDO"), 0, O473)</f>
        <v/>
      </c>
      <c r="P584" s="189">
        <f>IF(OR($N510="RESTRINGIDO", $N518="RESTRINGIDO"), 0, P473)</f>
        <v/>
      </c>
      <c r="Q584" s="189">
        <f>IF(OR($N510="RESTRINGIDO", $N519="RESTRINGIDO"), 0, Q473)</f>
        <v/>
      </c>
      <c r="R584" s="189">
        <f>IF(OR($N510="RESTRINGIDO", $N520="RESTRINGIDO"), 0, R473)</f>
        <v/>
      </c>
      <c r="S584" s="189">
        <f>IF(OR($N510="RESTRINGIDO", $N521="RESTRINGIDO"), 0, S473)</f>
        <v/>
      </c>
      <c r="T584" s="189">
        <f>IF(OR($N510="RESTRINGIDO", $N522="RESTRINGIDO"), 0, T473)</f>
        <v/>
      </c>
      <c r="U584" s="189">
        <f>IF(OR($N510="RESTRINGIDO", $N523="RESTRINGIDO"), 0, U473)</f>
        <v/>
      </c>
      <c r="V584" s="189">
        <f>IF(OR($N510="RESTRINGIDO", $N524="RESTRINGIDO"), 0, V473)</f>
        <v/>
      </c>
      <c r="W584" s="189">
        <f>IF(OR($N510="RESTRINGIDO", $N525="RESTRINGIDO"), 0, W473)</f>
        <v/>
      </c>
      <c r="X584" s="189">
        <f>IF(OR($N510="RESTRINGIDO", $N526="RESTRINGIDO"), 0, X473)</f>
        <v/>
      </c>
      <c r="Y584" s="189">
        <f>IF(OR($N510="RESTRINGIDO", $N527="RESTRINGIDO"), 0, Y473)</f>
        <v/>
      </c>
      <c r="Z584" s="189">
        <f>IF(OR($N510="RESTRINGIDO", $N528="RESTRINGIDO"), 0, Z473)</f>
        <v/>
      </c>
      <c r="AA584" s="189">
        <f>IF(OR($N510="RESTRINGIDO", $N529="RESTRINGIDO"), 0, AA473)</f>
        <v/>
      </c>
      <c r="AB584" s="189">
        <f>IF(OR($N510="RESTRINGIDO", $N530="RESTRINGIDO"), 0, AB473)</f>
        <v/>
      </c>
      <c r="AC584" s="189">
        <f>IF(OR($N510="RESTRINGIDO", $N531="RESTRINGIDO"), 0, AC473)</f>
        <v/>
      </c>
      <c r="AD584" s="189">
        <f>IF(OR($N510="RESTRINGIDO", $N532="RESTRINGIDO"), 0, AD473)</f>
        <v/>
      </c>
      <c r="AE584" s="189">
        <f>IF(OR($N510="RESTRINGIDO", $N533="RESTRINGIDO"), 0, AE473)</f>
        <v/>
      </c>
      <c r="AF584" s="189">
        <f>IF(OR($N510="RESTRINGIDO", $N534="RESTRINGIDO"), 0, AF473)</f>
        <v/>
      </c>
      <c r="AG584" s="189">
        <f>IF(OR($N510="RESTRINGIDO", $N535="RESTRINGIDO"), 0, AG473)</f>
        <v/>
      </c>
      <c r="AH584" s="189">
        <f>IF(OR($N510="RESTRINGIDO", $N536="RESTRINGIDO"), 0, AH473)</f>
        <v/>
      </c>
      <c r="AJ584" s="189">
        <f>IF($N510="LIBRE", IF(ISNUMBER(E510), E510, 0), 0)</f>
        <v/>
      </c>
      <c r="AL584" s="188" t="n">
        <v>0</v>
      </c>
      <c r="AN584" s="188" t="n">
        <v>0</v>
      </c>
    </row>
    <row r="585">
      <c r="B585" s="189">
        <f>IF(OR($N511="RESTRINGIDO", $N504="RESTRINGIDO"), 0, B474)</f>
        <v/>
      </c>
      <c r="C585" s="189">
        <f>IF(OR($N511="RESTRINGIDO", $N505="RESTRINGIDO"), 0, C474)</f>
        <v/>
      </c>
      <c r="D585" s="189">
        <f>IF(OR($N511="RESTRINGIDO", $N506="RESTRINGIDO"), 0, D474)</f>
        <v/>
      </c>
      <c r="E585" s="189">
        <f>IF(OR($N511="RESTRINGIDO", $N507="RESTRINGIDO"), 0, E474)</f>
        <v/>
      </c>
      <c r="F585" s="189">
        <f>IF(OR($N511="RESTRINGIDO", $N508="RESTRINGIDO"), 0, F474)</f>
        <v/>
      </c>
      <c r="G585" s="189">
        <f>IF(OR($N511="RESTRINGIDO", $N509="RESTRINGIDO"), 0, G474)</f>
        <v/>
      </c>
      <c r="H585" s="189">
        <f>IF(OR($N511="RESTRINGIDO", $N510="RESTRINGIDO"), 0, H474)</f>
        <v/>
      </c>
      <c r="I585" s="189">
        <f>IF($N511="RESTRINGIDO", 1, IF(OR($N511="", $C474=""), 1, I474))</f>
        <v/>
      </c>
      <c r="J585" s="189">
        <f>IF(OR($N511="RESTRINGIDO", $N512="RESTRINGIDO"), 0, J474)</f>
        <v/>
      </c>
      <c r="K585" s="189">
        <f>IF(OR($N511="RESTRINGIDO", $N513="RESTRINGIDO"), 0, K474)</f>
        <v/>
      </c>
      <c r="L585" s="189">
        <f>IF(OR($N511="RESTRINGIDO", $N514="RESTRINGIDO"), 0, L474)</f>
        <v/>
      </c>
      <c r="M585" s="189">
        <f>IF(OR($N511="RESTRINGIDO", $N515="RESTRINGIDO"), 0, M474)</f>
        <v/>
      </c>
      <c r="N585" s="189">
        <f>IF(OR($N511="RESTRINGIDO", $N516="RESTRINGIDO"), 0, N474)</f>
        <v/>
      </c>
      <c r="O585" s="189">
        <f>IF(OR($N511="RESTRINGIDO", $N517="RESTRINGIDO"), 0, O474)</f>
        <v/>
      </c>
      <c r="P585" s="189">
        <f>IF(OR($N511="RESTRINGIDO", $N518="RESTRINGIDO"), 0, P474)</f>
        <v/>
      </c>
      <c r="Q585" s="189">
        <f>IF(OR($N511="RESTRINGIDO", $N519="RESTRINGIDO"), 0, Q474)</f>
        <v/>
      </c>
      <c r="R585" s="189">
        <f>IF(OR($N511="RESTRINGIDO", $N520="RESTRINGIDO"), 0, R474)</f>
        <v/>
      </c>
      <c r="S585" s="189">
        <f>IF(OR($N511="RESTRINGIDO", $N521="RESTRINGIDO"), 0, S474)</f>
        <v/>
      </c>
      <c r="T585" s="189">
        <f>IF(OR($N511="RESTRINGIDO", $N522="RESTRINGIDO"), 0, T474)</f>
        <v/>
      </c>
      <c r="U585" s="189">
        <f>IF(OR($N511="RESTRINGIDO", $N523="RESTRINGIDO"), 0, U474)</f>
        <v/>
      </c>
      <c r="V585" s="189">
        <f>IF(OR($N511="RESTRINGIDO", $N524="RESTRINGIDO"), 0, V474)</f>
        <v/>
      </c>
      <c r="W585" s="189">
        <f>IF(OR($N511="RESTRINGIDO", $N525="RESTRINGIDO"), 0, W474)</f>
        <v/>
      </c>
      <c r="X585" s="189">
        <f>IF(OR($N511="RESTRINGIDO", $N526="RESTRINGIDO"), 0, X474)</f>
        <v/>
      </c>
      <c r="Y585" s="189">
        <f>IF(OR($N511="RESTRINGIDO", $N527="RESTRINGIDO"), 0, Y474)</f>
        <v/>
      </c>
      <c r="Z585" s="189">
        <f>IF(OR($N511="RESTRINGIDO", $N528="RESTRINGIDO"), 0, Z474)</f>
        <v/>
      </c>
      <c r="AA585" s="189">
        <f>IF(OR($N511="RESTRINGIDO", $N529="RESTRINGIDO"), 0, AA474)</f>
        <v/>
      </c>
      <c r="AB585" s="189">
        <f>IF(OR($N511="RESTRINGIDO", $N530="RESTRINGIDO"), 0, AB474)</f>
        <v/>
      </c>
      <c r="AC585" s="189">
        <f>IF(OR($N511="RESTRINGIDO", $N531="RESTRINGIDO"), 0, AC474)</f>
        <v/>
      </c>
      <c r="AD585" s="189">
        <f>IF(OR($N511="RESTRINGIDO", $N532="RESTRINGIDO"), 0, AD474)</f>
        <v/>
      </c>
      <c r="AE585" s="189">
        <f>IF(OR($N511="RESTRINGIDO", $N533="RESTRINGIDO"), 0, AE474)</f>
        <v/>
      </c>
      <c r="AF585" s="189">
        <f>IF(OR($N511="RESTRINGIDO", $N534="RESTRINGIDO"), 0, AF474)</f>
        <v/>
      </c>
      <c r="AG585" s="189">
        <f>IF(OR($N511="RESTRINGIDO", $N535="RESTRINGIDO"), 0, AG474)</f>
        <v/>
      </c>
      <c r="AH585" s="189">
        <f>IF(OR($N511="RESTRINGIDO", $N536="RESTRINGIDO"), 0, AH474)</f>
        <v/>
      </c>
      <c r="AJ585" s="189">
        <f>IF($N511="LIBRE", IF(ISNUMBER(E511), E511, 0), 0)</f>
        <v/>
      </c>
      <c r="AL585" s="188" t="n">
        <v>0</v>
      </c>
      <c r="AN585" s="188" t="n">
        <v>1000</v>
      </c>
    </row>
    <row r="586">
      <c r="B586" s="189">
        <f>IF(OR($N512="RESTRINGIDO", $N504="RESTRINGIDO"), 0, B475)</f>
        <v/>
      </c>
      <c r="C586" s="189">
        <f>IF(OR($N512="RESTRINGIDO", $N505="RESTRINGIDO"), 0, C475)</f>
        <v/>
      </c>
      <c r="D586" s="189">
        <f>IF(OR($N512="RESTRINGIDO", $N506="RESTRINGIDO"), 0, D475)</f>
        <v/>
      </c>
      <c r="E586" s="189">
        <f>IF(OR($N512="RESTRINGIDO", $N507="RESTRINGIDO"), 0, E475)</f>
        <v/>
      </c>
      <c r="F586" s="189">
        <f>IF(OR($N512="RESTRINGIDO", $N508="RESTRINGIDO"), 0, F475)</f>
        <v/>
      </c>
      <c r="G586" s="189">
        <f>IF(OR($N512="RESTRINGIDO", $N509="RESTRINGIDO"), 0, G475)</f>
        <v/>
      </c>
      <c r="H586" s="189">
        <f>IF(OR($N512="RESTRINGIDO", $N510="RESTRINGIDO"), 0, H475)</f>
        <v/>
      </c>
      <c r="I586" s="189">
        <f>IF(OR($N512="RESTRINGIDO", $N511="RESTRINGIDO"), 0, I475)</f>
        <v/>
      </c>
      <c r="J586" s="189">
        <f>IF($N512="RESTRINGIDO", 1, IF(OR($N512="", $C475=""), 1, J475))</f>
        <v/>
      </c>
      <c r="K586" s="189">
        <f>IF(OR($N512="RESTRINGIDO", $N513="RESTRINGIDO"), 0, K475)</f>
        <v/>
      </c>
      <c r="L586" s="189">
        <f>IF(OR($N512="RESTRINGIDO", $N514="RESTRINGIDO"), 0, L475)</f>
        <v/>
      </c>
      <c r="M586" s="189">
        <f>IF(OR($N512="RESTRINGIDO", $N515="RESTRINGIDO"), 0, M475)</f>
        <v/>
      </c>
      <c r="N586" s="189">
        <f>IF(OR($N512="RESTRINGIDO", $N516="RESTRINGIDO"), 0, N475)</f>
        <v/>
      </c>
      <c r="O586" s="189">
        <f>IF(OR($N512="RESTRINGIDO", $N517="RESTRINGIDO"), 0, O475)</f>
        <v/>
      </c>
      <c r="P586" s="189">
        <f>IF(OR($N512="RESTRINGIDO", $N518="RESTRINGIDO"), 0, P475)</f>
        <v/>
      </c>
      <c r="Q586" s="189">
        <f>IF(OR($N512="RESTRINGIDO", $N519="RESTRINGIDO"), 0, Q475)</f>
        <v/>
      </c>
      <c r="R586" s="189">
        <f>IF(OR($N512="RESTRINGIDO", $N520="RESTRINGIDO"), 0, R475)</f>
        <v/>
      </c>
      <c r="S586" s="189">
        <f>IF(OR($N512="RESTRINGIDO", $N521="RESTRINGIDO"), 0, S475)</f>
        <v/>
      </c>
      <c r="T586" s="189">
        <f>IF(OR($N512="RESTRINGIDO", $N522="RESTRINGIDO"), 0, T475)</f>
        <v/>
      </c>
      <c r="U586" s="189">
        <f>IF(OR($N512="RESTRINGIDO", $N523="RESTRINGIDO"), 0, U475)</f>
        <v/>
      </c>
      <c r="V586" s="189">
        <f>IF(OR($N512="RESTRINGIDO", $N524="RESTRINGIDO"), 0, V475)</f>
        <v/>
      </c>
      <c r="W586" s="189">
        <f>IF(OR($N512="RESTRINGIDO", $N525="RESTRINGIDO"), 0, W475)</f>
        <v/>
      </c>
      <c r="X586" s="189">
        <f>IF(OR($N512="RESTRINGIDO", $N526="RESTRINGIDO"), 0, X475)</f>
        <v/>
      </c>
      <c r="Y586" s="189">
        <f>IF(OR($N512="RESTRINGIDO", $N527="RESTRINGIDO"), 0, Y475)</f>
        <v/>
      </c>
      <c r="Z586" s="189">
        <f>IF(OR($N512="RESTRINGIDO", $N528="RESTRINGIDO"), 0, Z475)</f>
        <v/>
      </c>
      <c r="AA586" s="189">
        <f>IF(OR($N512="RESTRINGIDO", $N529="RESTRINGIDO"), 0, AA475)</f>
        <v/>
      </c>
      <c r="AB586" s="189">
        <f>IF(OR($N512="RESTRINGIDO", $N530="RESTRINGIDO"), 0, AB475)</f>
        <v/>
      </c>
      <c r="AC586" s="189">
        <f>IF(OR($N512="RESTRINGIDO", $N531="RESTRINGIDO"), 0, AC475)</f>
        <v/>
      </c>
      <c r="AD586" s="189">
        <f>IF(OR($N512="RESTRINGIDO", $N532="RESTRINGIDO"), 0, AD475)</f>
        <v/>
      </c>
      <c r="AE586" s="189">
        <f>IF(OR($N512="RESTRINGIDO", $N533="RESTRINGIDO"), 0, AE475)</f>
        <v/>
      </c>
      <c r="AF586" s="189">
        <f>IF(OR($N512="RESTRINGIDO", $N534="RESTRINGIDO"), 0, AF475)</f>
        <v/>
      </c>
      <c r="AG586" s="189">
        <f>IF(OR($N512="RESTRINGIDO", $N535="RESTRINGIDO"), 0, AG475)</f>
        <v/>
      </c>
      <c r="AH586" s="189">
        <f>IF(OR($N512="RESTRINGIDO", $N536="RESTRINGIDO"), 0, AH475)</f>
        <v/>
      </c>
      <c r="AJ586" s="189">
        <f>IF($N512="LIBRE", IF(ISNUMBER(E512), E512, 0), 0)</f>
        <v/>
      </c>
      <c r="AL586" s="188" t="n">
        <v>0.08</v>
      </c>
      <c r="AN586" s="188" t="n">
        <v>-2.91038304567337e-11</v>
      </c>
    </row>
    <row r="587">
      <c r="B587" s="189">
        <f>IF(OR($N513="RESTRINGIDO", $N504="RESTRINGIDO"), 0, B476)</f>
        <v/>
      </c>
      <c r="C587" s="189">
        <f>IF(OR($N513="RESTRINGIDO", $N505="RESTRINGIDO"), 0, C476)</f>
        <v/>
      </c>
      <c r="D587" s="189">
        <f>IF(OR($N513="RESTRINGIDO", $N506="RESTRINGIDO"), 0, D476)</f>
        <v/>
      </c>
      <c r="E587" s="189">
        <f>IF(OR($N513="RESTRINGIDO", $N507="RESTRINGIDO"), 0, E476)</f>
        <v/>
      </c>
      <c r="F587" s="189">
        <f>IF(OR($N513="RESTRINGIDO", $N508="RESTRINGIDO"), 0, F476)</f>
        <v/>
      </c>
      <c r="G587" s="189">
        <f>IF(OR($N513="RESTRINGIDO", $N509="RESTRINGIDO"), 0, G476)</f>
        <v/>
      </c>
      <c r="H587" s="189">
        <f>IF(OR($N513="RESTRINGIDO", $N510="RESTRINGIDO"), 0, H476)</f>
        <v/>
      </c>
      <c r="I587" s="189">
        <f>IF(OR($N513="RESTRINGIDO", $N511="RESTRINGIDO"), 0, I476)</f>
        <v/>
      </c>
      <c r="J587" s="189">
        <f>IF(OR($N513="RESTRINGIDO", $N512="RESTRINGIDO"), 0, J476)</f>
        <v/>
      </c>
      <c r="K587" s="189">
        <f>IF($N513="RESTRINGIDO", 1, IF(OR($N513="", $C476=""), 1, K476))</f>
        <v/>
      </c>
      <c r="L587" s="189">
        <f>IF(OR($N513="RESTRINGIDO", $N514="RESTRINGIDO"), 0, L476)</f>
        <v/>
      </c>
      <c r="M587" s="189">
        <f>IF(OR($N513="RESTRINGIDO", $N515="RESTRINGIDO"), 0, M476)</f>
        <v/>
      </c>
      <c r="N587" s="189">
        <f>IF(OR($N513="RESTRINGIDO", $N516="RESTRINGIDO"), 0, N476)</f>
        <v/>
      </c>
      <c r="O587" s="189">
        <f>IF(OR($N513="RESTRINGIDO", $N517="RESTRINGIDO"), 0, O476)</f>
        <v/>
      </c>
      <c r="P587" s="189">
        <f>IF(OR($N513="RESTRINGIDO", $N518="RESTRINGIDO"), 0, P476)</f>
        <v/>
      </c>
      <c r="Q587" s="189">
        <f>IF(OR($N513="RESTRINGIDO", $N519="RESTRINGIDO"), 0, Q476)</f>
        <v/>
      </c>
      <c r="R587" s="189">
        <f>IF(OR($N513="RESTRINGIDO", $N520="RESTRINGIDO"), 0, R476)</f>
        <v/>
      </c>
      <c r="S587" s="189">
        <f>IF(OR($N513="RESTRINGIDO", $N521="RESTRINGIDO"), 0, S476)</f>
        <v/>
      </c>
      <c r="T587" s="189">
        <f>IF(OR($N513="RESTRINGIDO", $N522="RESTRINGIDO"), 0, T476)</f>
        <v/>
      </c>
      <c r="U587" s="189">
        <f>IF(OR($N513="RESTRINGIDO", $N523="RESTRINGIDO"), 0, U476)</f>
        <v/>
      </c>
      <c r="V587" s="189">
        <f>IF(OR($N513="RESTRINGIDO", $N524="RESTRINGIDO"), 0, V476)</f>
        <v/>
      </c>
      <c r="W587" s="189">
        <f>IF(OR($N513="RESTRINGIDO", $N525="RESTRINGIDO"), 0, W476)</f>
        <v/>
      </c>
      <c r="X587" s="189">
        <f>IF(OR($N513="RESTRINGIDO", $N526="RESTRINGIDO"), 0, X476)</f>
        <v/>
      </c>
      <c r="Y587" s="189">
        <f>IF(OR($N513="RESTRINGIDO", $N527="RESTRINGIDO"), 0, Y476)</f>
        <v/>
      </c>
      <c r="Z587" s="189">
        <f>IF(OR($N513="RESTRINGIDO", $N528="RESTRINGIDO"), 0, Z476)</f>
        <v/>
      </c>
      <c r="AA587" s="189">
        <f>IF(OR($N513="RESTRINGIDO", $N529="RESTRINGIDO"), 0, AA476)</f>
        <v/>
      </c>
      <c r="AB587" s="189">
        <f>IF(OR($N513="RESTRINGIDO", $N530="RESTRINGIDO"), 0, AB476)</f>
        <v/>
      </c>
      <c r="AC587" s="189">
        <f>IF(OR($N513="RESTRINGIDO", $N531="RESTRINGIDO"), 0, AC476)</f>
        <v/>
      </c>
      <c r="AD587" s="189">
        <f>IF(OR($N513="RESTRINGIDO", $N532="RESTRINGIDO"), 0, AD476)</f>
        <v/>
      </c>
      <c r="AE587" s="189">
        <f>IF(OR($N513="RESTRINGIDO", $N533="RESTRINGIDO"), 0, AE476)</f>
        <v/>
      </c>
      <c r="AF587" s="189">
        <f>IF(OR($N513="RESTRINGIDO", $N534="RESTRINGIDO"), 0, AF476)</f>
        <v/>
      </c>
      <c r="AG587" s="189">
        <f>IF(OR($N513="RESTRINGIDO", $N535="RESTRINGIDO"), 0, AG476)</f>
        <v/>
      </c>
      <c r="AH587" s="189">
        <f>IF(OR($N513="RESTRINGIDO", $N536="RESTRINGIDO"), 0, AH476)</f>
        <v/>
      </c>
      <c r="AJ587" s="189">
        <f>IF($N513="LIBRE", IF(ISNUMBER(E513), E513, 0), 0)</f>
        <v/>
      </c>
      <c r="AL587" s="188" t="n">
        <v>0</v>
      </c>
      <c r="AN587" s="188" t="n">
        <v>0</v>
      </c>
    </row>
    <row r="588">
      <c r="B588" s="189">
        <f>IF(OR($N514="RESTRINGIDO", $N504="RESTRINGIDO"), 0, B477)</f>
        <v/>
      </c>
      <c r="C588" s="189">
        <f>IF(OR($N514="RESTRINGIDO", $N505="RESTRINGIDO"), 0, C477)</f>
        <v/>
      </c>
      <c r="D588" s="189">
        <f>IF(OR($N514="RESTRINGIDO", $N506="RESTRINGIDO"), 0, D477)</f>
        <v/>
      </c>
      <c r="E588" s="189">
        <f>IF(OR($N514="RESTRINGIDO", $N507="RESTRINGIDO"), 0, E477)</f>
        <v/>
      </c>
      <c r="F588" s="189">
        <f>IF(OR($N514="RESTRINGIDO", $N508="RESTRINGIDO"), 0, F477)</f>
        <v/>
      </c>
      <c r="G588" s="189">
        <f>IF(OR($N514="RESTRINGIDO", $N509="RESTRINGIDO"), 0, G477)</f>
        <v/>
      </c>
      <c r="H588" s="189">
        <f>IF(OR($N514="RESTRINGIDO", $N510="RESTRINGIDO"), 0, H477)</f>
        <v/>
      </c>
      <c r="I588" s="189">
        <f>IF(OR($N514="RESTRINGIDO", $N511="RESTRINGIDO"), 0, I477)</f>
        <v/>
      </c>
      <c r="J588" s="189">
        <f>IF(OR($N514="RESTRINGIDO", $N512="RESTRINGIDO"), 0, J477)</f>
        <v/>
      </c>
      <c r="K588" s="189">
        <f>IF(OR($N514="RESTRINGIDO", $N513="RESTRINGIDO"), 0, K477)</f>
        <v/>
      </c>
      <c r="L588" s="189">
        <f>IF($N514="RESTRINGIDO", 1, IF(OR($N514="", $C477=""), 1, L477))</f>
        <v/>
      </c>
      <c r="M588" s="189">
        <f>IF(OR($N514="RESTRINGIDO", $N515="RESTRINGIDO"), 0, M477)</f>
        <v/>
      </c>
      <c r="N588" s="189">
        <f>IF(OR($N514="RESTRINGIDO", $N516="RESTRINGIDO"), 0, N477)</f>
        <v/>
      </c>
      <c r="O588" s="189">
        <f>IF(OR($N514="RESTRINGIDO", $N517="RESTRINGIDO"), 0, O477)</f>
        <v/>
      </c>
      <c r="P588" s="189">
        <f>IF(OR($N514="RESTRINGIDO", $N518="RESTRINGIDO"), 0, P477)</f>
        <v/>
      </c>
      <c r="Q588" s="189">
        <f>IF(OR($N514="RESTRINGIDO", $N519="RESTRINGIDO"), 0, Q477)</f>
        <v/>
      </c>
      <c r="R588" s="189">
        <f>IF(OR($N514="RESTRINGIDO", $N520="RESTRINGIDO"), 0, R477)</f>
        <v/>
      </c>
      <c r="S588" s="189">
        <f>IF(OR($N514="RESTRINGIDO", $N521="RESTRINGIDO"), 0, S477)</f>
        <v/>
      </c>
      <c r="T588" s="189">
        <f>IF(OR($N514="RESTRINGIDO", $N522="RESTRINGIDO"), 0, T477)</f>
        <v/>
      </c>
      <c r="U588" s="189">
        <f>IF(OR($N514="RESTRINGIDO", $N523="RESTRINGIDO"), 0, U477)</f>
        <v/>
      </c>
      <c r="V588" s="189">
        <f>IF(OR($N514="RESTRINGIDO", $N524="RESTRINGIDO"), 0, V477)</f>
        <v/>
      </c>
      <c r="W588" s="189">
        <f>IF(OR($N514="RESTRINGIDO", $N525="RESTRINGIDO"), 0, W477)</f>
        <v/>
      </c>
      <c r="X588" s="189">
        <f>IF(OR($N514="RESTRINGIDO", $N526="RESTRINGIDO"), 0, X477)</f>
        <v/>
      </c>
      <c r="Y588" s="189">
        <f>IF(OR($N514="RESTRINGIDO", $N527="RESTRINGIDO"), 0, Y477)</f>
        <v/>
      </c>
      <c r="Z588" s="189">
        <f>IF(OR($N514="RESTRINGIDO", $N528="RESTRINGIDO"), 0, Z477)</f>
        <v/>
      </c>
      <c r="AA588" s="189">
        <f>IF(OR($N514="RESTRINGIDO", $N529="RESTRINGIDO"), 0, AA477)</f>
        <v/>
      </c>
      <c r="AB588" s="189">
        <f>IF(OR($N514="RESTRINGIDO", $N530="RESTRINGIDO"), 0, AB477)</f>
        <v/>
      </c>
      <c r="AC588" s="189">
        <f>IF(OR($N514="RESTRINGIDO", $N531="RESTRINGIDO"), 0, AC477)</f>
        <v/>
      </c>
      <c r="AD588" s="189">
        <f>IF(OR($N514="RESTRINGIDO", $N532="RESTRINGIDO"), 0, AD477)</f>
        <v/>
      </c>
      <c r="AE588" s="189">
        <f>IF(OR($N514="RESTRINGIDO", $N533="RESTRINGIDO"), 0, AE477)</f>
        <v/>
      </c>
      <c r="AF588" s="189">
        <f>IF(OR($N514="RESTRINGIDO", $N534="RESTRINGIDO"), 0, AF477)</f>
        <v/>
      </c>
      <c r="AG588" s="189">
        <f>IF(OR($N514="RESTRINGIDO", $N535="RESTRINGIDO"), 0, AG477)</f>
        <v/>
      </c>
      <c r="AH588" s="189">
        <f>IF(OR($N514="RESTRINGIDO", $N536="RESTRINGIDO"), 0, AH477)</f>
        <v/>
      </c>
      <c r="AJ588" s="189">
        <f>IF($N514="LIBRE", IF(ISNUMBER(E514), E514, 0), 0)</f>
        <v/>
      </c>
      <c r="AL588" s="188" t="n">
        <v>0</v>
      </c>
      <c r="AN588" s="188" t="n">
        <v>0</v>
      </c>
    </row>
    <row r="589">
      <c r="B589" s="189">
        <f>IF(OR($N515="RESTRINGIDO", $N504="RESTRINGIDO"), 0, B478)</f>
        <v/>
      </c>
      <c r="C589" s="189">
        <f>IF(OR($N515="RESTRINGIDO", $N505="RESTRINGIDO"), 0, C478)</f>
        <v/>
      </c>
      <c r="D589" s="189">
        <f>IF(OR($N515="RESTRINGIDO", $N506="RESTRINGIDO"), 0, D478)</f>
        <v/>
      </c>
      <c r="E589" s="189">
        <f>IF(OR($N515="RESTRINGIDO", $N507="RESTRINGIDO"), 0, E478)</f>
        <v/>
      </c>
      <c r="F589" s="189">
        <f>IF(OR($N515="RESTRINGIDO", $N508="RESTRINGIDO"), 0, F478)</f>
        <v/>
      </c>
      <c r="G589" s="189">
        <f>IF(OR($N515="RESTRINGIDO", $N509="RESTRINGIDO"), 0, G478)</f>
        <v/>
      </c>
      <c r="H589" s="189">
        <f>IF(OR($N515="RESTRINGIDO", $N510="RESTRINGIDO"), 0, H478)</f>
        <v/>
      </c>
      <c r="I589" s="189">
        <f>IF(OR($N515="RESTRINGIDO", $N511="RESTRINGIDO"), 0, I478)</f>
        <v/>
      </c>
      <c r="J589" s="189">
        <f>IF(OR($N515="RESTRINGIDO", $N512="RESTRINGIDO"), 0, J478)</f>
        <v/>
      </c>
      <c r="K589" s="189">
        <f>IF(OR($N515="RESTRINGIDO", $N513="RESTRINGIDO"), 0, K478)</f>
        <v/>
      </c>
      <c r="L589" s="189">
        <f>IF(OR($N515="RESTRINGIDO", $N514="RESTRINGIDO"), 0, L478)</f>
        <v/>
      </c>
      <c r="M589" s="189">
        <f>IF($N515="RESTRINGIDO", 1, IF(OR($N515="", $C478=""), 1, M478))</f>
        <v/>
      </c>
      <c r="N589" s="189">
        <f>IF(OR($N515="RESTRINGIDO", $N516="RESTRINGIDO"), 0, N478)</f>
        <v/>
      </c>
      <c r="O589" s="189">
        <f>IF(OR($N515="RESTRINGIDO", $N517="RESTRINGIDO"), 0, O478)</f>
        <v/>
      </c>
      <c r="P589" s="189">
        <f>IF(OR($N515="RESTRINGIDO", $N518="RESTRINGIDO"), 0, P478)</f>
        <v/>
      </c>
      <c r="Q589" s="189">
        <f>IF(OR($N515="RESTRINGIDO", $N519="RESTRINGIDO"), 0, Q478)</f>
        <v/>
      </c>
      <c r="R589" s="189">
        <f>IF(OR($N515="RESTRINGIDO", $N520="RESTRINGIDO"), 0, R478)</f>
        <v/>
      </c>
      <c r="S589" s="189">
        <f>IF(OR($N515="RESTRINGIDO", $N521="RESTRINGIDO"), 0, S478)</f>
        <v/>
      </c>
      <c r="T589" s="189">
        <f>IF(OR($N515="RESTRINGIDO", $N522="RESTRINGIDO"), 0, T478)</f>
        <v/>
      </c>
      <c r="U589" s="189">
        <f>IF(OR($N515="RESTRINGIDO", $N523="RESTRINGIDO"), 0, U478)</f>
        <v/>
      </c>
      <c r="V589" s="189">
        <f>IF(OR($N515="RESTRINGIDO", $N524="RESTRINGIDO"), 0, V478)</f>
        <v/>
      </c>
      <c r="W589" s="189">
        <f>IF(OR($N515="RESTRINGIDO", $N525="RESTRINGIDO"), 0, W478)</f>
        <v/>
      </c>
      <c r="X589" s="189">
        <f>IF(OR($N515="RESTRINGIDO", $N526="RESTRINGIDO"), 0, X478)</f>
        <v/>
      </c>
      <c r="Y589" s="189">
        <f>IF(OR($N515="RESTRINGIDO", $N527="RESTRINGIDO"), 0, Y478)</f>
        <v/>
      </c>
      <c r="Z589" s="189">
        <f>IF(OR($N515="RESTRINGIDO", $N528="RESTRINGIDO"), 0, Z478)</f>
        <v/>
      </c>
      <c r="AA589" s="189">
        <f>IF(OR($N515="RESTRINGIDO", $N529="RESTRINGIDO"), 0, AA478)</f>
        <v/>
      </c>
      <c r="AB589" s="189">
        <f>IF(OR($N515="RESTRINGIDO", $N530="RESTRINGIDO"), 0, AB478)</f>
        <v/>
      </c>
      <c r="AC589" s="189">
        <f>IF(OR($N515="RESTRINGIDO", $N531="RESTRINGIDO"), 0, AC478)</f>
        <v/>
      </c>
      <c r="AD589" s="189">
        <f>IF(OR($N515="RESTRINGIDO", $N532="RESTRINGIDO"), 0, AD478)</f>
        <v/>
      </c>
      <c r="AE589" s="189">
        <f>IF(OR($N515="RESTRINGIDO", $N533="RESTRINGIDO"), 0, AE478)</f>
        <v/>
      </c>
      <c r="AF589" s="189">
        <f>IF(OR($N515="RESTRINGIDO", $N534="RESTRINGIDO"), 0, AF478)</f>
        <v/>
      </c>
      <c r="AG589" s="189">
        <f>IF(OR($N515="RESTRINGIDO", $N535="RESTRINGIDO"), 0, AG478)</f>
        <v/>
      </c>
      <c r="AH589" s="189">
        <f>IF(OR($N515="RESTRINGIDO", $N536="RESTRINGIDO"), 0, AH478)</f>
        <v/>
      </c>
      <c r="AJ589" s="189">
        <f>IF($N515="LIBRE", IF(ISNUMBER(E515), E515, 0), 0)</f>
        <v/>
      </c>
      <c r="AL589" s="188" t="n">
        <v>0</v>
      </c>
      <c r="AN589" s="188" t="n">
        <v>0</v>
      </c>
    </row>
    <row r="590">
      <c r="B590" s="189">
        <f>IF(OR($N516="RESTRINGIDO", $N504="RESTRINGIDO"), 0, B479)</f>
        <v/>
      </c>
      <c r="C590" s="189">
        <f>IF(OR($N516="RESTRINGIDO", $N505="RESTRINGIDO"), 0, C479)</f>
        <v/>
      </c>
      <c r="D590" s="189">
        <f>IF(OR($N516="RESTRINGIDO", $N506="RESTRINGIDO"), 0, D479)</f>
        <v/>
      </c>
      <c r="E590" s="189">
        <f>IF(OR($N516="RESTRINGIDO", $N507="RESTRINGIDO"), 0, E479)</f>
        <v/>
      </c>
      <c r="F590" s="189">
        <f>IF(OR($N516="RESTRINGIDO", $N508="RESTRINGIDO"), 0, F479)</f>
        <v/>
      </c>
      <c r="G590" s="189">
        <f>IF(OR($N516="RESTRINGIDO", $N509="RESTRINGIDO"), 0, G479)</f>
        <v/>
      </c>
      <c r="H590" s="189">
        <f>IF(OR($N516="RESTRINGIDO", $N510="RESTRINGIDO"), 0, H479)</f>
        <v/>
      </c>
      <c r="I590" s="189">
        <f>IF(OR($N516="RESTRINGIDO", $N511="RESTRINGIDO"), 0, I479)</f>
        <v/>
      </c>
      <c r="J590" s="189">
        <f>IF(OR($N516="RESTRINGIDO", $N512="RESTRINGIDO"), 0, J479)</f>
        <v/>
      </c>
      <c r="K590" s="189">
        <f>IF(OR($N516="RESTRINGIDO", $N513="RESTRINGIDO"), 0, K479)</f>
        <v/>
      </c>
      <c r="L590" s="189">
        <f>IF(OR($N516="RESTRINGIDO", $N514="RESTRINGIDO"), 0, L479)</f>
        <v/>
      </c>
      <c r="M590" s="189">
        <f>IF(OR($N516="RESTRINGIDO", $N515="RESTRINGIDO"), 0, M479)</f>
        <v/>
      </c>
      <c r="N590" s="189">
        <f>IF($N516="RESTRINGIDO", 1, IF(OR($N516="", $C479=""), 1, N479))</f>
        <v/>
      </c>
      <c r="O590" s="189">
        <f>IF(OR($N516="RESTRINGIDO", $N517="RESTRINGIDO"), 0, O479)</f>
        <v/>
      </c>
      <c r="P590" s="189">
        <f>IF(OR($N516="RESTRINGIDO", $N518="RESTRINGIDO"), 0, P479)</f>
        <v/>
      </c>
      <c r="Q590" s="189">
        <f>IF(OR($N516="RESTRINGIDO", $N519="RESTRINGIDO"), 0, Q479)</f>
        <v/>
      </c>
      <c r="R590" s="189">
        <f>IF(OR($N516="RESTRINGIDO", $N520="RESTRINGIDO"), 0, R479)</f>
        <v/>
      </c>
      <c r="S590" s="189">
        <f>IF(OR($N516="RESTRINGIDO", $N521="RESTRINGIDO"), 0, S479)</f>
        <v/>
      </c>
      <c r="T590" s="189">
        <f>IF(OR($N516="RESTRINGIDO", $N522="RESTRINGIDO"), 0, T479)</f>
        <v/>
      </c>
      <c r="U590" s="189">
        <f>IF(OR($N516="RESTRINGIDO", $N523="RESTRINGIDO"), 0, U479)</f>
        <v/>
      </c>
      <c r="V590" s="189">
        <f>IF(OR($N516="RESTRINGIDO", $N524="RESTRINGIDO"), 0, V479)</f>
        <v/>
      </c>
      <c r="W590" s="189">
        <f>IF(OR($N516="RESTRINGIDO", $N525="RESTRINGIDO"), 0, W479)</f>
        <v/>
      </c>
      <c r="X590" s="189">
        <f>IF(OR($N516="RESTRINGIDO", $N526="RESTRINGIDO"), 0, X479)</f>
        <v/>
      </c>
      <c r="Y590" s="189">
        <f>IF(OR($N516="RESTRINGIDO", $N527="RESTRINGIDO"), 0, Y479)</f>
        <v/>
      </c>
      <c r="Z590" s="189">
        <f>IF(OR($N516="RESTRINGIDO", $N528="RESTRINGIDO"), 0, Z479)</f>
        <v/>
      </c>
      <c r="AA590" s="189">
        <f>IF(OR($N516="RESTRINGIDO", $N529="RESTRINGIDO"), 0, AA479)</f>
        <v/>
      </c>
      <c r="AB590" s="189">
        <f>IF(OR($N516="RESTRINGIDO", $N530="RESTRINGIDO"), 0, AB479)</f>
        <v/>
      </c>
      <c r="AC590" s="189">
        <f>IF(OR($N516="RESTRINGIDO", $N531="RESTRINGIDO"), 0, AC479)</f>
        <v/>
      </c>
      <c r="AD590" s="189">
        <f>IF(OR($N516="RESTRINGIDO", $N532="RESTRINGIDO"), 0, AD479)</f>
        <v/>
      </c>
      <c r="AE590" s="189">
        <f>IF(OR($N516="RESTRINGIDO", $N533="RESTRINGIDO"), 0, AE479)</f>
        <v/>
      </c>
      <c r="AF590" s="189">
        <f>IF(OR($N516="RESTRINGIDO", $N534="RESTRINGIDO"), 0, AF479)</f>
        <v/>
      </c>
      <c r="AG590" s="189">
        <f>IF(OR($N516="RESTRINGIDO", $N535="RESTRINGIDO"), 0, AG479)</f>
        <v/>
      </c>
      <c r="AH590" s="189">
        <f>IF(OR($N516="RESTRINGIDO", $N536="RESTRINGIDO"), 0, AH479)</f>
        <v/>
      </c>
      <c r="AJ590" s="189">
        <f>IF($N516="LIBRE", IF(ISNUMBER(E516), E516, 0), 0)</f>
        <v/>
      </c>
      <c r="AL590" s="188" t="n">
        <v>0</v>
      </c>
      <c r="AN590" s="188" t="n">
        <v>0</v>
      </c>
    </row>
    <row r="591">
      <c r="B591" s="189">
        <f>IF(OR($N517="RESTRINGIDO", $N504="RESTRINGIDO"), 0, B480)</f>
        <v/>
      </c>
      <c r="C591" s="189">
        <f>IF(OR($N517="RESTRINGIDO", $N505="RESTRINGIDO"), 0, C480)</f>
        <v/>
      </c>
      <c r="D591" s="189">
        <f>IF(OR($N517="RESTRINGIDO", $N506="RESTRINGIDO"), 0, D480)</f>
        <v/>
      </c>
      <c r="E591" s="189">
        <f>IF(OR($N517="RESTRINGIDO", $N507="RESTRINGIDO"), 0, E480)</f>
        <v/>
      </c>
      <c r="F591" s="189">
        <f>IF(OR($N517="RESTRINGIDO", $N508="RESTRINGIDO"), 0, F480)</f>
        <v/>
      </c>
      <c r="G591" s="189">
        <f>IF(OR($N517="RESTRINGIDO", $N509="RESTRINGIDO"), 0, G480)</f>
        <v/>
      </c>
      <c r="H591" s="189">
        <f>IF(OR($N517="RESTRINGIDO", $N510="RESTRINGIDO"), 0, H480)</f>
        <v/>
      </c>
      <c r="I591" s="189">
        <f>IF(OR($N517="RESTRINGIDO", $N511="RESTRINGIDO"), 0, I480)</f>
        <v/>
      </c>
      <c r="J591" s="189">
        <f>IF(OR($N517="RESTRINGIDO", $N512="RESTRINGIDO"), 0, J480)</f>
        <v/>
      </c>
      <c r="K591" s="189">
        <f>IF(OR($N517="RESTRINGIDO", $N513="RESTRINGIDO"), 0, K480)</f>
        <v/>
      </c>
      <c r="L591" s="189">
        <f>IF(OR($N517="RESTRINGIDO", $N514="RESTRINGIDO"), 0, L480)</f>
        <v/>
      </c>
      <c r="M591" s="189">
        <f>IF(OR($N517="RESTRINGIDO", $N515="RESTRINGIDO"), 0, M480)</f>
        <v/>
      </c>
      <c r="N591" s="189">
        <f>IF(OR($N517="RESTRINGIDO", $N516="RESTRINGIDO"), 0, N480)</f>
        <v/>
      </c>
      <c r="O591" s="189">
        <f>IF($N517="RESTRINGIDO", 1, IF(OR($N517="", $C480=""), 1, O480))</f>
        <v/>
      </c>
      <c r="P591" s="189">
        <f>IF(OR($N517="RESTRINGIDO", $N518="RESTRINGIDO"), 0, P480)</f>
        <v/>
      </c>
      <c r="Q591" s="189">
        <f>IF(OR($N517="RESTRINGIDO", $N519="RESTRINGIDO"), 0, Q480)</f>
        <v/>
      </c>
      <c r="R591" s="189">
        <f>IF(OR($N517="RESTRINGIDO", $N520="RESTRINGIDO"), 0, R480)</f>
        <v/>
      </c>
      <c r="S591" s="189">
        <f>IF(OR($N517="RESTRINGIDO", $N521="RESTRINGIDO"), 0, S480)</f>
        <v/>
      </c>
      <c r="T591" s="189">
        <f>IF(OR($N517="RESTRINGIDO", $N522="RESTRINGIDO"), 0, T480)</f>
        <v/>
      </c>
      <c r="U591" s="189">
        <f>IF(OR($N517="RESTRINGIDO", $N523="RESTRINGIDO"), 0, U480)</f>
        <v/>
      </c>
      <c r="V591" s="189">
        <f>IF(OR($N517="RESTRINGIDO", $N524="RESTRINGIDO"), 0, V480)</f>
        <v/>
      </c>
      <c r="W591" s="189">
        <f>IF(OR($N517="RESTRINGIDO", $N525="RESTRINGIDO"), 0, W480)</f>
        <v/>
      </c>
      <c r="X591" s="189">
        <f>IF(OR($N517="RESTRINGIDO", $N526="RESTRINGIDO"), 0, X480)</f>
        <v/>
      </c>
      <c r="Y591" s="189">
        <f>IF(OR($N517="RESTRINGIDO", $N527="RESTRINGIDO"), 0, Y480)</f>
        <v/>
      </c>
      <c r="Z591" s="189">
        <f>IF(OR($N517="RESTRINGIDO", $N528="RESTRINGIDO"), 0, Z480)</f>
        <v/>
      </c>
      <c r="AA591" s="189">
        <f>IF(OR($N517="RESTRINGIDO", $N529="RESTRINGIDO"), 0, AA480)</f>
        <v/>
      </c>
      <c r="AB591" s="189">
        <f>IF(OR($N517="RESTRINGIDO", $N530="RESTRINGIDO"), 0, AB480)</f>
        <v/>
      </c>
      <c r="AC591" s="189">
        <f>IF(OR($N517="RESTRINGIDO", $N531="RESTRINGIDO"), 0, AC480)</f>
        <v/>
      </c>
      <c r="AD591" s="189">
        <f>IF(OR($N517="RESTRINGIDO", $N532="RESTRINGIDO"), 0, AD480)</f>
        <v/>
      </c>
      <c r="AE591" s="189">
        <f>IF(OR($N517="RESTRINGIDO", $N533="RESTRINGIDO"), 0, AE480)</f>
        <v/>
      </c>
      <c r="AF591" s="189">
        <f>IF(OR($N517="RESTRINGIDO", $N534="RESTRINGIDO"), 0, AF480)</f>
        <v/>
      </c>
      <c r="AG591" s="189">
        <f>IF(OR($N517="RESTRINGIDO", $N535="RESTRINGIDO"), 0, AG480)</f>
        <v/>
      </c>
      <c r="AH591" s="189">
        <f>IF(OR($N517="RESTRINGIDO", $N536="RESTRINGIDO"), 0, AH480)</f>
        <v/>
      </c>
      <c r="AJ591" s="189">
        <f>IF($N517="LIBRE", IF(ISNUMBER(E517), E517, 0), 0)</f>
        <v/>
      </c>
      <c r="AL591" s="188" t="n">
        <v>0</v>
      </c>
      <c r="AN591" s="188" t="n">
        <v>0</v>
      </c>
    </row>
    <row r="592">
      <c r="B592" s="189">
        <f>IF(OR($N518="RESTRINGIDO", $N504="RESTRINGIDO"), 0, B481)</f>
        <v/>
      </c>
      <c r="C592" s="189">
        <f>IF(OR($N518="RESTRINGIDO", $N505="RESTRINGIDO"), 0, C481)</f>
        <v/>
      </c>
      <c r="D592" s="189">
        <f>IF(OR($N518="RESTRINGIDO", $N506="RESTRINGIDO"), 0, D481)</f>
        <v/>
      </c>
      <c r="E592" s="189">
        <f>IF(OR($N518="RESTRINGIDO", $N507="RESTRINGIDO"), 0, E481)</f>
        <v/>
      </c>
      <c r="F592" s="189">
        <f>IF(OR($N518="RESTRINGIDO", $N508="RESTRINGIDO"), 0, F481)</f>
        <v/>
      </c>
      <c r="G592" s="189">
        <f>IF(OR($N518="RESTRINGIDO", $N509="RESTRINGIDO"), 0, G481)</f>
        <v/>
      </c>
      <c r="H592" s="189">
        <f>IF(OR($N518="RESTRINGIDO", $N510="RESTRINGIDO"), 0, H481)</f>
        <v/>
      </c>
      <c r="I592" s="189">
        <f>IF(OR($N518="RESTRINGIDO", $N511="RESTRINGIDO"), 0, I481)</f>
        <v/>
      </c>
      <c r="J592" s="189">
        <f>IF(OR($N518="RESTRINGIDO", $N512="RESTRINGIDO"), 0, J481)</f>
        <v/>
      </c>
      <c r="K592" s="189">
        <f>IF(OR($N518="RESTRINGIDO", $N513="RESTRINGIDO"), 0, K481)</f>
        <v/>
      </c>
      <c r="L592" s="189">
        <f>IF(OR($N518="RESTRINGIDO", $N514="RESTRINGIDO"), 0, L481)</f>
        <v/>
      </c>
      <c r="M592" s="189">
        <f>IF(OR($N518="RESTRINGIDO", $N515="RESTRINGIDO"), 0, M481)</f>
        <v/>
      </c>
      <c r="N592" s="189">
        <f>IF(OR($N518="RESTRINGIDO", $N516="RESTRINGIDO"), 0, N481)</f>
        <v/>
      </c>
      <c r="O592" s="189">
        <f>IF(OR($N518="RESTRINGIDO", $N517="RESTRINGIDO"), 0, O481)</f>
        <v/>
      </c>
      <c r="P592" s="189">
        <f>IF($N518="RESTRINGIDO", 1, IF(OR($N518="", $C481=""), 1, P481))</f>
        <v/>
      </c>
      <c r="Q592" s="189">
        <f>IF(OR($N518="RESTRINGIDO", $N519="RESTRINGIDO"), 0, Q481)</f>
        <v/>
      </c>
      <c r="R592" s="189">
        <f>IF(OR($N518="RESTRINGIDO", $N520="RESTRINGIDO"), 0, R481)</f>
        <v/>
      </c>
      <c r="S592" s="189">
        <f>IF(OR($N518="RESTRINGIDO", $N521="RESTRINGIDO"), 0, S481)</f>
        <v/>
      </c>
      <c r="T592" s="189">
        <f>IF(OR($N518="RESTRINGIDO", $N522="RESTRINGIDO"), 0, T481)</f>
        <v/>
      </c>
      <c r="U592" s="189">
        <f>IF(OR($N518="RESTRINGIDO", $N523="RESTRINGIDO"), 0, U481)</f>
        <v/>
      </c>
      <c r="V592" s="189">
        <f>IF(OR($N518="RESTRINGIDO", $N524="RESTRINGIDO"), 0, V481)</f>
        <v/>
      </c>
      <c r="W592" s="189">
        <f>IF(OR($N518="RESTRINGIDO", $N525="RESTRINGIDO"), 0, W481)</f>
        <v/>
      </c>
      <c r="X592" s="189">
        <f>IF(OR($N518="RESTRINGIDO", $N526="RESTRINGIDO"), 0, X481)</f>
        <v/>
      </c>
      <c r="Y592" s="189">
        <f>IF(OR($N518="RESTRINGIDO", $N527="RESTRINGIDO"), 0, Y481)</f>
        <v/>
      </c>
      <c r="Z592" s="189">
        <f>IF(OR($N518="RESTRINGIDO", $N528="RESTRINGIDO"), 0, Z481)</f>
        <v/>
      </c>
      <c r="AA592" s="189">
        <f>IF(OR($N518="RESTRINGIDO", $N529="RESTRINGIDO"), 0, AA481)</f>
        <v/>
      </c>
      <c r="AB592" s="189">
        <f>IF(OR($N518="RESTRINGIDO", $N530="RESTRINGIDO"), 0, AB481)</f>
        <v/>
      </c>
      <c r="AC592" s="189">
        <f>IF(OR($N518="RESTRINGIDO", $N531="RESTRINGIDO"), 0, AC481)</f>
        <v/>
      </c>
      <c r="AD592" s="189">
        <f>IF(OR($N518="RESTRINGIDO", $N532="RESTRINGIDO"), 0, AD481)</f>
        <v/>
      </c>
      <c r="AE592" s="189">
        <f>IF(OR($N518="RESTRINGIDO", $N533="RESTRINGIDO"), 0, AE481)</f>
        <v/>
      </c>
      <c r="AF592" s="189">
        <f>IF(OR($N518="RESTRINGIDO", $N534="RESTRINGIDO"), 0, AF481)</f>
        <v/>
      </c>
      <c r="AG592" s="189">
        <f>IF(OR($N518="RESTRINGIDO", $N535="RESTRINGIDO"), 0, AG481)</f>
        <v/>
      </c>
      <c r="AH592" s="189">
        <f>IF(OR($N518="RESTRINGIDO", $N536="RESTRINGIDO"), 0, AH481)</f>
        <v/>
      </c>
      <c r="AJ592" s="189">
        <f>IF($N518="LIBRE", IF(ISNUMBER(E518), E518, 0), 0)</f>
        <v/>
      </c>
      <c r="AL592" s="188" t="n">
        <v>0</v>
      </c>
      <c r="AN592" s="188" t="n">
        <v>0</v>
      </c>
    </row>
    <row r="593">
      <c r="B593" s="189">
        <f>IF(OR($N519="RESTRINGIDO", $N504="RESTRINGIDO"), 0, B482)</f>
        <v/>
      </c>
      <c r="C593" s="189">
        <f>IF(OR($N519="RESTRINGIDO", $N505="RESTRINGIDO"), 0, C482)</f>
        <v/>
      </c>
      <c r="D593" s="189">
        <f>IF(OR($N519="RESTRINGIDO", $N506="RESTRINGIDO"), 0, D482)</f>
        <v/>
      </c>
      <c r="E593" s="189">
        <f>IF(OR($N519="RESTRINGIDO", $N507="RESTRINGIDO"), 0, E482)</f>
        <v/>
      </c>
      <c r="F593" s="189">
        <f>IF(OR($N519="RESTRINGIDO", $N508="RESTRINGIDO"), 0, F482)</f>
        <v/>
      </c>
      <c r="G593" s="189">
        <f>IF(OR($N519="RESTRINGIDO", $N509="RESTRINGIDO"), 0, G482)</f>
        <v/>
      </c>
      <c r="H593" s="189">
        <f>IF(OR($N519="RESTRINGIDO", $N510="RESTRINGIDO"), 0, H482)</f>
        <v/>
      </c>
      <c r="I593" s="189">
        <f>IF(OR($N519="RESTRINGIDO", $N511="RESTRINGIDO"), 0, I482)</f>
        <v/>
      </c>
      <c r="J593" s="189">
        <f>IF(OR($N519="RESTRINGIDO", $N512="RESTRINGIDO"), 0, J482)</f>
        <v/>
      </c>
      <c r="K593" s="189">
        <f>IF(OR($N519="RESTRINGIDO", $N513="RESTRINGIDO"), 0, K482)</f>
        <v/>
      </c>
      <c r="L593" s="189">
        <f>IF(OR($N519="RESTRINGIDO", $N514="RESTRINGIDO"), 0, L482)</f>
        <v/>
      </c>
      <c r="M593" s="189">
        <f>IF(OR($N519="RESTRINGIDO", $N515="RESTRINGIDO"), 0, M482)</f>
        <v/>
      </c>
      <c r="N593" s="189">
        <f>IF(OR($N519="RESTRINGIDO", $N516="RESTRINGIDO"), 0, N482)</f>
        <v/>
      </c>
      <c r="O593" s="189">
        <f>IF(OR($N519="RESTRINGIDO", $N517="RESTRINGIDO"), 0, O482)</f>
        <v/>
      </c>
      <c r="P593" s="189">
        <f>IF(OR($N519="RESTRINGIDO", $N518="RESTRINGIDO"), 0, P482)</f>
        <v/>
      </c>
      <c r="Q593" s="189">
        <f>IF($N519="RESTRINGIDO", 1, IF(OR($N519="", $C482=""), 1, Q482))</f>
        <v/>
      </c>
      <c r="R593" s="189">
        <f>IF(OR($N519="RESTRINGIDO", $N520="RESTRINGIDO"), 0, R482)</f>
        <v/>
      </c>
      <c r="S593" s="189">
        <f>IF(OR($N519="RESTRINGIDO", $N521="RESTRINGIDO"), 0, S482)</f>
        <v/>
      </c>
      <c r="T593" s="189">
        <f>IF(OR($N519="RESTRINGIDO", $N522="RESTRINGIDO"), 0, T482)</f>
        <v/>
      </c>
      <c r="U593" s="189">
        <f>IF(OR($N519="RESTRINGIDO", $N523="RESTRINGIDO"), 0, U482)</f>
        <v/>
      </c>
      <c r="V593" s="189">
        <f>IF(OR($N519="RESTRINGIDO", $N524="RESTRINGIDO"), 0, V482)</f>
        <v/>
      </c>
      <c r="W593" s="189">
        <f>IF(OR($N519="RESTRINGIDO", $N525="RESTRINGIDO"), 0, W482)</f>
        <v/>
      </c>
      <c r="X593" s="189">
        <f>IF(OR($N519="RESTRINGIDO", $N526="RESTRINGIDO"), 0, X482)</f>
        <v/>
      </c>
      <c r="Y593" s="189">
        <f>IF(OR($N519="RESTRINGIDO", $N527="RESTRINGIDO"), 0, Y482)</f>
        <v/>
      </c>
      <c r="Z593" s="189">
        <f>IF(OR($N519="RESTRINGIDO", $N528="RESTRINGIDO"), 0, Z482)</f>
        <v/>
      </c>
      <c r="AA593" s="189">
        <f>IF(OR($N519="RESTRINGIDO", $N529="RESTRINGIDO"), 0, AA482)</f>
        <v/>
      </c>
      <c r="AB593" s="189">
        <f>IF(OR($N519="RESTRINGIDO", $N530="RESTRINGIDO"), 0, AB482)</f>
        <v/>
      </c>
      <c r="AC593" s="189">
        <f>IF(OR($N519="RESTRINGIDO", $N531="RESTRINGIDO"), 0, AC482)</f>
        <v/>
      </c>
      <c r="AD593" s="189">
        <f>IF(OR($N519="RESTRINGIDO", $N532="RESTRINGIDO"), 0, AD482)</f>
        <v/>
      </c>
      <c r="AE593" s="189">
        <f>IF(OR($N519="RESTRINGIDO", $N533="RESTRINGIDO"), 0, AE482)</f>
        <v/>
      </c>
      <c r="AF593" s="189">
        <f>IF(OR($N519="RESTRINGIDO", $N534="RESTRINGIDO"), 0, AF482)</f>
        <v/>
      </c>
      <c r="AG593" s="189">
        <f>IF(OR($N519="RESTRINGIDO", $N535="RESTRINGIDO"), 0, AG482)</f>
        <v/>
      </c>
      <c r="AH593" s="189">
        <f>IF(OR($N519="RESTRINGIDO", $N536="RESTRINGIDO"), 0, AH482)</f>
        <v/>
      </c>
      <c r="AJ593" s="189">
        <f>IF($N519="LIBRE", IF(ISNUMBER(E519), E519, 0), 0)</f>
        <v/>
      </c>
      <c r="AL593" s="188" t="n">
        <v>0</v>
      </c>
      <c r="AN593" s="188" t="n">
        <v>0</v>
      </c>
    </row>
    <row r="594">
      <c r="B594" s="189">
        <f>IF(OR($N520="RESTRINGIDO", $N504="RESTRINGIDO"), 0, B483)</f>
        <v/>
      </c>
      <c r="C594" s="189">
        <f>IF(OR($N520="RESTRINGIDO", $N505="RESTRINGIDO"), 0, C483)</f>
        <v/>
      </c>
      <c r="D594" s="189">
        <f>IF(OR($N520="RESTRINGIDO", $N506="RESTRINGIDO"), 0, D483)</f>
        <v/>
      </c>
      <c r="E594" s="189">
        <f>IF(OR($N520="RESTRINGIDO", $N507="RESTRINGIDO"), 0, E483)</f>
        <v/>
      </c>
      <c r="F594" s="189">
        <f>IF(OR($N520="RESTRINGIDO", $N508="RESTRINGIDO"), 0, F483)</f>
        <v/>
      </c>
      <c r="G594" s="189">
        <f>IF(OR($N520="RESTRINGIDO", $N509="RESTRINGIDO"), 0, G483)</f>
        <v/>
      </c>
      <c r="H594" s="189">
        <f>IF(OR($N520="RESTRINGIDO", $N510="RESTRINGIDO"), 0, H483)</f>
        <v/>
      </c>
      <c r="I594" s="189">
        <f>IF(OR($N520="RESTRINGIDO", $N511="RESTRINGIDO"), 0, I483)</f>
        <v/>
      </c>
      <c r="J594" s="189">
        <f>IF(OR($N520="RESTRINGIDO", $N512="RESTRINGIDO"), 0, J483)</f>
        <v/>
      </c>
      <c r="K594" s="189">
        <f>IF(OR($N520="RESTRINGIDO", $N513="RESTRINGIDO"), 0, K483)</f>
        <v/>
      </c>
      <c r="L594" s="189">
        <f>IF(OR($N520="RESTRINGIDO", $N514="RESTRINGIDO"), 0, L483)</f>
        <v/>
      </c>
      <c r="M594" s="189">
        <f>IF(OR($N520="RESTRINGIDO", $N515="RESTRINGIDO"), 0, M483)</f>
        <v/>
      </c>
      <c r="N594" s="189">
        <f>IF(OR($N520="RESTRINGIDO", $N516="RESTRINGIDO"), 0, N483)</f>
        <v/>
      </c>
      <c r="O594" s="189">
        <f>IF(OR($N520="RESTRINGIDO", $N517="RESTRINGIDO"), 0, O483)</f>
        <v/>
      </c>
      <c r="P594" s="189">
        <f>IF(OR($N520="RESTRINGIDO", $N518="RESTRINGIDO"), 0, P483)</f>
        <v/>
      </c>
      <c r="Q594" s="189">
        <f>IF(OR($N520="RESTRINGIDO", $N519="RESTRINGIDO"), 0, Q483)</f>
        <v/>
      </c>
      <c r="R594" s="189">
        <f>IF($N520="RESTRINGIDO", 1, IF(OR($N520="", $C483=""), 1, R483))</f>
        <v/>
      </c>
      <c r="S594" s="189">
        <f>IF(OR($N520="RESTRINGIDO", $N521="RESTRINGIDO"), 0, S483)</f>
        <v/>
      </c>
      <c r="T594" s="189">
        <f>IF(OR($N520="RESTRINGIDO", $N522="RESTRINGIDO"), 0, T483)</f>
        <v/>
      </c>
      <c r="U594" s="189">
        <f>IF(OR($N520="RESTRINGIDO", $N523="RESTRINGIDO"), 0, U483)</f>
        <v/>
      </c>
      <c r="V594" s="189">
        <f>IF(OR($N520="RESTRINGIDO", $N524="RESTRINGIDO"), 0, V483)</f>
        <v/>
      </c>
      <c r="W594" s="189">
        <f>IF(OR($N520="RESTRINGIDO", $N525="RESTRINGIDO"), 0, W483)</f>
        <v/>
      </c>
      <c r="X594" s="189">
        <f>IF(OR($N520="RESTRINGIDO", $N526="RESTRINGIDO"), 0, X483)</f>
        <v/>
      </c>
      <c r="Y594" s="189">
        <f>IF(OR($N520="RESTRINGIDO", $N527="RESTRINGIDO"), 0, Y483)</f>
        <v/>
      </c>
      <c r="Z594" s="189">
        <f>IF(OR($N520="RESTRINGIDO", $N528="RESTRINGIDO"), 0, Z483)</f>
        <v/>
      </c>
      <c r="AA594" s="189">
        <f>IF(OR($N520="RESTRINGIDO", $N529="RESTRINGIDO"), 0, AA483)</f>
        <v/>
      </c>
      <c r="AB594" s="189">
        <f>IF(OR($N520="RESTRINGIDO", $N530="RESTRINGIDO"), 0, AB483)</f>
        <v/>
      </c>
      <c r="AC594" s="189">
        <f>IF(OR($N520="RESTRINGIDO", $N531="RESTRINGIDO"), 0, AC483)</f>
        <v/>
      </c>
      <c r="AD594" s="189">
        <f>IF(OR($N520="RESTRINGIDO", $N532="RESTRINGIDO"), 0, AD483)</f>
        <v/>
      </c>
      <c r="AE594" s="189">
        <f>IF(OR($N520="RESTRINGIDO", $N533="RESTRINGIDO"), 0, AE483)</f>
        <v/>
      </c>
      <c r="AF594" s="189">
        <f>IF(OR($N520="RESTRINGIDO", $N534="RESTRINGIDO"), 0, AF483)</f>
        <v/>
      </c>
      <c r="AG594" s="189">
        <f>IF(OR($N520="RESTRINGIDO", $N535="RESTRINGIDO"), 0, AG483)</f>
        <v/>
      </c>
      <c r="AH594" s="189">
        <f>IF(OR($N520="RESTRINGIDO", $N536="RESTRINGIDO"), 0, AH483)</f>
        <v/>
      </c>
      <c r="AJ594" s="189">
        <f>IF($N520="LIBRE", IF(ISNUMBER(E520), E520, 0), 0)</f>
        <v/>
      </c>
      <c r="AL594" s="188" t="n">
        <v>0</v>
      </c>
      <c r="AN594" s="188" t="n">
        <v>0</v>
      </c>
    </row>
    <row r="595">
      <c r="B595" s="189">
        <f>IF(OR($N521="RESTRINGIDO", $N504="RESTRINGIDO"), 0, B484)</f>
        <v/>
      </c>
      <c r="C595" s="189">
        <f>IF(OR($N521="RESTRINGIDO", $N505="RESTRINGIDO"), 0, C484)</f>
        <v/>
      </c>
      <c r="D595" s="189">
        <f>IF(OR($N521="RESTRINGIDO", $N506="RESTRINGIDO"), 0, D484)</f>
        <v/>
      </c>
      <c r="E595" s="189">
        <f>IF(OR($N521="RESTRINGIDO", $N507="RESTRINGIDO"), 0, E484)</f>
        <v/>
      </c>
      <c r="F595" s="189">
        <f>IF(OR($N521="RESTRINGIDO", $N508="RESTRINGIDO"), 0, F484)</f>
        <v/>
      </c>
      <c r="G595" s="189">
        <f>IF(OR($N521="RESTRINGIDO", $N509="RESTRINGIDO"), 0, G484)</f>
        <v/>
      </c>
      <c r="H595" s="189">
        <f>IF(OR($N521="RESTRINGIDO", $N510="RESTRINGIDO"), 0, H484)</f>
        <v/>
      </c>
      <c r="I595" s="189">
        <f>IF(OR($N521="RESTRINGIDO", $N511="RESTRINGIDO"), 0, I484)</f>
        <v/>
      </c>
      <c r="J595" s="189">
        <f>IF(OR($N521="RESTRINGIDO", $N512="RESTRINGIDO"), 0, J484)</f>
        <v/>
      </c>
      <c r="K595" s="189">
        <f>IF(OR($N521="RESTRINGIDO", $N513="RESTRINGIDO"), 0, K484)</f>
        <v/>
      </c>
      <c r="L595" s="189">
        <f>IF(OR($N521="RESTRINGIDO", $N514="RESTRINGIDO"), 0, L484)</f>
        <v/>
      </c>
      <c r="M595" s="189">
        <f>IF(OR($N521="RESTRINGIDO", $N515="RESTRINGIDO"), 0, M484)</f>
        <v/>
      </c>
      <c r="N595" s="189">
        <f>IF(OR($N521="RESTRINGIDO", $N516="RESTRINGIDO"), 0, N484)</f>
        <v/>
      </c>
      <c r="O595" s="189">
        <f>IF(OR($N521="RESTRINGIDO", $N517="RESTRINGIDO"), 0, O484)</f>
        <v/>
      </c>
      <c r="P595" s="189">
        <f>IF(OR($N521="RESTRINGIDO", $N518="RESTRINGIDO"), 0, P484)</f>
        <v/>
      </c>
      <c r="Q595" s="189">
        <f>IF(OR($N521="RESTRINGIDO", $N519="RESTRINGIDO"), 0, Q484)</f>
        <v/>
      </c>
      <c r="R595" s="189">
        <f>IF(OR($N521="RESTRINGIDO", $N520="RESTRINGIDO"), 0, R484)</f>
        <v/>
      </c>
      <c r="S595" s="189">
        <f>IF($N521="RESTRINGIDO", 1, IF(OR($N521="", $C484=""), 1, S484))</f>
        <v/>
      </c>
      <c r="T595" s="189">
        <f>IF(OR($N521="RESTRINGIDO", $N522="RESTRINGIDO"), 0, T484)</f>
        <v/>
      </c>
      <c r="U595" s="189">
        <f>IF(OR($N521="RESTRINGIDO", $N523="RESTRINGIDO"), 0, U484)</f>
        <v/>
      </c>
      <c r="V595" s="189">
        <f>IF(OR($N521="RESTRINGIDO", $N524="RESTRINGIDO"), 0, V484)</f>
        <v/>
      </c>
      <c r="W595" s="189">
        <f>IF(OR($N521="RESTRINGIDO", $N525="RESTRINGIDO"), 0, W484)</f>
        <v/>
      </c>
      <c r="X595" s="189">
        <f>IF(OR($N521="RESTRINGIDO", $N526="RESTRINGIDO"), 0, X484)</f>
        <v/>
      </c>
      <c r="Y595" s="189">
        <f>IF(OR($N521="RESTRINGIDO", $N527="RESTRINGIDO"), 0, Y484)</f>
        <v/>
      </c>
      <c r="Z595" s="189">
        <f>IF(OR($N521="RESTRINGIDO", $N528="RESTRINGIDO"), 0, Z484)</f>
        <v/>
      </c>
      <c r="AA595" s="189">
        <f>IF(OR($N521="RESTRINGIDO", $N529="RESTRINGIDO"), 0, AA484)</f>
        <v/>
      </c>
      <c r="AB595" s="189">
        <f>IF(OR($N521="RESTRINGIDO", $N530="RESTRINGIDO"), 0, AB484)</f>
        <v/>
      </c>
      <c r="AC595" s="189">
        <f>IF(OR($N521="RESTRINGIDO", $N531="RESTRINGIDO"), 0, AC484)</f>
        <v/>
      </c>
      <c r="AD595" s="189">
        <f>IF(OR($N521="RESTRINGIDO", $N532="RESTRINGIDO"), 0, AD484)</f>
        <v/>
      </c>
      <c r="AE595" s="189">
        <f>IF(OR($N521="RESTRINGIDO", $N533="RESTRINGIDO"), 0, AE484)</f>
        <v/>
      </c>
      <c r="AF595" s="189">
        <f>IF(OR($N521="RESTRINGIDO", $N534="RESTRINGIDO"), 0, AF484)</f>
        <v/>
      </c>
      <c r="AG595" s="189">
        <f>IF(OR($N521="RESTRINGIDO", $N535="RESTRINGIDO"), 0, AG484)</f>
        <v/>
      </c>
      <c r="AH595" s="189">
        <f>IF(OR($N521="RESTRINGIDO", $N536="RESTRINGIDO"), 0, AH484)</f>
        <v/>
      </c>
      <c r="AJ595" s="189">
        <f>IF($N521="LIBRE", IF(ISNUMBER(E521), E521, 0), 0)</f>
        <v/>
      </c>
      <c r="AL595" s="188" t="n">
        <v>0</v>
      </c>
      <c r="AN595" s="188" t="n">
        <v>0</v>
      </c>
    </row>
    <row r="596">
      <c r="B596" s="189">
        <f>IF(OR($N522="RESTRINGIDO", $N504="RESTRINGIDO"), 0, B485)</f>
        <v/>
      </c>
      <c r="C596" s="189">
        <f>IF(OR($N522="RESTRINGIDO", $N505="RESTRINGIDO"), 0, C485)</f>
        <v/>
      </c>
      <c r="D596" s="189">
        <f>IF(OR($N522="RESTRINGIDO", $N506="RESTRINGIDO"), 0, D485)</f>
        <v/>
      </c>
      <c r="E596" s="189">
        <f>IF(OR($N522="RESTRINGIDO", $N507="RESTRINGIDO"), 0, E485)</f>
        <v/>
      </c>
      <c r="F596" s="189">
        <f>IF(OR($N522="RESTRINGIDO", $N508="RESTRINGIDO"), 0, F485)</f>
        <v/>
      </c>
      <c r="G596" s="189">
        <f>IF(OR($N522="RESTRINGIDO", $N509="RESTRINGIDO"), 0, G485)</f>
        <v/>
      </c>
      <c r="H596" s="189">
        <f>IF(OR($N522="RESTRINGIDO", $N510="RESTRINGIDO"), 0, H485)</f>
        <v/>
      </c>
      <c r="I596" s="189">
        <f>IF(OR($N522="RESTRINGIDO", $N511="RESTRINGIDO"), 0, I485)</f>
        <v/>
      </c>
      <c r="J596" s="189">
        <f>IF(OR($N522="RESTRINGIDO", $N512="RESTRINGIDO"), 0, J485)</f>
        <v/>
      </c>
      <c r="K596" s="189">
        <f>IF(OR($N522="RESTRINGIDO", $N513="RESTRINGIDO"), 0, K485)</f>
        <v/>
      </c>
      <c r="L596" s="189">
        <f>IF(OR($N522="RESTRINGIDO", $N514="RESTRINGIDO"), 0, L485)</f>
        <v/>
      </c>
      <c r="M596" s="189">
        <f>IF(OR($N522="RESTRINGIDO", $N515="RESTRINGIDO"), 0, M485)</f>
        <v/>
      </c>
      <c r="N596" s="189">
        <f>IF(OR($N522="RESTRINGIDO", $N516="RESTRINGIDO"), 0, N485)</f>
        <v/>
      </c>
      <c r="O596" s="189">
        <f>IF(OR($N522="RESTRINGIDO", $N517="RESTRINGIDO"), 0, O485)</f>
        <v/>
      </c>
      <c r="P596" s="189">
        <f>IF(OR($N522="RESTRINGIDO", $N518="RESTRINGIDO"), 0, P485)</f>
        <v/>
      </c>
      <c r="Q596" s="189">
        <f>IF(OR($N522="RESTRINGIDO", $N519="RESTRINGIDO"), 0, Q485)</f>
        <v/>
      </c>
      <c r="R596" s="189">
        <f>IF(OR($N522="RESTRINGIDO", $N520="RESTRINGIDO"), 0, R485)</f>
        <v/>
      </c>
      <c r="S596" s="189">
        <f>IF(OR($N522="RESTRINGIDO", $N521="RESTRINGIDO"), 0, S485)</f>
        <v/>
      </c>
      <c r="T596" s="189">
        <f>IF($N522="RESTRINGIDO", 1, IF(OR($N522="", $C485=""), 1, T485))</f>
        <v/>
      </c>
      <c r="U596" s="189">
        <f>IF(OR($N522="RESTRINGIDO", $N523="RESTRINGIDO"), 0, U485)</f>
        <v/>
      </c>
      <c r="V596" s="189">
        <f>IF(OR($N522="RESTRINGIDO", $N524="RESTRINGIDO"), 0, V485)</f>
        <v/>
      </c>
      <c r="W596" s="189">
        <f>IF(OR($N522="RESTRINGIDO", $N525="RESTRINGIDO"), 0, W485)</f>
        <v/>
      </c>
      <c r="X596" s="189">
        <f>IF(OR($N522="RESTRINGIDO", $N526="RESTRINGIDO"), 0, X485)</f>
        <v/>
      </c>
      <c r="Y596" s="189">
        <f>IF(OR($N522="RESTRINGIDO", $N527="RESTRINGIDO"), 0, Y485)</f>
        <v/>
      </c>
      <c r="Z596" s="189">
        <f>IF(OR($N522="RESTRINGIDO", $N528="RESTRINGIDO"), 0, Z485)</f>
        <v/>
      </c>
      <c r="AA596" s="189">
        <f>IF(OR($N522="RESTRINGIDO", $N529="RESTRINGIDO"), 0, AA485)</f>
        <v/>
      </c>
      <c r="AB596" s="189">
        <f>IF(OR($N522="RESTRINGIDO", $N530="RESTRINGIDO"), 0, AB485)</f>
        <v/>
      </c>
      <c r="AC596" s="189">
        <f>IF(OR($N522="RESTRINGIDO", $N531="RESTRINGIDO"), 0, AC485)</f>
        <v/>
      </c>
      <c r="AD596" s="189">
        <f>IF(OR($N522="RESTRINGIDO", $N532="RESTRINGIDO"), 0, AD485)</f>
        <v/>
      </c>
      <c r="AE596" s="189">
        <f>IF(OR($N522="RESTRINGIDO", $N533="RESTRINGIDO"), 0, AE485)</f>
        <v/>
      </c>
      <c r="AF596" s="189">
        <f>IF(OR($N522="RESTRINGIDO", $N534="RESTRINGIDO"), 0, AF485)</f>
        <v/>
      </c>
      <c r="AG596" s="189">
        <f>IF(OR($N522="RESTRINGIDO", $N535="RESTRINGIDO"), 0, AG485)</f>
        <v/>
      </c>
      <c r="AH596" s="189">
        <f>IF(OR($N522="RESTRINGIDO", $N536="RESTRINGIDO"), 0, AH485)</f>
        <v/>
      </c>
      <c r="AJ596" s="189">
        <f>IF($N522="LIBRE", IF(ISNUMBER(E522), E522, 0), 0)</f>
        <v/>
      </c>
      <c r="AL596" s="188" t="n">
        <v>0</v>
      </c>
      <c r="AN596" s="188" t="n">
        <v>0</v>
      </c>
    </row>
    <row r="597">
      <c r="B597" s="189">
        <f>IF(OR($N523="RESTRINGIDO", $N504="RESTRINGIDO"), 0, B486)</f>
        <v/>
      </c>
      <c r="C597" s="189">
        <f>IF(OR($N523="RESTRINGIDO", $N505="RESTRINGIDO"), 0, C486)</f>
        <v/>
      </c>
      <c r="D597" s="189">
        <f>IF(OR($N523="RESTRINGIDO", $N506="RESTRINGIDO"), 0, D486)</f>
        <v/>
      </c>
      <c r="E597" s="189">
        <f>IF(OR($N523="RESTRINGIDO", $N507="RESTRINGIDO"), 0, E486)</f>
        <v/>
      </c>
      <c r="F597" s="189">
        <f>IF(OR($N523="RESTRINGIDO", $N508="RESTRINGIDO"), 0, F486)</f>
        <v/>
      </c>
      <c r="G597" s="189">
        <f>IF(OR($N523="RESTRINGIDO", $N509="RESTRINGIDO"), 0, G486)</f>
        <v/>
      </c>
      <c r="H597" s="189">
        <f>IF(OR($N523="RESTRINGIDO", $N510="RESTRINGIDO"), 0, H486)</f>
        <v/>
      </c>
      <c r="I597" s="189">
        <f>IF(OR($N523="RESTRINGIDO", $N511="RESTRINGIDO"), 0, I486)</f>
        <v/>
      </c>
      <c r="J597" s="189">
        <f>IF(OR($N523="RESTRINGIDO", $N512="RESTRINGIDO"), 0, J486)</f>
        <v/>
      </c>
      <c r="K597" s="189">
        <f>IF(OR($N523="RESTRINGIDO", $N513="RESTRINGIDO"), 0, K486)</f>
        <v/>
      </c>
      <c r="L597" s="189">
        <f>IF(OR($N523="RESTRINGIDO", $N514="RESTRINGIDO"), 0, L486)</f>
        <v/>
      </c>
      <c r="M597" s="189">
        <f>IF(OR($N523="RESTRINGIDO", $N515="RESTRINGIDO"), 0, M486)</f>
        <v/>
      </c>
      <c r="N597" s="189">
        <f>IF(OR($N523="RESTRINGIDO", $N516="RESTRINGIDO"), 0, N486)</f>
        <v/>
      </c>
      <c r="O597" s="189">
        <f>IF(OR($N523="RESTRINGIDO", $N517="RESTRINGIDO"), 0, O486)</f>
        <v/>
      </c>
      <c r="P597" s="189">
        <f>IF(OR($N523="RESTRINGIDO", $N518="RESTRINGIDO"), 0, P486)</f>
        <v/>
      </c>
      <c r="Q597" s="189">
        <f>IF(OR($N523="RESTRINGIDO", $N519="RESTRINGIDO"), 0, Q486)</f>
        <v/>
      </c>
      <c r="R597" s="189">
        <f>IF(OR($N523="RESTRINGIDO", $N520="RESTRINGIDO"), 0, R486)</f>
        <v/>
      </c>
      <c r="S597" s="189">
        <f>IF(OR($N523="RESTRINGIDO", $N521="RESTRINGIDO"), 0, S486)</f>
        <v/>
      </c>
      <c r="T597" s="189">
        <f>IF(OR($N523="RESTRINGIDO", $N522="RESTRINGIDO"), 0, T486)</f>
        <v/>
      </c>
      <c r="U597" s="189">
        <f>IF($N523="RESTRINGIDO", 1, IF(OR($N523="", $C486=""), 1, U486))</f>
        <v/>
      </c>
      <c r="V597" s="189">
        <f>IF(OR($N523="RESTRINGIDO", $N524="RESTRINGIDO"), 0, V486)</f>
        <v/>
      </c>
      <c r="W597" s="189">
        <f>IF(OR($N523="RESTRINGIDO", $N525="RESTRINGIDO"), 0, W486)</f>
        <v/>
      </c>
      <c r="X597" s="189">
        <f>IF(OR($N523="RESTRINGIDO", $N526="RESTRINGIDO"), 0, X486)</f>
        <v/>
      </c>
      <c r="Y597" s="189">
        <f>IF(OR($N523="RESTRINGIDO", $N527="RESTRINGIDO"), 0, Y486)</f>
        <v/>
      </c>
      <c r="Z597" s="189">
        <f>IF(OR($N523="RESTRINGIDO", $N528="RESTRINGIDO"), 0, Z486)</f>
        <v/>
      </c>
      <c r="AA597" s="189">
        <f>IF(OR($N523="RESTRINGIDO", $N529="RESTRINGIDO"), 0, AA486)</f>
        <v/>
      </c>
      <c r="AB597" s="189">
        <f>IF(OR($N523="RESTRINGIDO", $N530="RESTRINGIDO"), 0, AB486)</f>
        <v/>
      </c>
      <c r="AC597" s="189">
        <f>IF(OR($N523="RESTRINGIDO", $N531="RESTRINGIDO"), 0, AC486)</f>
        <v/>
      </c>
      <c r="AD597" s="189">
        <f>IF(OR($N523="RESTRINGIDO", $N532="RESTRINGIDO"), 0, AD486)</f>
        <v/>
      </c>
      <c r="AE597" s="189">
        <f>IF(OR($N523="RESTRINGIDO", $N533="RESTRINGIDO"), 0, AE486)</f>
        <v/>
      </c>
      <c r="AF597" s="189">
        <f>IF(OR($N523="RESTRINGIDO", $N534="RESTRINGIDO"), 0, AF486)</f>
        <v/>
      </c>
      <c r="AG597" s="189">
        <f>IF(OR($N523="RESTRINGIDO", $N535="RESTRINGIDO"), 0, AG486)</f>
        <v/>
      </c>
      <c r="AH597" s="189">
        <f>IF(OR($N523="RESTRINGIDO", $N536="RESTRINGIDO"), 0, AH486)</f>
        <v/>
      </c>
      <c r="AJ597" s="189">
        <f>IF($N523="LIBRE", IF(ISNUMBER(E523), E523, 0), 0)</f>
        <v/>
      </c>
      <c r="AL597" s="188" t="n">
        <v>0</v>
      </c>
      <c r="AN597" s="188" t="n">
        <v>0</v>
      </c>
    </row>
    <row r="598">
      <c r="B598" s="189">
        <f>IF(OR($N524="RESTRINGIDO", $N504="RESTRINGIDO"), 0, B487)</f>
        <v/>
      </c>
      <c r="C598" s="189">
        <f>IF(OR($N524="RESTRINGIDO", $N505="RESTRINGIDO"), 0, C487)</f>
        <v/>
      </c>
      <c r="D598" s="189">
        <f>IF(OR($N524="RESTRINGIDO", $N506="RESTRINGIDO"), 0, D487)</f>
        <v/>
      </c>
      <c r="E598" s="189">
        <f>IF(OR($N524="RESTRINGIDO", $N507="RESTRINGIDO"), 0, E487)</f>
        <v/>
      </c>
      <c r="F598" s="189">
        <f>IF(OR($N524="RESTRINGIDO", $N508="RESTRINGIDO"), 0, F487)</f>
        <v/>
      </c>
      <c r="G598" s="189">
        <f>IF(OR($N524="RESTRINGIDO", $N509="RESTRINGIDO"), 0, G487)</f>
        <v/>
      </c>
      <c r="H598" s="189">
        <f>IF(OR($N524="RESTRINGIDO", $N510="RESTRINGIDO"), 0, H487)</f>
        <v/>
      </c>
      <c r="I598" s="189">
        <f>IF(OR($N524="RESTRINGIDO", $N511="RESTRINGIDO"), 0, I487)</f>
        <v/>
      </c>
      <c r="J598" s="189">
        <f>IF(OR($N524="RESTRINGIDO", $N512="RESTRINGIDO"), 0, J487)</f>
        <v/>
      </c>
      <c r="K598" s="189">
        <f>IF(OR($N524="RESTRINGIDO", $N513="RESTRINGIDO"), 0, K487)</f>
        <v/>
      </c>
      <c r="L598" s="189">
        <f>IF(OR($N524="RESTRINGIDO", $N514="RESTRINGIDO"), 0, L487)</f>
        <v/>
      </c>
      <c r="M598" s="189">
        <f>IF(OR($N524="RESTRINGIDO", $N515="RESTRINGIDO"), 0, M487)</f>
        <v/>
      </c>
      <c r="N598" s="189">
        <f>IF(OR($N524="RESTRINGIDO", $N516="RESTRINGIDO"), 0, N487)</f>
        <v/>
      </c>
      <c r="O598" s="189">
        <f>IF(OR($N524="RESTRINGIDO", $N517="RESTRINGIDO"), 0, O487)</f>
        <v/>
      </c>
      <c r="P598" s="189">
        <f>IF(OR($N524="RESTRINGIDO", $N518="RESTRINGIDO"), 0, P487)</f>
        <v/>
      </c>
      <c r="Q598" s="189">
        <f>IF(OR($N524="RESTRINGIDO", $N519="RESTRINGIDO"), 0, Q487)</f>
        <v/>
      </c>
      <c r="R598" s="189">
        <f>IF(OR($N524="RESTRINGIDO", $N520="RESTRINGIDO"), 0, R487)</f>
        <v/>
      </c>
      <c r="S598" s="189">
        <f>IF(OR($N524="RESTRINGIDO", $N521="RESTRINGIDO"), 0, S487)</f>
        <v/>
      </c>
      <c r="T598" s="189">
        <f>IF(OR($N524="RESTRINGIDO", $N522="RESTRINGIDO"), 0, T487)</f>
        <v/>
      </c>
      <c r="U598" s="189">
        <f>IF(OR($N524="RESTRINGIDO", $N523="RESTRINGIDO"), 0, U487)</f>
        <v/>
      </c>
      <c r="V598" s="189">
        <f>IF($N524="RESTRINGIDO", 1, IF(OR($N524="", $C487=""), 1, V487))</f>
        <v/>
      </c>
      <c r="W598" s="189">
        <f>IF(OR($N524="RESTRINGIDO", $N525="RESTRINGIDO"), 0, W487)</f>
        <v/>
      </c>
      <c r="X598" s="189">
        <f>IF(OR($N524="RESTRINGIDO", $N526="RESTRINGIDO"), 0, X487)</f>
        <v/>
      </c>
      <c r="Y598" s="189">
        <f>IF(OR($N524="RESTRINGIDO", $N527="RESTRINGIDO"), 0, Y487)</f>
        <v/>
      </c>
      <c r="Z598" s="189">
        <f>IF(OR($N524="RESTRINGIDO", $N528="RESTRINGIDO"), 0, Z487)</f>
        <v/>
      </c>
      <c r="AA598" s="189">
        <f>IF(OR($N524="RESTRINGIDO", $N529="RESTRINGIDO"), 0, AA487)</f>
        <v/>
      </c>
      <c r="AB598" s="189">
        <f>IF(OR($N524="RESTRINGIDO", $N530="RESTRINGIDO"), 0, AB487)</f>
        <v/>
      </c>
      <c r="AC598" s="189">
        <f>IF(OR($N524="RESTRINGIDO", $N531="RESTRINGIDO"), 0, AC487)</f>
        <v/>
      </c>
      <c r="AD598" s="189">
        <f>IF(OR($N524="RESTRINGIDO", $N532="RESTRINGIDO"), 0, AD487)</f>
        <v/>
      </c>
      <c r="AE598" s="189">
        <f>IF(OR($N524="RESTRINGIDO", $N533="RESTRINGIDO"), 0, AE487)</f>
        <v/>
      </c>
      <c r="AF598" s="189">
        <f>IF(OR($N524="RESTRINGIDO", $N534="RESTRINGIDO"), 0, AF487)</f>
        <v/>
      </c>
      <c r="AG598" s="189">
        <f>IF(OR($N524="RESTRINGIDO", $N535="RESTRINGIDO"), 0, AG487)</f>
        <v/>
      </c>
      <c r="AH598" s="189">
        <f>IF(OR($N524="RESTRINGIDO", $N536="RESTRINGIDO"), 0, AH487)</f>
        <v/>
      </c>
      <c r="AJ598" s="189">
        <f>IF($N524="LIBRE", IF(ISNUMBER(E524), E524, 0), 0)</f>
        <v/>
      </c>
      <c r="AL598" s="188" t="n">
        <v>0</v>
      </c>
      <c r="AN598" s="188" t="n">
        <v>0</v>
      </c>
    </row>
    <row r="599">
      <c r="B599" s="189">
        <f>IF(OR($N525="RESTRINGIDO", $N504="RESTRINGIDO"), 0, B488)</f>
        <v/>
      </c>
      <c r="C599" s="189">
        <f>IF(OR($N525="RESTRINGIDO", $N505="RESTRINGIDO"), 0, C488)</f>
        <v/>
      </c>
      <c r="D599" s="189">
        <f>IF(OR($N525="RESTRINGIDO", $N506="RESTRINGIDO"), 0, D488)</f>
        <v/>
      </c>
      <c r="E599" s="189">
        <f>IF(OR($N525="RESTRINGIDO", $N507="RESTRINGIDO"), 0, E488)</f>
        <v/>
      </c>
      <c r="F599" s="189">
        <f>IF(OR($N525="RESTRINGIDO", $N508="RESTRINGIDO"), 0, F488)</f>
        <v/>
      </c>
      <c r="G599" s="189">
        <f>IF(OR($N525="RESTRINGIDO", $N509="RESTRINGIDO"), 0, G488)</f>
        <v/>
      </c>
      <c r="H599" s="189">
        <f>IF(OR($N525="RESTRINGIDO", $N510="RESTRINGIDO"), 0, H488)</f>
        <v/>
      </c>
      <c r="I599" s="189">
        <f>IF(OR($N525="RESTRINGIDO", $N511="RESTRINGIDO"), 0, I488)</f>
        <v/>
      </c>
      <c r="J599" s="189">
        <f>IF(OR($N525="RESTRINGIDO", $N512="RESTRINGIDO"), 0, J488)</f>
        <v/>
      </c>
      <c r="K599" s="189">
        <f>IF(OR($N525="RESTRINGIDO", $N513="RESTRINGIDO"), 0, K488)</f>
        <v/>
      </c>
      <c r="L599" s="189">
        <f>IF(OR($N525="RESTRINGIDO", $N514="RESTRINGIDO"), 0, L488)</f>
        <v/>
      </c>
      <c r="M599" s="189">
        <f>IF(OR($N525="RESTRINGIDO", $N515="RESTRINGIDO"), 0, M488)</f>
        <v/>
      </c>
      <c r="N599" s="189">
        <f>IF(OR($N525="RESTRINGIDO", $N516="RESTRINGIDO"), 0, N488)</f>
        <v/>
      </c>
      <c r="O599" s="189">
        <f>IF(OR($N525="RESTRINGIDO", $N517="RESTRINGIDO"), 0, O488)</f>
        <v/>
      </c>
      <c r="P599" s="189">
        <f>IF(OR($N525="RESTRINGIDO", $N518="RESTRINGIDO"), 0, P488)</f>
        <v/>
      </c>
      <c r="Q599" s="189">
        <f>IF(OR($N525="RESTRINGIDO", $N519="RESTRINGIDO"), 0, Q488)</f>
        <v/>
      </c>
      <c r="R599" s="189">
        <f>IF(OR($N525="RESTRINGIDO", $N520="RESTRINGIDO"), 0, R488)</f>
        <v/>
      </c>
      <c r="S599" s="189">
        <f>IF(OR($N525="RESTRINGIDO", $N521="RESTRINGIDO"), 0, S488)</f>
        <v/>
      </c>
      <c r="T599" s="189">
        <f>IF(OR($N525="RESTRINGIDO", $N522="RESTRINGIDO"), 0, T488)</f>
        <v/>
      </c>
      <c r="U599" s="189">
        <f>IF(OR($N525="RESTRINGIDO", $N523="RESTRINGIDO"), 0, U488)</f>
        <v/>
      </c>
      <c r="V599" s="189">
        <f>IF(OR($N525="RESTRINGIDO", $N524="RESTRINGIDO"), 0, V488)</f>
        <v/>
      </c>
      <c r="W599" s="189">
        <f>IF($N525="RESTRINGIDO", 1, IF(OR($N525="", $C488=""), 1, W488))</f>
        <v/>
      </c>
      <c r="X599" s="189">
        <f>IF(OR($N525="RESTRINGIDO", $N526="RESTRINGIDO"), 0, X488)</f>
        <v/>
      </c>
      <c r="Y599" s="189">
        <f>IF(OR($N525="RESTRINGIDO", $N527="RESTRINGIDO"), 0, Y488)</f>
        <v/>
      </c>
      <c r="Z599" s="189">
        <f>IF(OR($N525="RESTRINGIDO", $N528="RESTRINGIDO"), 0, Z488)</f>
        <v/>
      </c>
      <c r="AA599" s="189">
        <f>IF(OR($N525="RESTRINGIDO", $N529="RESTRINGIDO"), 0, AA488)</f>
        <v/>
      </c>
      <c r="AB599" s="189">
        <f>IF(OR($N525="RESTRINGIDO", $N530="RESTRINGIDO"), 0, AB488)</f>
        <v/>
      </c>
      <c r="AC599" s="189">
        <f>IF(OR($N525="RESTRINGIDO", $N531="RESTRINGIDO"), 0, AC488)</f>
        <v/>
      </c>
      <c r="AD599" s="189">
        <f>IF(OR($N525="RESTRINGIDO", $N532="RESTRINGIDO"), 0, AD488)</f>
        <v/>
      </c>
      <c r="AE599" s="189">
        <f>IF(OR($N525="RESTRINGIDO", $N533="RESTRINGIDO"), 0, AE488)</f>
        <v/>
      </c>
      <c r="AF599" s="189">
        <f>IF(OR($N525="RESTRINGIDO", $N534="RESTRINGIDO"), 0, AF488)</f>
        <v/>
      </c>
      <c r="AG599" s="189">
        <f>IF(OR($N525="RESTRINGIDO", $N535="RESTRINGIDO"), 0, AG488)</f>
        <v/>
      </c>
      <c r="AH599" s="189">
        <f>IF(OR($N525="RESTRINGIDO", $N536="RESTRINGIDO"), 0, AH488)</f>
        <v/>
      </c>
      <c r="AJ599" s="189">
        <f>IF($N525="LIBRE", IF(ISNUMBER(E525), E525, 0), 0)</f>
        <v/>
      </c>
      <c r="AL599" s="188" t="n">
        <v>0</v>
      </c>
      <c r="AN599" s="188" t="n">
        <v>0</v>
      </c>
    </row>
    <row r="600">
      <c r="B600" s="189">
        <f>IF(OR($N526="RESTRINGIDO", $N504="RESTRINGIDO"), 0, B489)</f>
        <v/>
      </c>
      <c r="C600" s="189">
        <f>IF(OR($N526="RESTRINGIDO", $N505="RESTRINGIDO"), 0, C489)</f>
        <v/>
      </c>
      <c r="D600" s="189">
        <f>IF(OR($N526="RESTRINGIDO", $N506="RESTRINGIDO"), 0, D489)</f>
        <v/>
      </c>
      <c r="E600" s="189">
        <f>IF(OR($N526="RESTRINGIDO", $N507="RESTRINGIDO"), 0, E489)</f>
        <v/>
      </c>
      <c r="F600" s="189">
        <f>IF(OR($N526="RESTRINGIDO", $N508="RESTRINGIDO"), 0, F489)</f>
        <v/>
      </c>
      <c r="G600" s="189">
        <f>IF(OR($N526="RESTRINGIDO", $N509="RESTRINGIDO"), 0, G489)</f>
        <v/>
      </c>
      <c r="H600" s="189">
        <f>IF(OR($N526="RESTRINGIDO", $N510="RESTRINGIDO"), 0, H489)</f>
        <v/>
      </c>
      <c r="I600" s="189">
        <f>IF(OR($N526="RESTRINGIDO", $N511="RESTRINGIDO"), 0, I489)</f>
        <v/>
      </c>
      <c r="J600" s="189">
        <f>IF(OR($N526="RESTRINGIDO", $N512="RESTRINGIDO"), 0, J489)</f>
        <v/>
      </c>
      <c r="K600" s="189">
        <f>IF(OR($N526="RESTRINGIDO", $N513="RESTRINGIDO"), 0, K489)</f>
        <v/>
      </c>
      <c r="L600" s="189">
        <f>IF(OR($N526="RESTRINGIDO", $N514="RESTRINGIDO"), 0, L489)</f>
        <v/>
      </c>
      <c r="M600" s="189">
        <f>IF(OR($N526="RESTRINGIDO", $N515="RESTRINGIDO"), 0, M489)</f>
        <v/>
      </c>
      <c r="N600" s="189">
        <f>IF(OR($N526="RESTRINGIDO", $N516="RESTRINGIDO"), 0, N489)</f>
        <v/>
      </c>
      <c r="O600" s="189">
        <f>IF(OR($N526="RESTRINGIDO", $N517="RESTRINGIDO"), 0, O489)</f>
        <v/>
      </c>
      <c r="P600" s="189">
        <f>IF(OR($N526="RESTRINGIDO", $N518="RESTRINGIDO"), 0, P489)</f>
        <v/>
      </c>
      <c r="Q600" s="189">
        <f>IF(OR($N526="RESTRINGIDO", $N519="RESTRINGIDO"), 0, Q489)</f>
        <v/>
      </c>
      <c r="R600" s="189">
        <f>IF(OR($N526="RESTRINGIDO", $N520="RESTRINGIDO"), 0, R489)</f>
        <v/>
      </c>
      <c r="S600" s="189">
        <f>IF(OR($N526="RESTRINGIDO", $N521="RESTRINGIDO"), 0, S489)</f>
        <v/>
      </c>
      <c r="T600" s="189">
        <f>IF(OR($N526="RESTRINGIDO", $N522="RESTRINGIDO"), 0, T489)</f>
        <v/>
      </c>
      <c r="U600" s="189">
        <f>IF(OR($N526="RESTRINGIDO", $N523="RESTRINGIDO"), 0, U489)</f>
        <v/>
      </c>
      <c r="V600" s="189">
        <f>IF(OR($N526="RESTRINGIDO", $N524="RESTRINGIDO"), 0, V489)</f>
        <v/>
      </c>
      <c r="W600" s="189">
        <f>IF(OR($N526="RESTRINGIDO", $N525="RESTRINGIDO"), 0, W489)</f>
        <v/>
      </c>
      <c r="X600" s="189">
        <f>IF($N526="RESTRINGIDO", 1, IF(OR($N526="", $C489=""), 1, X489))</f>
        <v/>
      </c>
      <c r="Y600" s="189">
        <f>IF(OR($N526="RESTRINGIDO", $N527="RESTRINGIDO"), 0, Y489)</f>
        <v/>
      </c>
      <c r="Z600" s="189">
        <f>IF(OR($N526="RESTRINGIDO", $N528="RESTRINGIDO"), 0, Z489)</f>
        <v/>
      </c>
      <c r="AA600" s="189">
        <f>IF(OR($N526="RESTRINGIDO", $N529="RESTRINGIDO"), 0, AA489)</f>
        <v/>
      </c>
      <c r="AB600" s="189">
        <f>IF(OR($N526="RESTRINGIDO", $N530="RESTRINGIDO"), 0, AB489)</f>
        <v/>
      </c>
      <c r="AC600" s="189">
        <f>IF(OR($N526="RESTRINGIDO", $N531="RESTRINGIDO"), 0, AC489)</f>
        <v/>
      </c>
      <c r="AD600" s="189">
        <f>IF(OR($N526="RESTRINGIDO", $N532="RESTRINGIDO"), 0, AD489)</f>
        <v/>
      </c>
      <c r="AE600" s="189">
        <f>IF(OR($N526="RESTRINGIDO", $N533="RESTRINGIDO"), 0, AE489)</f>
        <v/>
      </c>
      <c r="AF600" s="189">
        <f>IF(OR($N526="RESTRINGIDO", $N534="RESTRINGIDO"), 0, AF489)</f>
        <v/>
      </c>
      <c r="AG600" s="189">
        <f>IF(OR($N526="RESTRINGIDO", $N535="RESTRINGIDO"), 0, AG489)</f>
        <v/>
      </c>
      <c r="AH600" s="189">
        <f>IF(OR($N526="RESTRINGIDO", $N536="RESTRINGIDO"), 0, AH489)</f>
        <v/>
      </c>
      <c r="AJ600" s="189">
        <f>IF($N526="LIBRE", IF(ISNUMBER(E526), E526, 0), 0)</f>
        <v/>
      </c>
      <c r="AL600" s="188" t="n">
        <v>0</v>
      </c>
      <c r="AN600" s="188" t="n">
        <v>0</v>
      </c>
    </row>
    <row r="601">
      <c r="B601" s="189">
        <f>IF(OR($N527="RESTRINGIDO", $N504="RESTRINGIDO"), 0, B490)</f>
        <v/>
      </c>
      <c r="C601" s="189">
        <f>IF(OR($N527="RESTRINGIDO", $N505="RESTRINGIDO"), 0, C490)</f>
        <v/>
      </c>
      <c r="D601" s="189">
        <f>IF(OR($N527="RESTRINGIDO", $N506="RESTRINGIDO"), 0, D490)</f>
        <v/>
      </c>
      <c r="E601" s="189">
        <f>IF(OR($N527="RESTRINGIDO", $N507="RESTRINGIDO"), 0, E490)</f>
        <v/>
      </c>
      <c r="F601" s="189">
        <f>IF(OR($N527="RESTRINGIDO", $N508="RESTRINGIDO"), 0, F490)</f>
        <v/>
      </c>
      <c r="G601" s="189">
        <f>IF(OR($N527="RESTRINGIDO", $N509="RESTRINGIDO"), 0, G490)</f>
        <v/>
      </c>
      <c r="H601" s="189">
        <f>IF(OR($N527="RESTRINGIDO", $N510="RESTRINGIDO"), 0, H490)</f>
        <v/>
      </c>
      <c r="I601" s="189">
        <f>IF(OR($N527="RESTRINGIDO", $N511="RESTRINGIDO"), 0, I490)</f>
        <v/>
      </c>
      <c r="J601" s="189">
        <f>IF(OR($N527="RESTRINGIDO", $N512="RESTRINGIDO"), 0, J490)</f>
        <v/>
      </c>
      <c r="K601" s="189">
        <f>IF(OR($N527="RESTRINGIDO", $N513="RESTRINGIDO"), 0, K490)</f>
        <v/>
      </c>
      <c r="L601" s="189">
        <f>IF(OR($N527="RESTRINGIDO", $N514="RESTRINGIDO"), 0, L490)</f>
        <v/>
      </c>
      <c r="M601" s="189">
        <f>IF(OR($N527="RESTRINGIDO", $N515="RESTRINGIDO"), 0, M490)</f>
        <v/>
      </c>
      <c r="N601" s="189">
        <f>IF(OR($N527="RESTRINGIDO", $N516="RESTRINGIDO"), 0, N490)</f>
        <v/>
      </c>
      <c r="O601" s="189">
        <f>IF(OR($N527="RESTRINGIDO", $N517="RESTRINGIDO"), 0, O490)</f>
        <v/>
      </c>
      <c r="P601" s="189">
        <f>IF(OR($N527="RESTRINGIDO", $N518="RESTRINGIDO"), 0, P490)</f>
        <v/>
      </c>
      <c r="Q601" s="189">
        <f>IF(OR($N527="RESTRINGIDO", $N519="RESTRINGIDO"), 0, Q490)</f>
        <v/>
      </c>
      <c r="R601" s="189">
        <f>IF(OR($N527="RESTRINGIDO", $N520="RESTRINGIDO"), 0, R490)</f>
        <v/>
      </c>
      <c r="S601" s="189">
        <f>IF(OR($N527="RESTRINGIDO", $N521="RESTRINGIDO"), 0, S490)</f>
        <v/>
      </c>
      <c r="T601" s="189">
        <f>IF(OR($N527="RESTRINGIDO", $N522="RESTRINGIDO"), 0, T490)</f>
        <v/>
      </c>
      <c r="U601" s="189">
        <f>IF(OR($N527="RESTRINGIDO", $N523="RESTRINGIDO"), 0, U490)</f>
        <v/>
      </c>
      <c r="V601" s="189">
        <f>IF(OR($N527="RESTRINGIDO", $N524="RESTRINGIDO"), 0, V490)</f>
        <v/>
      </c>
      <c r="W601" s="189">
        <f>IF(OR($N527="RESTRINGIDO", $N525="RESTRINGIDO"), 0, W490)</f>
        <v/>
      </c>
      <c r="X601" s="189">
        <f>IF(OR($N527="RESTRINGIDO", $N526="RESTRINGIDO"), 0, X490)</f>
        <v/>
      </c>
      <c r="Y601" s="189">
        <f>IF($N527="RESTRINGIDO", 1, IF(OR($N527="", $C490=""), 1, Y490))</f>
        <v/>
      </c>
      <c r="Z601" s="189">
        <f>IF(OR($N527="RESTRINGIDO", $N528="RESTRINGIDO"), 0, Z490)</f>
        <v/>
      </c>
      <c r="AA601" s="189">
        <f>IF(OR($N527="RESTRINGIDO", $N529="RESTRINGIDO"), 0, AA490)</f>
        <v/>
      </c>
      <c r="AB601" s="189">
        <f>IF(OR($N527="RESTRINGIDO", $N530="RESTRINGIDO"), 0, AB490)</f>
        <v/>
      </c>
      <c r="AC601" s="189">
        <f>IF(OR($N527="RESTRINGIDO", $N531="RESTRINGIDO"), 0, AC490)</f>
        <v/>
      </c>
      <c r="AD601" s="189">
        <f>IF(OR($N527="RESTRINGIDO", $N532="RESTRINGIDO"), 0, AD490)</f>
        <v/>
      </c>
      <c r="AE601" s="189">
        <f>IF(OR($N527="RESTRINGIDO", $N533="RESTRINGIDO"), 0, AE490)</f>
        <v/>
      </c>
      <c r="AF601" s="189">
        <f>IF(OR($N527="RESTRINGIDO", $N534="RESTRINGIDO"), 0, AF490)</f>
        <v/>
      </c>
      <c r="AG601" s="189">
        <f>IF(OR($N527="RESTRINGIDO", $N535="RESTRINGIDO"), 0, AG490)</f>
        <v/>
      </c>
      <c r="AH601" s="189">
        <f>IF(OR($N527="RESTRINGIDO", $N536="RESTRINGIDO"), 0, AH490)</f>
        <v/>
      </c>
      <c r="AJ601" s="189">
        <f>IF($N527="LIBRE", IF(ISNUMBER(E527), E527, 0), 0)</f>
        <v/>
      </c>
      <c r="AL601" s="188" t="n">
        <v>0</v>
      </c>
      <c r="AN601" s="188" t="n">
        <v>0</v>
      </c>
    </row>
    <row r="602">
      <c r="B602" s="189">
        <f>IF(OR($N528="RESTRINGIDO", $N504="RESTRINGIDO"), 0, B491)</f>
        <v/>
      </c>
      <c r="C602" s="189">
        <f>IF(OR($N528="RESTRINGIDO", $N505="RESTRINGIDO"), 0, C491)</f>
        <v/>
      </c>
      <c r="D602" s="189">
        <f>IF(OR($N528="RESTRINGIDO", $N506="RESTRINGIDO"), 0, D491)</f>
        <v/>
      </c>
      <c r="E602" s="189">
        <f>IF(OR($N528="RESTRINGIDO", $N507="RESTRINGIDO"), 0, E491)</f>
        <v/>
      </c>
      <c r="F602" s="189">
        <f>IF(OR($N528="RESTRINGIDO", $N508="RESTRINGIDO"), 0, F491)</f>
        <v/>
      </c>
      <c r="G602" s="189">
        <f>IF(OR($N528="RESTRINGIDO", $N509="RESTRINGIDO"), 0, G491)</f>
        <v/>
      </c>
      <c r="H602" s="189">
        <f>IF(OR($N528="RESTRINGIDO", $N510="RESTRINGIDO"), 0, H491)</f>
        <v/>
      </c>
      <c r="I602" s="189">
        <f>IF(OR($N528="RESTRINGIDO", $N511="RESTRINGIDO"), 0, I491)</f>
        <v/>
      </c>
      <c r="J602" s="189">
        <f>IF(OR($N528="RESTRINGIDO", $N512="RESTRINGIDO"), 0, J491)</f>
        <v/>
      </c>
      <c r="K602" s="189">
        <f>IF(OR($N528="RESTRINGIDO", $N513="RESTRINGIDO"), 0, K491)</f>
        <v/>
      </c>
      <c r="L602" s="189">
        <f>IF(OR($N528="RESTRINGIDO", $N514="RESTRINGIDO"), 0, L491)</f>
        <v/>
      </c>
      <c r="M602" s="189">
        <f>IF(OR($N528="RESTRINGIDO", $N515="RESTRINGIDO"), 0, M491)</f>
        <v/>
      </c>
      <c r="N602" s="189">
        <f>IF(OR($N528="RESTRINGIDO", $N516="RESTRINGIDO"), 0, N491)</f>
        <v/>
      </c>
      <c r="O602" s="189">
        <f>IF(OR($N528="RESTRINGIDO", $N517="RESTRINGIDO"), 0, O491)</f>
        <v/>
      </c>
      <c r="P602" s="189">
        <f>IF(OR($N528="RESTRINGIDO", $N518="RESTRINGIDO"), 0, P491)</f>
        <v/>
      </c>
      <c r="Q602" s="189">
        <f>IF(OR($N528="RESTRINGIDO", $N519="RESTRINGIDO"), 0, Q491)</f>
        <v/>
      </c>
      <c r="R602" s="189">
        <f>IF(OR($N528="RESTRINGIDO", $N520="RESTRINGIDO"), 0, R491)</f>
        <v/>
      </c>
      <c r="S602" s="189">
        <f>IF(OR($N528="RESTRINGIDO", $N521="RESTRINGIDO"), 0, S491)</f>
        <v/>
      </c>
      <c r="T602" s="189">
        <f>IF(OR($N528="RESTRINGIDO", $N522="RESTRINGIDO"), 0, T491)</f>
        <v/>
      </c>
      <c r="U602" s="189">
        <f>IF(OR($N528="RESTRINGIDO", $N523="RESTRINGIDO"), 0, U491)</f>
        <v/>
      </c>
      <c r="V602" s="189">
        <f>IF(OR($N528="RESTRINGIDO", $N524="RESTRINGIDO"), 0, V491)</f>
        <v/>
      </c>
      <c r="W602" s="189">
        <f>IF(OR($N528="RESTRINGIDO", $N525="RESTRINGIDO"), 0, W491)</f>
        <v/>
      </c>
      <c r="X602" s="189">
        <f>IF(OR($N528="RESTRINGIDO", $N526="RESTRINGIDO"), 0, X491)</f>
        <v/>
      </c>
      <c r="Y602" s="189">
        <f>IF(OR($N528="RESTRINGIDO", $N527="RESTRINGIDO"), 0, Y491)</f>
        <v/>
      </c>
      <c r="Z602" s="189">
        <f>IF($N528="RESTRINGIDO", 1, IF(OR($N528="", $C491=""), 1, Z491))</f>
        <v/>
      </c>
      <c r="AA602" s="189">
        <f>IF(OR($N528="RESTRINGIDO", $N529="RESTRINGIDO"), 0, AA491)</f>
        <v/>
      </c>
      <c r="AB602" s="189">
        <f>IF(OR($N528="RESTRINGIDO", $N530="RESTRINGIDO"), 0, AB491)</f>
        <v/>
      </c>
      <c r="AC602" s="189">
        <f>IF(OR($N528="RESTRINGIDO", $N531="RESTRINGIDO"), 0, AC491)</f>
        <v/>
      </c>
      <c r="AD602" s="189">
        <f>IF(OR($N528="RESTRINGIDO", $N532="RESTRINGIDO"), 0, AD491)</f>
        <v/>
      </c>
      <c r="AE602" s="189">
        <f>IF(OR($N528="RESTRINGIDO", $N533="RESTRINGIDO"), 0, AE491)</f>
        <v/>
      </c>
      <c r="AF602" s="189">
        <f>IF(OR($N528="RESTRINGIDO", $N534="RESTRINGIDO"), 0, AF491)</f>
        <v/>
      </c>
      <c r="AG602" s="189">
        <f>IF(OR($N528="RESTRINGIDO", $N535="RESTRINGIDO"), 0, AG491)</f>
        <v/>
      </c>
      <c r="AH602" s="189">
        <f>IF(OR($N528="RESTRINGIDO", $N536="RESTRINGIDO"), 0, AH491)</f>
        <v/>
      </c>
      <c r="AJ602" s="189">
        <f>IF($N528="LIBRE", IF(ISNUMBER(E528), E528, 0), 0)</f>
        <v/>
      </c>
      <c r="AL602" s="188" t="n">
        <v>0</v>
      </c>
      <c r="AN602" s="188" t="n">
        <v>0</v>
      </c>
    </row>
    <row r="603">
      <c r="B603" s="189">
        <f>IF(OR($N529="RESTRINGIDO", $N504="RESTRINGIDO"), 0, B492)</f>
        <v/>
      </c>
      <c r="C603" s="189">
        <f>IF(OR($N529="RESTRINGIDO", $N505="RESTRINGIDO"), 0, C492)</f>
        <v/>
      </c>
      <c r="D603" s="189">
        <f>IF(OR($N529="RESTRINGIDO", $N506="RESTRINGIDO"), 0, D492)</f>
        <v/>
      </c>
      <c r="E603" s="189">
        <f>IF(OR($N529="RESTRINGIDO", $N507="RESTRINGIDO"), 0, E492)</f>
        <v/>
      </c>
      <c r="F603" s="189">
        <f>IF(OR($N529="RESTRINGIDO", $N508="RESTRINGIDO"), 0, F492)</f>
        <v/>
      </c>
      <c r="G603" s="189">
        <f>IF(OR($N529="RESTRINGIDO", $N509="RESTRINGIDO"), 0, G492)</f>
        <v/>
      </c>
      <c r="H603" s="189">
        <f>IF(OR($N529="RESTRINGIDO", $N510="RESTRINGIDO"), 0, H492)</f>
        <v/>
      </c>
      <c r="I603" s="189">
        <f>IF(OR($N529="RESTRINGIDO", $N511="RESTRINGIDO"), 0, I492)</f>
        <v/>
      </c>
      <c r="J603" s="189">
        <f>IF(OR($N529="RESTRINGIDO", $N512="RESTRINGIDO"), 0, J492)</f>
        <v/>
      </c>
      <c r="K603" s="189">
        <f>IF(OR($N529="RESTRINGIDO", $N513="RESTRINGIDO"), 0, K492)</f>
        <v/>
      </c>
      <c r="L603" s="189">
        <f>IF(OR($N529="RESTRINGIDO", $N514="RESTRINGIDO"), 0, L492)</f>
        <v/>
      </c>
      <c r="M603" s="189">
        <f>IF(OR($N529="RESTRINGIDO", $N515="RESTRINGIDO"), 0, M492)</f>
        <v/>
      </c>
      <c r="N603" s="189">
        <f>IF(OR($N529="RESTRINGIDO", $N516="RESTRINGIDO"), 0, N492)</f>
        <v/>
      </c>
      <c r="O603" s="189">
        <f>IF(OR($N529="RESTRINGIDO", $N517="RESTRINGIDO"), 0, O492)</f>
        <v/>
      </c>
      <c r="P603" s="189">
        <f>IF(OR($N529="RESTRINGIDO", $N518="RESTRINGIDO"), 0, P492)</f>
        <v/>
      </c>
      <c r="Q603" s="189">
        <f>IF(OR($N529="RESTRINGIDO", $N519="RESTRINGIDO"), 0, Q492)</f>
        <v/>
      </c>
      <c r="R603" s="189">
        <f>IF(OR($N529="RESTRINGIDO", $N520="RESTRINGIDO"), 0, R492)</f>
        <v/>
      </c>
      <c r="S603" s="189">
        <f>IF(OR($N529="RESTRINGIDO", $N521="RESTRINGIDO"), 0, S492)</f>
        <v/>
      </c>
      <c r="T603" s="189">
        <f>IF(OR($N529="RESTRINGIDO", $N522="RESTRINGIDO"), 0, T492)</f>
        <v/>
      </c>
      <c r="U603" s="189">
        <f>IF(OR($N529="RESTRINGIDO", $N523="RESTRINGIDO"), 0, U492)</f>
        <v/>
      </c>
      <c r="V603" s="189">
        <f>IF(OR($N529="RESTRINGIDO", $N524="RESTRINGIDO"), 0, V492)</f>
        <v/>
      </c>
      <c r="W603" s="189">
        <f>IF(OR($N529="RESTRINGIDO", $N525="RESTRINGIDO"), 0, W492)</f>
        <v/>
      </c>
      <c r="X603" s="189">
        <f>IF(OR($N529="RESTRINGIDO", $N526="RESTRINGIDO"), 0, X492)</f>
        <v/>
      </c>
      <c r="Y603" s="189">
        <f>IF(OR($N529="RESTRINGIDO", $N527="RESTRINGIDO"), 0, Y492)</f>
        <v/>
      </c>
      <c r="Z603" s="189">
        <f>IF(OR($N529="RESTRINGIDO", $N528="RESTRINGIDO"), 0, Z492)</f>
        <v/>
      </c>
      <c r="AA603" s="189">
        <f>IF($N529="RESTRINGIDO", 1, IF(OR($N529="", $C492=""), 1, AA492))</f>
        <v/>
      </c>
      <c r="AB603" s="189">
        <f>IF(OR($N529="RESTRINGIDO", $N530="RESTRINGIDO"), 0, AB492)</f>
        <v/>
      </c>
      <c r="AC603" s="189">
        <f>IF(OR($N529="RESTRINGIDO", $N531="RESTRINGIDO"), 0, AC492)</f>
        <v/>
      </c>
      <c r="AD603" s="189">
        <f>IF(OR($N529="RESTRINGIDO", $N532="RESTRINGIDO"), 0, AD492)</f>
        <v/>
      </c>
      <c r="AE603" s="189">
        <f>IF(OR($N529="RESTRINGIDO", $N533="RESTRINGIDO"), 0, AE492)</f>
        <v/>
      </c>
      <c r="AF603" s="189">
        <f>IF(OR($N529="RESTRINGIDO", $N534="RESTRINGIDO"), 0, AF492)</f>
        <v/>
      </c>
      <c r="AG603" s="189">
        <f>IF(OR($N529="RESTRINGIDO", $N535="RESTRINGIDO"), 0, AG492)</f>
        <v/>
      </c>
      <c r="AH603" s="189">
        <f>IF(OR($N529="RESTRINGIDO", $N536="RESTRINGIDO"), 0, AH492)</f>
        <v/>
      </c>
      <c r="AJ603" s="189">
        <f>IF($N529="LIBRE", IF(ISNUMBER(E529), E529, 0), 0)</f>
        <v/>
      </c>
      <c r="AL603" s="188" t="n">
        <v>0</v>
      </c>
      <c r="AN603" s="188" t="n">
        <v>0</v>
      </c>
    </row>
    <row r="604">
      <c r="B604" s="189">
        <f>IF(OR($N530="RESTRINGIDO", $N504="RESTRINGIDO"), 0, B493)</f>
        <v/>
      </c>
      <c r="C604" s="189">
        <f>IF(OR($N530="RESTRINGIDO", $N505="RESTRINGIDO"), 0, C493)</f>
        <v/>
      </c>
      <c r="D604" s="189">
        <f>IF(OR($N530="RESTRINGIDO", $N506="RESTRINGIDO"), 0, D493)</f>
        <v/>
      </c>
      <c r="E604" s="189">
        <f>IF(OR($N530="RESTRINGIDO", $N507="RESTRINGIDO"), 0, E493)</f>
        <v/>
      </c>
      <c r="F604" s="189">
        <f>IF(OR($N530="RESTRINGIDO", $N508="RESTRINGIDO"), 0, F493)</f>
        <v/>
      </c>
      <c r="G604" s="189">
        <f>IF(OR($N530="RESTRINGIDO", $N509="RESTRINGIDO"), 0, G493)</f>
        <v/>
      </c>
      <c r="H604" s="189">
        <f>IF(OR($N530="RESTRINGIDO", $N510="RESTRINGIDO"), 0, H493)</f>
        <v/>
      </c>
      <c r="I604" s="189">
        <f>IF(OR($N530="RESTRINGIDO", $N511="RESTRINGIDO"), 0, I493)</f>
        <v/>
      </c>
      <c r="J604" s="189">
        <f>IF(OR($N530="RESTRINGIDO", $N512="RESTRINGIDO"), 0, J493)</f>
        <v/>
      </c>
      <c r="K604" s="189">
        <f>IF(OR($N530="RESTRINGIDO", $N513="RESTRINGIDO"), 0, K493)</f>
        <v/>
      </c>
      <c r="L604" s="189">
        <f>IF(OR($N530="RESTRINGIDO", $N514="RESTRINGIDO"), 0, L493)</f>
        <v/>
      </c>
      <c r="M604" s="189">
        <f>IF(OR($N530="RESTRINGIDO", $N515="RESTRINGIDO"), 0, M493)</f>
        <v/>
      </c>
      <c r="N604" s="189">
        <f>IF(OR($N530="RESTRINGIDO", $N516="RESTRINGIDO"), 0, N493)</f>
        <v/>
      </c>
      <c r="O604" s="189">
        <f>IF(OR($N530="RESTRINGIDO", $N517="RESTRINGIDO"), 0, O493)</f>
        <v/>
      </c>
      <c r="P604" s="189">
        <f>IF(OR($N530="RESTRINGIDO", $N518="RESTRINGIDO"), 0, P493)</f>
        <v/>
      </c>
      <c r="Q604" s="189">
        <f>IF(OR($N530="RESTRINGIDO", $N519="RESTRINGIDO"), 0, Q493)</f>
        <v/>
      </c>
      <c r="R604" s="189">
        <f>IF(OR($N530="RESTRINGIDO", $N520="RESTRINGIDO"), 0, R493)</f>
        <v/>
      </c>
      <c r="S604" s="189">
        <f>IF(OR($N530="RESTRINGIDO", $N521="RESTRINGIDO"), 0, S493)</f>
        <v/>
      </c>
      <c r="T604" s="189">
        <f>IF(OR($N530="RESTRINGIDO", $N522="RESTRINGIDO"), 0, T493)</f>
        <v/>
      </c>
      <c r="U604" s="189">
        <f>IF(OR($N530="RESTRINGIDO", $N523="RESTRINGIDO"), 0, U493)</f>
        <v/>
      </c>
      <c r="V604" s="189">
        <f>IF(OR($N530="RESTRINGIDO", $N524="RESTRINGIDO"), 0, V493)</f>
        <v/>
      </c>
      <c r="W604" s="189">
        <f>IF(OR($N530="RESTRINGIDO", $N525="RESTRINGIDO"), 0, W493)</f>
        <v/>
      </c>
      <c r="X604" s="189">
        <f>IF(OR($N530="RESTRINGIDO", $N526="RESTRINGIDO"), 0, X493)</f>
        <v/>
      </c>
      <c r="Y604" s="189">
        <f>IF(OR($N530="RESTRINGIDO", $N527="RESTRINGIDO"), 0, Y493)</f>
        <v/>
      </c>
      <c r="Z604" s="189">
        <f>IF(OR($N530="RESTRINGIDO", $N528="RESTRINGIDO"), 0, Z493)</f>
        <v/>
      </c>
      <c r="AA604" s="189">
        <f>IF(OR($N530="RESTRINGIDO", $N529="RESTRINGIDO"), 0, AA493)</f>
        <v/>
      </c>
      <c r="AB604" s="189">
        <f>IF($N530="RESTRINGIDO", 1, IF(OR($N530="", $C493=""), 1, AB493))</f>
        <v/>
      </c>
      <c r="AC604" s="189">
        <f>IF(OR($N530="RESTRINGIDO", $N531="RESTRINGIDO"), 0, AC493)</f>
        <v/>
      </c>
      <c r="AD604" s="189">
        <f>IF(OR($N530="RESTRINGIDO", $N532="RESTRINGIDO"), 0, AD493)</f>
        <v/>
      </c>
      <c r="AE604" s="189">
        <f>IF(OR($N530="RESTRINGIDO", $N533="RESTRINGIDO"), 0, AE493)</f>
        <v/>
      </c>
      <c r="AF604" s="189">
        <f>IF(OR($N530="RESTRINGIDO", $N534="RESTRINGIDO"), 0, AF493)</f>
        <v/>
      </c>
      <c r="AG604" s="189">
        <f>IF(OR($N530="RESTRINGIDO", $N535="RESTRINGIDO"), 0, AG493)</f>
        <v/>
      </c>
      <c r="AH604" s="189">
        <f>IF(OR($N530="RESTRINGIDO", $N536="RESTRINGIDO"), 0, AH493)</f>
        <v/>
      </c>
      <c r="AJ604" s="189">
        <f>IF($N530="LIBRE", IF(ISNUMBER(E530), E530, 0), 0)</f>
        <v/>
      </c>
      <c r="AL604" s="188" t="n">
        <v>0</v>
      </c>
      <c r="AN604" s="188" t="n">
        <v>0</v>
      </c>
    </row>
    <row r="605">
      <c r="B605" s="189">
        <f>IF(OR($N531="RESTRINGIDO", $N504="RESTRINGIDO"), 0, B494)</f>
        <v/>
      </c>
      <c r="C605" s="189">
        <f>IF(OR($N531="RESTRINGIDO", $N505="RESTRINGIDO"), 0, C494)</f>
        <v/>
      </c>
      <c r="D605" s="189">
        <f>IF(OR($N531="RESTRINGIDO", $N506="RESTRINGIDO"), 0, D494)</f>
        <v/>
      </c>
      <c r="E605" s="189">
        <f>IF(OR($N531="RESTRINGIDO", $N507="RESTRINGIDO"), 0, E494)</f>
        <v/>
      </c>
      <c r="F605" s="189">
        <f>IF(OR($N531="RESTRINGIDO", $N508="RESTRINGIDO"), 0, F494)</f>
        <v/>
      </c>
      <c r="G605" s="189">
        <f>IF(OR($N531="RESTRINGIDO", $N509="RESTRINGIDO"), 0, G494)</f>
        <v/>
      </c>
      <c r="H605" s="189">
        <f>IF(OR($N531="RESTRINGIDO", $N510="RESTRINGIDO"), 0, H494)</f>
        <v/>
      </c>
      <c r="I605" s="189">
        <f>IF(OR($N531="RESTRINGIDO", $N511="RESTRINGIDO"), 0, I494)</f>
        <v/>
      </c>
      <c r="J605" s="189">
        <f>IF(OR($N531="RESTRINGIDO", $N512="RESTRINGIDO"), 0, J494)</f>
        <v/>
      </c>
      <c r="K605" s="189">
        <f>IF(OR($N531="RESTRINGIDO", $N513="RESTRINGIDO"), 0, K494)</f>
        <v/>
      </c>
      <c r="L605" s="189">
        <f>IF(OR($N531="RESTRINGIDO", $N514="RESTRINGIDO"), 0, L494)</f>
        <v/>
      </c>
      <c r="M605" s="189">
        <f>IF(OR($N531="RESTRINGIDO", $N515="RESTRINGIDO"), 0, M494)</f>
        <v/>
      </c>
      <c r="N605" s="189">
        <f>IF(OR($N531="RESTRINGIDO", $N516="RESTRINGIDO"), 0, N494)</f>
        <v/>
      </c>
      <c r="O605" s="189">
        <f>IF(OR($N531="RESTRINGIDO", $N517="RESTRINGIDO"), 0, O494)</f>
        <v/>
      </c>
      <c r="P605" s="189">
        <f>IF(OR($N531="RESTRINGIDO", $N518="RESTRINGIDO"), 0, P494)</f>
        <v/>
      </c>
      <c r="Q605" s="189">
        <f>IF(OR($N531="RESTRINGIDO", $N519="RESTRINGIDO"), 0, Q494)</f>
        <v/>
      </c>
      <c r="R605" s="189">
        <f>IF(OR($N531="RESTRINGIDO", $N520="RESTRINGIDO"), 0, R494)</f>
        <v/>
      </c>
      <c r="S605" s="189">
        <f>IF(OR($N531="RESTRINGIDO", $N521="RESTRINGIDO"), 0, S494)</f>
        <v/>
      </c>
      <c r="T605" s="189">
        <f>IF(OR($N531="RESTRINGIDO", $N522="RESTRINGIDO"), 0, T494)</f>
        <v/>
      </c>
      <c r="U605" s="189">
        <f>IF(OR($N531="RESTRINGIDO", $N523="RESTRINGIDO"), 0, U494)</f>
        <v/>
      </c>
      <c r="V605" s="189">
        <f>IF(OR($N531="RESTRINGIDO", $N524="RESTRINGIDO"), 0, V494)</f>
        <v/>
      </c>
      <c r="W605" s="189">
        <f>IF(OR($N531="RESTRINGIDO", $N525="RESTRINGIDO"), 0, W494)</f>
        <v/>
      </c>
      <c r="X605" s="189">
        <f>IF(OR($N531="RESTRINGIDO", $N526="RESTRINGIDO"), 0, X494)</f>
        <v/>
      </c>
      <c r="Y605" s="189">
        <f>IF(OR($N531="RESTRINGIDO", $N527="RESTRINGIDO"), 0, Y494)</f>
        <v/>
      </c>
      <c r="Z605" s="189">
        <f>IF(OR($N531="RESTRINGIDO", $N528="RESTRINGIDO"), 0, Z494)</f>
        <v/>
      </c>
      <c r="AA605" s="189">
        <f>IF(OR($N531="RESTRINGIDO", $N529="RESTRINGIDO"), 0, AA494)</f>
        <v/>
      </c>
      <c r="AB605" s="189">
        <f>IF(OR($N531="RESTRINGIDO", $N530="RESTRINGIDO"), 0, AB494)</f>
        <v/>
      </c>
      <c r="AC605" s="189">
        <f>IF($N531="RESTRINGIDO", 1, IF(OR($N531="", $C494=""), 1, AC494))</f>
        <v/>
      </c>
      <c r="AD605" s="189">
        <f>IF(OR($N531="RESTRINGIDO", $N532="RESTRINGIDO"), 0, AD494)</f>
        <v/>
      </c>
      <c r="AE605" s="189">
        <f>IF(OR($N531="RESTRINGIDO", $N533="RESTRINGIDO"), 0, AE494)</f>
        <v/>
      </c>
      <c r="AF605" s="189">
        <f>IF(OR($N531="RESTRINGIDO", $N534="RESTRINGIDO"), 0, AF494)</f>
        <v/>
      </c>
      <c r="AG605" s="189">
        <f>IF(OR($N531="RESTRINGIDO", $N535="RESTRINGIDO"), 0, AG494)</f>
        <v/>
      </c>
      <c r="AH605" s="189">
        <f>IF(OR($N531="RESTRINGIDO", $N536="RESTRINGIDO"), 0, AH494)</f>
        <v/>
      </c>
      <c r="AJ605" s="189">
        <f>IF($N531="LIBRE", IF(ISNUMBER(E531), E531, 0), 0)</f>
        <v/>
      </c>
      <c r="AL605" s="188" t="n">
        <v>0</v>
      </c>
      <c r="AN605" s="188" t="n">
        <v>0</v>
      </c>
    </row>
    <row r="606">
      <c r="B606" s="189">
        <f>IF(OR($N532="RESTRINGIDO", $N504="RESTRINGIDO"), 0, B495)</f>
        <v/>
      </c>
      <c r="C606" s="189">
        <f>IF(OR($N532="RESTRINGIDO", $N505="RESTRINGIDO"), 0, C495)</f>
        <v/>
      </c>
      <c r="D606" s="189">
        <f>IF(OR($N532="RESTRINGIDO", $N506="RESTRINGIDO"), 0, D495)</f>
        <v/>
      </c>
      <c r="E606" s="189">
        <f>IF(OR($N532="RESTRINGIDO", $N507="RESTRINGIDO"), 0, E495)</f>
        <v/>
      </c>
      <c r="F606" s="189">
        <f>IF(OR($N532="RESTRINGIDO", $N508="RESTRINGIDO"), 0, F495)</f>
        <v/>
      </c>
      <c r="G606" s="189">
        <f>IF(OR($N532="RESTRINGIDO", $N509="RESTRINGIDO"), 0, G495)</f>
        <v/>
      </c>
      <c r="H606" s="189">
        <f>IF(OR($N532="RESTRINGIDO", $N510="RESTRINGIDO"), 0, H495)</f>
        <v/>
      </c>
      <c r="I606" s="189">
        <f>IF(OR($N532="RESTRINGIDO", $N511="RESTRINGIDO"), 0, I495)</f>
        <v/>
      </c>
      <c r="J606" s="189">
        <f>IF(OR($N532="RESTRINGIDO", $N512="RESTRINGIDO"), 0, J495)</f>
        <v/>
      </c>
      <c r="K606" s="189">
        <f>IF(OR($N532="RESTRINGIDO", $N513="RESTRINGIDO"), 0, K495)</f>
        <v/>
      </c>
      <c r="L606" s="189">
        <f>IF(OR($N532="RESTRINGIDO", $N514="RESTRINGIDO"), 0, L495)</f>
        <v/>
      </c>
      <c r="M606" s="189">
        <f>IF(OR($N532="RESTRINGIDO", $N515="RESTRINGIDO"), 0, M495)</f>
        <v/>
      </c>
      <c r="N606" s="189">
        <f>IF(OR($N532="RESTRINGIDO", $N516="RESTRINGIDO"), 0, N495)</f>
        <v/>
      </c>
      <c r="O606" s="189">
        <f>IF(OR($N532="RESTRINGIDO", $N517="RESTRINGIDO"), 0, O495)</f>
        <v/>
      </c>
      <c r="P606" s="189">
        <f>IF(OR($N532="RESTRINGIDO", $N518="RESTRINGIDO"), 0, P495)</f>
        <v/>
      </c>
      <c r="Q606" s="189">
        <f>IF(OR($N532="RESTRINGIDO", $N519="RESTRINGIDO"), 0, Q495)</f>
        <v/>
      </c>
      <c r="R606" s="189">
        <f>IF(OR($N532="RESTRINGIDO", $N520="RESTRINGIDO"), 0, R495)</f>
        <v/>
      </c>
      <c r="S606" s="189">
        <f>IF(OR($N532="RESTRINGIDO", $N521="RESTRINGIDO"), 0, S495)</f>
        <v/>
      </c>
      <c r="T606" s="189">
        <f>IF(OR($N532="RESTRINGIDO", $N522="RESTRINGIDO"), 0, T495)</f>
        <v/>
      </c>
      <c r="U606" s="189">
        <f>IF(OR($N532="RESTRINGIDO", $N523="RESTRINGIDO"), 0, U495)</f>
        <v/>
      </c>
      <c r="V606" s="189">
        <f>IF(OR($N532="RESTRINGIDO", $N524="RESTRINGIDO"), 0, V495)</f>
        <v/>
      </c>
      <c r="W606" s="189">
        <f>IF(OR($N532="RESTRINGIDO", $N525="RESTRINGIDO"), 0, W495)</f>
        <v/>
      </c>
      <c r="X606" s="189">
        <f>IF(OR($N532="RESTRINGIDO", $N526="RESTRINGIDO"), 0, X495)</f>
        <v/>
      </c>
      <c r="Y606" s="189">
        <f>IF(OR($N532="RESTRINGIDO", $N527="RESTRINGIDO"), 0, Y495)</f>
        <v/>
      </c>
      <c r="Z606" s="189">
        <f>IF(OR($N532="RESTRINGIDO", $N528="RESTRINGIDO"), 0, Z495)</f>
        <v/>
      </c>
      <c r="AA606" s="189">
        <f>IF(OR($N532="RESTRINGIDO", $N529="RESTRINGIDO"), 0, AA495)</f>
        <v/>
      </c>
      <c r="AB606" s="189">
        <f>IF(OR($N532="RESTRINGIDO", $N530="RESTRINGIDO"), 0, AB495)</f>
        <v/>
      </c>
      <c r="AC606" s="189">
        <f>IF(OR($N532="RESTRINGIDO", $N531="RESTRINGIDO"), 0, AC495)</f>
        <v/>
      </c>
      <c r="AD606" s="189">
        <f>IF($N532="RESTRINGIDO", 1, IF(OR($N532="", $C495=""), 1, AD495))</f>
        <v/>
      </c>
      <c r="AE606" s="189">
        <f>IF(OR($N532="RESTRINGIDO", $N533="RESTRINGIDO"), 0, AE495)</f>
        <v/>
      </c>
      <c r="AF606" s="189">
        <f>IF(OR($N532="RESTRINGIDO", $N534="RESTRINGIDO"), 0, AF495)</f>
        <v/>
      </c>
      <c r="AG606" s="189">
        <f>IF(OR($N532="RESTRINGIDO", $N535="RESTRINGIDO"), 0, AG495)</f>
        <v/>
      </c>
      <c r="AH606" s="189">
        <f>IF(OR($N532="RESTRINGIDO", $N536="RESTRINGIDO"), 0, AH495)</f>
        <v/>
      </c>
      <c r="AJ606" s="189">
        <f>IF($N532="LIBRE", IF(ISNUMBER(E532), E532, 0), 0)</f>
        <v/>
      </c>
      <c r="AL606" s="188" t="n">
        <v>0</v>
      </c>
      <c r="AN606" s="188" t="n">
        <v>0</v>
      </c>
    </row>
    <row r="607">
      <c r="B607" s="189">
        <f>IF(OR($N533="RESTRINGIDO", $N504="RESTRINGIDO"), 0, B496)</f>
        <v/>
      </c>
      <c r="C607" s="189">
        <f>IF(OR($N533="RESTRINGIDO", $N505="RESTRINGIDO"), 0, C496)</f>
        <v/>
      </c>
      <c r="D607" s="189">
        <f>IF(OR($N533="RESTRINGIDO", $N506="RESTRINGIDO"), 0, D496)</f>
        <v/>
      </c>
      <c r="E607" s="189">
        <f>IF(OR($N533="RESTRINGIDO", $N507="RESTRINGIDO"), 0, E496)</f>
        <v/>
      </c>
      <c r="F607" s="189">
        <f>IF(OR($N533="RESTRINGIDO", $N508="RESTRINGIDO"), 0, F496)</f>
        <v/>
      </c>
      <c r="G607" s="189">
        <f>IF(OR($N533="RESTRINGIDO", $N509="RESTRINGIDO"), 0, G496)</f>
        <v/>
      </c>
      <c r="H607" s="189">
        <f>IF(OR($N533="RESTRINGIDO", $N510="RESTRINGIDO"), 0, H496)</f>
        <v/>
      </c>
      <c r="I607" s="189">
        <f>IF(OR($N533="RESTRINGIDO", $N511="RESTRINGIDO"), 0, I496)</f>
        <v/>
      </c>
      <c r="J607" s="189">
        <f>IF(OR($N533="RESTRINGIDO", $N512="RESTRINGIDO"), 0, J496)</f>
        <v/>
      </c>
      <c r="K607" s="189">
        <f>IF(OR($N533="RESTRINGIDO", $N513="RESTRINGIDO"), 0, K496)</f>
        <v/>
      </c>
      <c r="L607" s="189">
        <f>IF(OR($N533="RESTRINGIDO", $N514="RESTRINGIDO"), 0, L496)</f>
        <v/>
      </c>
      <c r="M607" s="189">
        <f>IF(OR($N533="RESTRINGIDO", $N515="RESTRINGIDO"), 0, M496)</f>
        <v/>
      </c>
      <c r="N607" s="189">
        <f>IF(OR($N533="RESTRINGIDO", $N516="RESTRINGIDO"), 0, N496)</f>
        <v/>
      </c>
      <c r="O607" s="189">
        <f>IF(OR($N533="RESTRINGIDO", $N517="RESTRINGIDO"), 0, O496)</f>
        <v/>
      </c>
      <c r="P607" s="189">
        <f>IF(OR($N533="RESTRINGIDO", $N518="RESTRINGIDO"), 0, P496)</f>
        <v/>
      </c>
      <c r="Q607" s="189">
        <f>IF(OR($N533="RESTRINGIDO", $N519="RESTRINGIDO"), 0, Q496)</f>
        <v/>
      </c>
      <c r="R607" s="189">
        <f>IF(OR($N533="RESTRINGIDO", $N520="RESTRINGIDO"), 0, R496)</f>
        <v/>
      </c>
      <c r="S607" s="189">
        <f>IF(OR($N533="RESTRINGIDO", $N521="RESTRINGIDO"), 0, S496)</f>
        <v/>
      </c>
      <c r="T607" s="189">
        <f>IF(OR($N533="RESTRINGIDO", $N522="RESTRINGIDO"), 0, T496)</f>
        <v/>
      </c>
      <c r="U607" s="189">
        <f>IF(OR($N533="RESTRINGIDO", $N523="RESTRINGIDO"), 0, U496)</f>
        <v/>
      </c>
      <c r="V607" s="189">
        <f>IF(OR($N533="RESTRINGIDO", $N524="RESTRINGIDO"), 0, V496)</f>
        <v/>
      </c>
      <c r="W607" s="189">
        <f>IF(OR($N533="RESTRINGIDO", $N525="RESTRINGIDO"), 0, W496)</f>
        <v/>
      </c>
      <c r="X607" s="189">
        <f>IF(OR($N533="RESTRINGIDO", $N526="RESTRINGIDO"), 0, X496)</f>
        <v/>
      </c>
      <c r="Y607" s="189">
        <f>IF(OR($N533="RESTRINGIDO", $N527="RESTRINGIDO"), 0, Y496)</f>
        <v/>
      </c>
      <c r="Z607" s="189">
        <f>IF(OR($N533="RESTRINGIDO", $N528="RESTRINGIDO"), 0, Z496)</f>
        <v/>
      </c>
      <c r="AA607" s="189">
        <f>IF(OR($N533="RESTRINGIDO", $N529="RESTRINGIDO"), 0, AA496)</f>
        <v/>
      </c>
      <c r="AB607" s="189">
        <f>IF(OR($N533="RESTRINGIDO", $N530="RESTRINGIDO"), 0, AB496)</f>
        <v/>
      </c>
      <c r="AC607" s="189">
        <f>IF(OR($N533="RESTRINGIDO", $N531="RESTRINGIDO"), 0, AC496)</f>
        <v/>
      </c>
      <c r="AD607" s="189">
        <f>IF(OR($N533="RESTRINGIDO", $N532="RESTRINGIDO"), 0, AD496)</f>
        <v/>
      </c>
      <c r="AE607" s="189">
        <f>IF($N533="RESTRINGIDO", 1, IF(OR($N533="", $C496=""), 1, AE496))</f>
        <v/>
      </c>
      <c r="AF607" s="189">
        <f>IF(OR($N533="RESTRINGIDO", $N534="RESTRINGIDO"), 0, AF496)</f>
        <v/>
      </c>
      <c r="AG607" s="189">
        <f>IF(OR($N533="RESTRINGIDO", $N535="RESTRINGIDO"), 0, AG496)</f>
        <v/>
      </c>
      <c r="AH607" s="189">
        <f>IF(OR($N533="RESTRINGIDO", $N536="RESTRINGIDO"), 0, AH496)</f>
        <v/>
      </c>
      <c r="AJ607" s="189">
        <f>IF($N533="LIBRE", IF(ISNUMBER(E533), E533, 0), 0)</f>
        <v/>
      </c>
      <c r="AL607" s="188" t="n">
        <v>0</v>
      </c>
      <c r="AN607" s="188" t="n">
        <v>0</v>
      </c>
    </row>
    <row r="608">
      <c r="B608" s="189">
        <f>IF(OR($N534="RESTRINGIDO", $N504="RESTRINGIDO"), 0, B497)</f>
        <v/>
      </c>
      <c r="C608" s="189">
        <f>IF(OR($N534="RESTRINGIDO", $N505="RESTRINGIDO"), 0, C497)</f>
        <v/>
      </c>
      <c r="D608" s="189">
        <f>IF(OR($N534="RESTRINGIDO", $N506="RESTRINGIDO"), 0, D497)</f>
        <v/>
      </c>
      <c r="E608" s="189">
        <f>IF(OR($N534="RESTRINGIDO", $N507="RESTRINGIDO"), 0, E497)</f>
        <v/>
      </c>
      <c r="F608" s="189">
        <f>IF(OR($N534="RESTRINGIDO", $N508="RESTRINGIDO"), 0, F497)</f>
        <v/>
      </c>
      <c r="G608" s="189">
        <f>IF(OR($N534="RESTRINGIDO", $N509="RESTRINGIDO"), 0, G497)</f>
        <v/>
      </c>
      <c r="H608" s="189">
        <f>IF(OR($N534="RESTRINGIDO", $N510="RESTRINGIDO"), 0, H497)</f>
        <v/>
      </c>
      <c r="I608" s="189">
        <f>IF(OR($N534="RESTRINGIDO", $N511="RESTRINGIDO"), 0, I497)</f>
        <v/>
      </c>
      <c r="J608" s="189">
        <f>IF(OR($N534="RESTRINGIDO", $N512="RESTRINGIDO"), 0, J497)</f>
        <v/>
      </c>
      <c r="K608" s="189">
        <f>IF(OR($N534="RESTRINGIDO", $N513="RESTRINGIDO"), 0, K497)</f>
        <v/>
      </c>
      <c r="L608" s="189">
        <f>IF(OR($N534="RESTRINGIDO", $N514="RESTRINGIDO"), 0, L497)</f>
        <v/>
      </c>
      <c r="M608" s="189">
        <f>IF(OR($N534="RESTRINGIDO", $N515="RESTRINGIDO"), 0, M497)</f>
        <v/>
      </c>
      <c r="N608" s="189">
        <f>IF(OR($N534="RESTRINGIDO", $N516="RESTRINGIDO"), 0, N497)</f>
        <v/>
      </c>
      <c r="O608" s="189">
        <f>IF(OR($N534="RESTRINGIDO", $N517="RESTRINGIDO"), 0, O497)</f>
        <v/>
      </c>
      <c r="P608" s="189">
        <f>IF(OR($N534="RESTRINGIDO", $N518="RESTRINGIDO"), 0, P497)</f>
        <v/>
      </c>
      <c r="Q608" s="189">
        <f>IF(OR($N534="RESTRINGIDO", $N519="RESTRINGIDO"), 0, Q497)</f>
        <v/>
      </c>
      <c r="R608" s="189">
        <f>IF(OR($N534="RESTRINGIDO", $N520="RESTRINGIDO"), 0, R497)</f>
        <v/>
      </c>
      <c r="S608" s="189">
        <f>IF(OR($N534="RESTRINGIDO", $N521="RESTRINGIDO"), 0, S497)</f>
        <v/>
      </c>
      <c r="T608" s="189">
        <f>IF(OR($N534="RESTRINGIDO", $N522="RESTRINGIDO"), 0, T497)</f>
        <v/>
      </c>
      <c r="U608" s="189">
        <f>IF(OR($N534="RESTRINGIDO", $N523="RESTRINGIDO"), 0, U497)</f>
        <v/>
      </c>
      <c r="V608" s="189">
        <f>IF(OR($N534="RESTRINGIDO", $N524="RESTRINGIDO"), 0, V497)</f>
        <v/>
      </c>
      <c r="W608" s="189">
        <f>IF(OR($N534="RESTRINGIDO", $N525="RESTRINGIDO"), 0, W497)</f>
        <v/>
      </c>
      <c r="X608" s="189">
        <f>IF(OR($N534="RESTRINGIDO", $N526="RESTRINGIDO"), 0, X497)</f>
        <v/>
      </c>
      <c r="Y608" s="189">
        <f>IF(OR($N534="RESTRINGIDO", $N527="RESTRINGIDO"), 0, Y497)</f>
        <v/>
      </c>
      <c r="Z608" s="189">
        <f>IF(OR($N534="RESTRINGIDO", $N528="RESTRINGIDO"), 0, Z497)</f>
        <v/>
      </c>
      <c r="AA608" s="189">
        <f>IF(OR($N534="RESTRINGIDO", $N529="RESTRINGIDO"), 0, AA497)</f>
        <v/>
      </c>
      <c r="AB608" s="189">
        <f>IF(OR($N534="RESTRINGIDO", $N530="RESTRINGIDO"), 0, AB497)</f>
        <v/>
      </c>
      <c r="AC608" s="189">
        <f>IF(OR($N534="RESTRINGIDO", $N531="RESTRINGIDO"), 0, AC497)</f>
        <v/>
      </c>
      <c r="AD608" s="189">
        <f>IF(OR($N534="RESTRINGIDO", $N532="RESTRINGIDO"), 0, AD497)</f>
        <v/>
      </c>
      <c r="AE608" s="189">
        <f>IF(OR($N534="RESTRINGIDO", $N533="RESTRINGIDO"), 0, AE497)</f>
        <v/>
      </c>
      <c r="AF608" s="189">
        <f>IF($N534="RESTRINGIDO", 1, IF(OR($N534="", $C497=""), 1, AF497))</f>
        <v/>
      </c>
      <c r="AG608" s="189">
        <f>IF(OR($N534="RESTRINGIDO", $N535="RESTRINGIDO"), 0, AG497)</f>
        <v/>
      </c>
      <c r="AH608" s="189">
        <f>IF(OR($N534="RESTRINGIDO", $N536="RESTRINGIDO"), 0, AH497)</f>
        <v/>
      </c>
      <c r="AJ608" s="189">
        <f>IF($N534="LIBRE", IF(ISNUMBER(E534), E534, 0), 0)</f>
        <v/>
      </c>
      <c r="AL608" s="188" t="n">
        <v>0</v>
      </c>
      <c r="AN608" s="188" t="n">
        <v>0</v>
      </c>
    </row>
    <row r="609">
      <c r="B609" s="189">
        <f>IF(OR($N535="RESTRINGIDO", $N504="RESTRINGIDO"), 0, B498)</f>
        <v/>
      </c>
      <c r="C609" s="189">
        <f>IF(OR($N535="RESTRINGIDO", $N505="RESTRINGIDO"), 0, C498)</f>
        <v/>
      </c>
      <c r="D609" s="189">
        <f>IF(OR($N535="RESTRINGIDO", $N506="RESTRINGIDO"), 0, D498)</f>
        <v/>
      </c>
      <c r="E609" s="189">
        <f>IF(OR($N535="RESTRINGIDO", $N507="RESTRINGIDO"), 0, E498)</f>
        <v/>
      </c>
      <c r="F609" s="189">
        <f>IF(OR($N535="RESTRINGIDO", $N508="RESTRINGIDO"), 0, F498)</f>
        <v/>
      </c>
      <c r="G609" s="189">
        <f>IF(OR($N535="RESTRINGIDO", $N509="RESTRINGIDO"), 0, G498)</f>
        <v/>
      </c>
      <c r="H609" s="189">
        <f>IF(OR($N535="RESTRINGIDO", $N510="RESTRINGIDO"), 0, H498)</f>
        <v/>
      </c>
      <c r="I609" s="189">
        <f>IF(OR($N535="RESTRINGIDO", $N511="RESTRINGIDO"), 0, I498)</f>
        <v/>
      </c>
      <c r="J609" s="189">
        <f>IF(OR($N535="RESTRINGIDO", $N512="RESTRINGIDO"), 0, J498)</f>
        <v/>
      </c>
      <c r="K609" s="189">
        <f>IF(OR($N535="RESTRINGIDO", $N513="RESTRINGIDO"), 0, K498)</f>
        <v/>
      </c>
      <c r="L609" s="189">
        <f>IF(OR($N535="RESTRINGIDO", $N514="RESTRINGIDO"), 0, L498)</f>
        <v/>
      </c>
      <c r="M609" s="189">
        <f>IF(OR($N535="RESTRINGIDO", $N515="RESTRINGIDO"), 0, M498)</f>
        <v/>
      </c>
      <c r="N609" s="189">
        <f>IF(OR($N535="RESTRINGIDO", $N516="RESTRINGIDO"), 0, N498)</f>
        <v/>
      </c>
      <c r="O609" s="189">
        <f>IF(OR($N535="RESTRINGIDO", $N517="RESTRINGIDO"), 0, O498)</f>
        <v/>
      </c>
      <c r="P609" s="189">
        <f>IF(OR($N535="RESTRINGIDO", $N518="RESTRINGIDO"), 0, P498)</f>
        <v/>
      </c>
      <c r="Q609" s="189">
        <f>IF(OR($N535="RESTRINGIDO", $N519="RESTRINGIDO"), 0, Q498)</f>
        <v/>
      </c>
      <c r="R609" s="189">
        <f>IF(OR($N535="RESTRINGIDO", $N520="RESTRINGIDO"), 0, R498)</f>
        <v/>
      </c>
      <c r="S609" s="189">
        <f>IF(OR($N535="RESTRINGIDO", $N521="RESTRINGIDO"), 0, S498)</f>
        <v/>
      </c>
      <c r="T609" s="189">
        <f>IF(OR($N535="RESTRINGIDO", $N522="RESTRINGIDO"), 0, T498)</f>
        <v/>
      </c>
      <c r="U609" s="189">
        <f>IF(OR($N535="RESTRINGIDO", $N523="RESTRINGIDO"), 0, U498)</f>
        <v/>
      </c>
      <c r="V609" s="189">
        <f>IF(OR($N535="RESTRINGIDO", $N524="RESTRINGIDO"), 0, V498)</f>
        <v/>
      </c>
      <c r="W609" s="189">
        <f>IF(OR($N535="RESTRINGIDO", $N525="RESTRINGIDO"), 0, W498)</f>
        <v/>
      </c>
      <c r="X609" s="189">
        <f>IF(OR($N535="RESTRINGIDO", $N526="RESTRINGIDO"), 0, X498)</f>
        <v/>
      </c>
      <c r="Y609" s="189">
        <f>IF(OR($N535="RESTRINGIDO", $N527="RESTRINGIDO"), 0, Y498)</f>
        <v/>
      </c>
      <c r="Z609" s="189">
        <f>IF(OR($N535="RESTRINGIDO", $N528="RESTRINGIDO"), 0, Z498)</f>
        <v/>
      </c>
      <c r="AA609" s="189">
        <f>IF(OR($N535="RESTRINGIDO", $N529="RESTRINGIDO"), 0, AA498)</f>
        <v/>
      </c>
      <c r="AB609" s="189">
        <f>IF(OR($N535="RESTRINGIDO", $N530="RESTRINGIDO"), 0, AB498)</f>
        <v/>
      </c>
      <c r="AC609" s="189">
        <f>IF(OR($N535="RESTRINGIDO", $N531="RESTRINGIDO"), 0, AC498)</f>
        <v/>
      </c>
      <c r="AD609" s="189">
        <f>IF(OR($N535="RESTRINGIDO", $N532="RESTRINGIDO"), 0, AD498)</f>
        <v/>
      </c>
      <c r="AE609" s="189">
        <f>IF(OR($N535="RESTRINGIDO", $N533="RESTRINGIDO"), 0, AE498)</f>
        <v/>
      </c>
      <c r="AF609" s="189">
        <f>IF(OR($N535="RESTRINGIDO", $N534="RESTRINGIDO"), 0, AF498)</f>
        <v/>
      </c>
      <c r="AG609" s="189">
        <f>IF($N535="RESTRINGIDO", 1, IF(OR($N535="", $C498=""), 1, AG498))</f>
        <v/>
      </c>
      <c r="AH609" s="189">
        <f>IF(OR($N535="RESTRINGIDO", $N536="RESTRINGIDO"), 0, AH498)</f>
        <v/>
      </c>
      <c r="AJ609" s="189">
        <f>IF($N535="LIBRE", IF(ISNUMBER(E535), E535, 0), 0)</f>
        <v/>
      </c>
      <c r="AL609" s="188" t="n">
        <v>0</v>
      </c>
      <c r="AN609" s="188" t="n">
        <v>0</v>
      </c>
    </row>
    <row r="610">
      <c r="B610" s="189">
        <f>IF(OR($N536="RESTRINGIDO", $N504="RESTRINGIDO"), 0, B499)</f>
        <v/>
      </c>
      <c r="C610" s="189">
        <f>IF(OR($N536="RESTRINGIDO", $N505="RESTRINGIDO"), 0, C499)</f>
        <v/>
      </c>
      <c r="D610" s="189">
        <f>IF(OR($N536="RESTRINGIDO", $N506="RESTRINGIDO"), 0, D499)</f>
        <v/>
      </c>
      <c r="E610" s="189">
        <f>IF(OR($N536="RESTRINGIDO", $N507="RESTRINGIDO"), 0, E499)</f>
        <v/>
      </c>
      <c r="F610" s="189">
        <f>IF(OR($N536="RESTRINGIDO", $N508="RESTRINGIDO"), 0, F499)</f>
        <v/>
      </c>
      <c r="G610" s="189">
        <f>IF(OR($N536="RESTRINGIDO", $N509="RESTRINGIDO"), 0, G499)</f>
        <v/>
      </c>
      <c r="H610" s="189">
        <f>IF(OR($N536="RESTRINGIDO", $N510="RESTRINGIDO"), 0, H499)</f>
        <v/>
      </c>
      <c r="I610" s="189">
        <f>IF(OR($N536="RESTRINGIDO", $N511="RESTRINGIDO"), 0, I499)</f>
        <v/>
      </c>
      <c r="J610" s="189">
        <f>IF(OR($N536="RESTRINGIDO", $N512="RESTRINGIDO"), 0, J499)</f>
        <v/>
      </c>
      <c r="K610" s="189">
        <f>IF(OR($N536="RESTRINGIDO", $N513="RESTRINGIDO"), 0, K499)</f>
        <v/>
      </c>
      <c r="L610" s="189">
        <f>IF(OR($N536="RESTRINGIDO", $N514="RESTRINGIDO"), 0, L499)</f>
        <v/>
      </c>
      <c r="M610" s="189">
        <f>IF(OR($N536="RESTRINGIDO", $N515="RESTRINGIDO"), 0, M499)</f>
        <v/>
      </c>
      <c r="N610" s="189">
        <f>IF(OR($N536="RESTRINGIDO", $N516="RESTRINGIDO"), 0, N499)</f>
        <v/>
      </c>
      <c r="O610" s="189">
        <f>IF(OR($N536="RESTRINGIDO", $N517="RESTRINGIDO"), 0, O499)</f>
        <v/>
      </c>
      <c r="P610" s="189">
        <f>IF(OR($N536="RESTRINGIDO", $N518="RESTRINGIDO"), 0, P499)</f>
        <v/>
      </c>
      <c r="Q610" s="189">
        <f>IF(OR($N536="RESTRINGIDO", $N519="RESTRINGIDO"), 0, Q499)</f>
        <v/>
      </c>
      <c r="R610" s="189">
        <f>IF(OR($N536="RESTRINGIDO", $N520="RESTRINGIDO"), 0, R499)</f>
        <v/>
      </c>
      <c r="S610" s="189">
        <f>IF(OR($N536="RESTRINGIDO", $N521="RESTRINGIDO"), 0, S499)</f>
        <v/>
      </c>
      <c r="T610" s="189">
        <f>IF(OR($N536="RESTRINGIDO", $N522="RESTRINGIDO"), 0, T499)</f>
        <v/>
      </c>
      <c r="U610" s="189">
        <f>IF(OR($N536="RESTRINGIDO", $N523="RESTRINGIDO"), 0, U499)</f>
        <v/>
      </c>
      <c r="V610" s="189">
        <f>IF(OR($N536="RESTRINGIDO", $N524="RESTRINGIDO"), 0, V499)</f>
        <v/>
      </c>
      <c r="W610" s="189">
        <f>IF(OR($N536="RESTRINGIDO", $N525="RESTRINGIDO"), 0, W499)</f>
        <v/>
      </c>
      <c r="X610" s="189">
        <f>IF(OR($N536="RESTRINGIDO", $N526="RESTRINGIDO"), 0, X499)</f>
        <v/>
      </c>
      <c r="Y610" s="189">
        <f>IF(OR($N536="RESTRINGIDO", $N527="RESTRINGIDO"), 0, Y499)</f>
        <v/>
      </c>
      <c r="Z610" s="189">
        <f>IF(OR($N536="RESTRINGIDO", $N528="RESTRINGIDO"), 0, Z499)</f>
        <v/>
      </c>
      <c r="AA610" s="189">
        <f>IF(OR($N536="RESTRINGIDO", $N529="RESTRINGIDO"), 0, AA499)</f>
        <v/>
      </c>
      <c r="AB610" s="189">
        <f>IF(OR($N536="RESTRINGIDO", $N530="RESTRINGIDO"), 0, AB499)</f>
        <v/>
      </c>
      <c r="AC610" s="189">
        <f>IF(OR($N536="RESTRINGIDO", $N531="RESTRINGIDO"), 0, AC499)</f>
        <v/>
      </c>
      <c r="AD610" s="189">
        <f>IF(OR($N536="RESTRINGIDO", $N532="RESTRINGIDO"), 0, AD499)</f>
        <v/>
      </c>
      <c r="AE610" s="189">
        <f>IF(OR($N536="RESTRINGIDO", $N533="RESTRINGIDO"), 0, AE499)</f>
        <v/>
      </c>
      <c r="AF610" s="189">
        <f>IF(OR($N536="RESTRINGIDO", $N534="RESTRINGIDO"), 0, AF499)</f>
        <v/>
      </c>
      <c r="AG610" s="189">
        <f>IF(OR($N536="RESTRINGIDO", $N535="RESTRINGIDO"), 0, AG499)</f>
        <v/>
      </c>
      <c r="AH610" s="189">
        <f>IF($N536="RESTRINGIDO", 1, IF(OR($N536="", $C499=""), 1, AH499))</f>
        <v/>
      </c>
      <c r="AJ610" s="189">
        <f>IF($N536="LIBRE", IF(ISNUMBER(E536), E536, 0), 0)</f>
        <v/>
      </c>
      <c r="AL610" s="188" t="n">
        <v>0</v>
      </c>
      <c r="AN610" s="188" t="n">
        <v>0</v>
      </c>
    </row>
    <row r="615">
      <c r="B615" s="53" t="inlineStr">
        <is>
          <t>RESUMEN DE DESPLAZAMIENTOS</t>
        </is>
      </c>
      <c r="C615" s="190" t="n"/>
      <c r="D615" s="190" t="n"/>
      <c r="E615" s="190" t="n"/>
      <c r="F615" s="190" t="n"/>
      <c r="G615" s="191" t="n"/>
    </row>
    <row r="616" ht="26.4" customHeight="1" s="183">
      <c r="B616" s="58" t="inlineStr">
        <is>
          <t>Símbolo</t>
        </is>
      </c>
      <c r="C616" s="58" t="inlineStr">
        <is>
          <t>G.D.L.</t>
        </is>
      </c>
      <c r="D616" s="58" t="inlineStr">
        <is>
          <t>=</t>
        </is>
      </c>
      <c r="E616" s="58" t="inlineStr">
        <is>
          <t>Valor Calculado</t>
        </is>
      </c>
      <c r="F616" s="58" t="inlineStr">
        <is>
          <t>G.D.L.</t>
        </is>
      </c>
      <c r="G616" s="58" t="inlineStr">
        <is>
          <t>Unidad</t>
        </is>
      </c>
    </row>
    <row r="617">
      <c r="B617" s="11" t="inlineStr">
        <is>
          <t>D1X</t>
        </is>
      </c>
      <c r="C617" s="12" t="inlineStr">
        <is>
          <t>U1X</t>
        </is>
      </c>
      <c r="D617" s="187" t="inlineStr">
        <is>
          <t>=</t>
        </is>
      </c>
      <c r="E617" s="16">
        <f>IF(OR($G$4=0, 1&gt;$G$4), 0, IF(N504="RESTRINGIDO", 0, AL578))</f>
        <v/>
      </c>
      <c r="F617" s="12" t="inlineStr">
        <is>
          <t>U1X</t>
        </is>
      </c>
      <c r="G617" s="187" t="inlineStr">
        <is>
          <t>cm</t>
        </is>
      </c>
    </row>
    <row r="618">
      <c r="B618" s="11" t="inlineStr">
        <is>
          <t>D1Y</t>
        </is>
      </c>
      <c r="C618" s="12" t="inlineStr">
        <is>
          <t>U1Y</t>
        </is>
      </c>
      <c r="D618" s="187" t="inlineStr">
        <is>
          <t>=</t>
        </is>
      </c>
      <c r="E618" s="16">
        <f>IF(OR($G$4=0, 1&gt;$G$4), 0, IF(N505="RESTRINGIDO", 0, AL579))</f>
        <v/>
      </c>
      <c r="F618" s="12" t="inlineStr">
        <is>
          <t>U1Y</t>
        </is>
      </c>
      <c r="G618" s="187" t="inlineStr">
        <is>
          <t>cm</t>
        </is>
      </c>
    </row>
    <row r="619">
      <c r="B619" s="11" t="inlineStr">
        <is>
          <t>D1θ</t>
        </is>
      </c>
      <c r="C619" s="12" t="inlineStr">
        <is>
          <t>U1θ</t>
        </is>
      </c>
      <c r="D619" s="187" t="inlineStr">
        <is>
          <t>=</t>
        </is>
      </c>
      <c r="E619" s="16">
        <f>IF(OR($G$4=0, 1&gt;$G$4), 0, IF(N506="RESTRINGIDO", 0, AL580))</f>
        <v/>
      </c>
      <c r="F619" s="12" t="inlineStr">
        <is>
          <t>U1θ</t>
        </is>
      </c>
      <c r="G619" s="187" t="inlineStr">
        <is>
          <t>rad</t>
        </is>
      </c>
    </row>
    <row r="620">
      <c r="B620" s="11" t="inlineStr">
        <is>
          <t>D2X</t>
        </is>
      </c>
      <c r="C620" s="12" t="inlineStr">
        <is>
          <t>U2X</t>
        </is>
      </c>
      <c r="D620" s="187" t="inlineStr">
        <is>
          <t>=</t>
        </is>
      </c>
      <c r="E620" s="16">
        <f>IF(OR($G$4=0, 2&gt;$G$4), 0, IF(N507="RESTRINGIDO", 0, AL581))</f>
        <v/>
      </c>
      <c r="F620" s="12" t="inlineStr">
        <is>
          <t>U2X</t>
        </is>
      </c>
      <c r="G620" s="187" t="inlineStr">
        <is>
          <t>cm</t>
        </is>
      </c>
    </row>
    <row r="621">
      <c r="B621" s="11" t="inlineStr">
        <is>
          <t>D2Y</t>
        </is>
      </c>
      <c r="C621" s="12" t="inlineStr">
        <is>
          <t>U2Y</t>
        </is>
      </c>
      <c r="D621" s="187" t="inlineStr">
        <is>
          <t>=</t>
        </is>
      </c>
      <c r="E621" s="16">
        <f>IF(OR($G$4=0, 2&gt;$G$4), 0, IF(N508="RESTRINGIDO", 0, AL582))</f>
        <v/>
      </c>
      <c r="F621" s="12" t="inlineStr">
        <is>
          <t>U2Y</t>
        </is>
      </c>
      <c r="G621" s="187" t="inlineStr">
        <is>
          <t>cm</t>
        </is>
      </c>
    </row>
    <row r="622">
      <c r="B622" s="11" t="inlineStr">
        <is>
          <t>D2θ</t>
        </is>
      </c>
      <c r="C622" s="12" t="inlineStr">
        <is>
          <t>U2θ</t>
        </is>
      </c>
      <c r="D622" s="187" t="inlineStr">
        <is>
          <t>=</t>
        </is>
      </c>
      <c r="E622" s="16">
        <f>IF(OR($G$4=0, 2&gt;$G$4), 0, IF(N509="RESTRINGIDO", 0, AL583))</f>
        <v/>
      </c>
      <c r="F622" s="12" t="inlineStr">
        <is>
          <t>U2θ</t>
        </is>
      </c>
      <c r="G622" s="187" t="inlineStr">
        <is>
          <t>rad</t>
        </is>
      </c>
    </row>
    <row r="623">
      <c r="B623" s="11" t="inlineStr">
        <is>
          <t>D3X</t>
        </is>
      </c>
      <c r="C623" s="12" t="inlineStr">
        <is>
          <t>U3X</t>
        </is>
      </c>
      <c r="D623" s="187" t="inlineStr">
        <is>
          <t>=</t>
        </is>
      </c>
      <c r="E623" s="16">
        <f>IF(OR($G$4=0, 3&gt;$G$4), 0, IF(N510="RESTRINGIDO", 0, AL584))</f>
        <v/>
      </c>
      <c r="F623" s="12" t="inlineStr">
        <is>
          <t>U3X</t>
        </is>
      </c>
      <c r="G623" s="187" t="inlineStr">
        <is>
          <t>cm</t>
        </is>
      </c>
    </row>
    <row r="624">
      <c r="B624" s="11" t="inlineStr">
        <is>
          <t>D3Y</t>
        </is>
      </c>
      <c r="C624" s="12" t="inlineStr">
        <is>
          <t>U3Y</t>
        </is>
      </c>
      <c r="D624" s="187" t="inlineStr">
        <is>
          <t>=</t>
        </is>
      </c>
      <c r="E624" s="16">
        <f>IF(OR($G$4=0, 3&gt;$G$4), 0, IF(N511="RESTRINGIDO", 0, AL585))</f>
        <v/>
      </c>
      <c r="F624" s="12" t="inlineStr">
        <is>
          <t>U3Y</t>
        </is>
      </c>
      <c r="G624" s="187" t="inlineStr">
        <is>
          <t>cm</t>
        </is>
      </c>
    </row>
    <row r="625">
      <c r="B625" s="11" t="inlineStr">
        <is>
          <t>D3θ</t>
        </is>
      </c>
      <c r="C625" s="12" t="inlineStr">
        <is>
          <t>U3θ</t>
        </is>
      </c>
      <c r="D625" s="187" t="inlineStr">
        <is>
          <t>=</t>
        </is>
      </c>
      <c r="E625" s="16">
        <f>IF(OR($G$4=0, 3&gt;$G$4), 0, IF(N512="RESTRINGIDO", 0, AL586))</f>
        <v/>
      </c>
      <c r="F625" s="12" t="inlineStr">
        <is>
          <t>U3θ</t>
        </is>
      </c>
      <c r="G625" s="187" t="inlineStr">
        <is>
          <t>rad</t>
        </is>
      </c>
    </row>
    <row r="626">
      <c r="B626" s="11" t="inlineStr">
        <is>
          <t>D4X</t>
        </is>
      </c>
      <c r="C626" s="12" t="inlineStr">
        <is>
          <t>U4X</t>
        </is>
      </c>
      <c r="D626" s="187" t="inlineStr">
        <is>
          <t>=</t>
        </is>
      </c>
      <c r="E626" s="16">
        <f>IF(OR($G$4=0, 4&gt;$G$4), 0, IF(N513="RESTRINGIDO", 0, AL587))</f>
        <v/>
      </c>
      <c r="F626" s="12" t="inlineStr">
        <is>
          <t>U4X</t>
        </is>
      </c>
      <c r="G626" s="187" t="inlineStr">
        <is>
          <t>cm</t>
        </is>
      </c>
    </row>
    <row r="627">
      <c r="B627" s="11" t="inlineStr">
        <is>
          <t>D4Y</t>
        </is>
      </c>
      <c r="C627" s="12" t="inlineStr">
        <is>
          <t>U4Y</t>
        </is>
      </c>
      <c r="D627" s="187" t="inlineStr">
        <is>
          <t>=</t>
        </is>
      </c>
      <c r="E627" s="16">
        <f>IF(OR($G$4=0, 4&gt;$G$4), 0, IF(N514="RESTRINGIDO", 0, AL588))</f>
        <v/>
      </c>
      <c r="F627" s="12" t="inlineStr">
        <is>
          <t>U4Y</t>
        </is>
      </c>
      <c r="G627" s="187" t="inlineStr">
        <is>
          <t>cm</t>
        </is>
      </c>
    </row>
    <row r="628">
      <c r="B628" s="11" t="inlineStr">
        <is>
          <t>D4θ</t>
        </is>
      </c>
      <c r="C628" s="12" t="inlineStr">
        <is>
          <t>U4θ</t>
        </is>
      </c>
      <c r="D628" s="187" t="inlineStr">
        <is>
          <t>=</t>
        </is>
      </c>
      <c r="E628" s="16">
        <f>IF(OR($G$4=0, 4&gt;$G$4), 0, IF(N515="RESTRINGIDO", 0, AL589))</f>
        <v/>
      </c>
      <c r="F628" s="12" t="inlineStr">
        <is>
          <t>U4θ</t>
        </is>
      </c>
      <c r="G628" s="187" t="inlineStr">
        <is>
          <t>rad</t>
        </is>
      </c>
    </row>
    <row r="629">
      <c r="B629" s="11" t="inlineStr">
        <is>
          <t>D5X</t>
        </is>
      </c>
      <c r="C629" s="12" t="inlineStr">
        <is>
          <t>U5X</t>
        </is>
      </c>
      <c r="D629" s="187" t="inlineStr">
        <is>
          <t>=</t>
        </is>
      </c>
      <c r="E629" s="16">
        <f>IF(OR($G$4=0, 5&gt;$G$4), 0, IF(N516="RESTRINGIDO", 0, AL590))</f>
        <v/>
      </c>
      <c r="F629" s="12" t="inlineStr">
        <is>
          <t>U5X</t>
        </is>
      </c>
      <c r="G629" s="187" t="inlineStr">
        <is>
          <t>cm</t>
        </is>
      </c>
    </row>
    <row r="630">
      <c r="B630" s="11" t="inlineStr">
        <is>
          <t>D5Y</t>
        </is>
      </c>
      <c r="C630" s="12" t="inlineStr">
        <is>
          <t>U5Y</t>
        </is>
      </c>
      <c r="D630" s="187" t="inlineStr">
        <is>
          <t>=</t>
        </is>
      </c>
      <c r="E630" s="16">
        <f>IF(OR($G$4=0, 5&gt;$G$4), 0, IF(N517="RESTRINGIDO", 0, AL591))</f>
        <v/>
      </c>
      <c r="F630" s="12" t="inlineStr">
        <is>
          <t>U5Y</t>
        </is>
      </c>
      <c r="G630" s="187" t="inlineStr">
        <is>
          <t>cm</t>
        </is>
      </c>
    </row>
    <row r="631">
      <c r="B631" s="11" t="inlineStr">
        <is>
          <t>D5θ</t>
        </is>
      </c>
      <c r="C631" s="12" t="inlineStr">
        <is>
          <t>U5θ</t>
        </is>
      </c>
      <c r="D631" s="187" t="inlineStr">
        <is>
          <t>=</t>
        </is>
      </c>
      <c r="E631" s="16">
        <f>IF(OR($G$4=0, 5&gt;$G$4), 0, IF(N518="RESTRINGIDO", 0, AL592))</f>
        <v/>
      </c>
      <c r="F631" s="12" t="inlineStr">
        <is>
          <t>U5θ</t>
        </is>
      </c>
      <c r="G631" s="187" t="inlineStr">
        <is>
          <t>rad</t>
        </is>
      </c>
    </row>
    <row r="632">
      <c r="B632" s="11" t="inlineStr">
        <is>
          <t>D6X</t>
        </is>
      </c>
      <c r="C632" s="12" t="inlineStr">
        <is>
          <t>U6X</t>
        </is>
      </c>
      <c r="D632" s="187" t="inlineStr">
        <is>
          <t>=</t>
        </is>
      </c>
      <c r="E632" s="16">
        <f>IF(OR($G$4=0, 6&gt;$G$4), 0, IF(N519="RESTRINGIDO", 0, AL593))</f>
        <v/>
      </c>
      <c r="F632" s="12" t="inlineStr">
        <is>
          <t>U6X</t>
        </is>
      </c>
      <c r="G632" s="187" t="inlineStr">
        <is>
          <t>cm</t>
        </is>
      </c>
    </row>
    <row r="633">
      <c r="B633" s="11" t="inlineStr">
        <is>
          <t>D6Y</t>
        </is>
      </c>
      <c r="C633" s="12" t="inlineStr">
        <is>
          <t>U6Y</t>
        </is>
      </c>
      <c r="D633" s="187" t="inlineStr">
        <is>
          <t>=</t>
        </is>
      </c>
      <c r="E633" s="16">
        <f>IF(OR($G$4=0, 6&gt;$G$4), 0, IF(N520="RESTRINGIDO", 0, AL594))</f>
        <v/>
      </c>
      <c r="F633" s="12" t="inlineStr">
        <is>
          <t>U6Y</t>
        </is>
      </c>
      <c r="G633" s="187" t="inlineStr">
        <is>
          <t>cm</t>
        </is>
      </c>
    </row>
    <row r="634">
      <c r="B634" s="11" t="inlineStr">
        <is>
          <t>D6θ</t>
        </is>
      </c>
      <c r="C634" s="12" t="inlineStr">
        <is>
          <t>U6θ</t>
        </is>
      </c>
      <c r="D634" s="187" t="inlineStr">
        <is>
          <t>=</t>
        </is>
      </c>
      <c r="E634" s="16">
        <f>IF(OR($G$4=0, 6&gt;$G$4), 0, IF(N521="RESTRINGIDO", 0, AL595))</f>
        <v/>
      </c>
      <c r="F634" s="12" t="inlineStr">
        <is>
          <t>U6θ</t>
        </is>
      </c>
      <c r="G634" s="187" t="inlineStr">
        <is>
          <t>rad</t>
        </is>
      </c>
    </row>
    <row r="635">
      <c r="B635" s="11" t="inlineStr">
        <is>
          <t>D7X</t>
        </is>
      </c>
      <c r="C635" s="12" t="inlineStr">
        <is>
          <t>U7X</t>
        </is>
      </c>
      <c r="D635" s="187" t="inlineStr">
        <is>
          <t>=</t>
        </is>
      </c>
      <c r="E635" s="16">
        <f>IF(OR($G$4=0, 7&gt;$G$4), 0, IF(N522="RESTRINGIDO", 0, AL596))</f>
        <v/>
      </c>
      <c r="F635" s="12" t="inlineStr">
        <is>
          <t>U7X</t>
        </is>
      </c>
      <c r="G635" s="187" t="inlineStr">
        <is>
          <t>cm</t>
        </is>
      </c>
    </row>
    <row r="636">
      <c r="B636" s="11" t="inlineStr">
        <is>
          <t>D7Y</t>
        </is>
      </c>
      <c r="C636" s="12" t="inlineStr">
        <is>
          <t>U7Y</t>
        </is>
      </c>
      <c r="D636" s="187" t="inlineStr">
        <is>
          <t>=</t>
        </is>
      </c>
      <c r="E636" s="16">
        <f>IF(OR($G$4=0, 7&gt;$G$4), 0, IF(N523="RESTRINGIDO", 0, AL597))</f>
        <v/>
      </c>
      <c r="F636" s="12" t="inlineStr">
        <is>
          <t>U7Y</t>
        </is>
      </c>
      <c r="G636" s="187" t="inlineStr">
        <is>
          <t>cm</t>
        </is>
      </c>
    </row>
    <row r="637">
      <c r="B637" s="11" t="inlineStr">
        <is>
          <t>D7θ</t>
        </is>
      </c>
      <c r="C637" s="12" t="inlineStr">
        <is>
          <t>U7θ</t>
        </is>
      </c>
      <c r="D637" s="187" t="inlineStr">
        <is>
          <t>=</t>
        </is>
      </c>
      <c r="E637" s="16">
        <f>IF(OR($G$4=0, 7&gt;$G$4), 0, IF(N524="RESTRINGIDO", 0, AL598))</f>
        <v/>
      </c>
      <c r="F637" s="12" t="inlineStr">
        <is>
          <t>U7θ</t>
        </is>
      </c>
      <c r="G637" s="187" t="inlineStr">
        <is>
          <t>rad</t>
        </is>
      </c>
    </row>
    <row r="638">
      <c r="B638" s="11" t="inlineStr">
        <is>
          <t>D8X</t>
        </is>
      </c>
      <c r="C638" s="12" t="inlineStr">
        <is>
          <t>U8X</t>
        </is>
      </c>
      <c r="D638" s="187" t="inlineStr">
        <is>
          <t>=</t>
        </is>
      </c>
      <c r="E638" s="16">
        <f>IF(OR($G$4=0, 8&gt;$G$4), 0, IF(N525="RESTRINGIDO", 0, AL599))</f>
        <v/>
      </c>
      <c r="F638" s="12" t="inlineStr">
        <is>
          <t>U8X</t>
        </is>
      </c>
      <c r="G638" s="187" t="inlineStr">
        <is>
          <t>cm</t>
        </is>
      </c>
    </row>
    <row r="639">
      <c r="B639" s="11" t="inlineStr">
        <is>
          <t>D8Y</t>
        </is>
      </c>
      <c r="C639" s="12" t="inlineStr">
        <is>
          <t>U8Y</t>
        </is>
      </c>
      <c r="D639" s="187" t="inlineStr">
        <is>
          <t>=</t>
        </is>
      </c>
      <c r="E639" s="16">
        <f>IF(OR($G$4=0, 8&gt;$G$4), 0, IF(N526="RESTRINGIDO", 0, AL600))</f>
        <v/>
      </c>
      <c r="F639" s="12" t="inlineStr">
        <is>
          <t>U8Y</t>
        </is>
      </c>
      <c r="G639" s="187" t="inlineStr">
        <is>
          <t>cm</t>
        </is>
      </c>
    </row>
    <row r="640">
      <c r="B640" s="11" t="inlineStr">
        <is>
          <t>D8θ</t>
        </is>
      </c>
      <c r="C640" s="12" t="inlineStr">
        <is>
          <t>U8θ</t>
        </is>
      </c>
      <c r="D640" s="187" t="inlineStr">
        <is>
          <t>=</t>
        </is>
      </c>
      <c r="E640" s="16">
        <f>IF(OR($G$4=0, 8&gt;$G$4), 0, IF(N527="RESTRINGIDO", 0, AL601))</f>
        <v/>
      </c>
      <c r="F640" s="12" t="inlineStr">
        <is>
          <t>U8θ</t>
        </is>
      </c>
      <c r="G640" s="187" t="inlineStr">
        <is>
          <t>rad</t>
        </is>
      </c>
    </row>
    <row r="641">
      <c r="B641" s="11" t="inlineStr">
        <is>
          <t>D9X</t>
        </is>
      </c>
      <c r="C641" s="12" t="inlineStr">
        <is>
          <t>U9X</t>
        </is>
      </c>
      <c r="D641" s="187" t="inlineStr">
        <is>
          <t>=</t>
        </is>
      </c>
      <c r="E641" s="16">
        <f>IF(OR($G$4=0, 9&gt;$G$4), 0, IF(N528="RESTRINGIDO", 0, AL602))</f>
        <v/>
      </c>
      <c r="F641" s="12" t="inlineStr">
        <is>
          <t>U9X</t>
        </is>
      </c>
      <c r="G641" s="187" t="inlineStr">
        <is>
          <t>cm</t>
        </is>
      </c>
    </row>
    <row r="642">
      <c r="B642" s="11" t="inlineStr">
        <is>
          <t>D9Y</t>
        </is>
      </c>
      <c r="C642" s="12" t="inlineStr">
        <is>
          <t>U9Y</t>
        </is>
      </c>
      <c r="D642" s="187" t="inlineStr">
        <is>
          <t>=</t>
        </is>
      </c>
      <c r="E642" s="16">
        <f>IF(OR($G$4=0, 9&gt;$G$4), 0, IF(N529="RESTRINGIDO", 0, AL603))</f>
        <v/>
      </c>
      <c r="F642" s="12" t="inlineStr">
        <is>
          <t>U9Y</t>
        </is>
      </c>
      <c r="G642" s="187" t="inlineStr">
        <is>
          <t>cm</t>
        </is>
      </c>
    </row>
    <row r="643">
      <c r="B643" s="11" t="inlineStr">
        <is>
          <t>D9θ</t>
        </is>
      </c>
      <c r="C643" s="12" t="inlineStr">
        <is>
          <t>U9θ</t>
        </is>
      </c>
      <c r="D643" s="187" t="inlineStr">
        <is>
          <t>=</t>
        </is>
      </c>
      <c r="E643" s="16">
        <f>IF(OR($G$4=0, 9&gt;$G$4), 0, IF(N530="RESTRINGIDO", 0, AL604))</f>
        <v/>
      </c>
      <c r="F643" s="12" t="inlineStr">
        <is>
          <t>U9θ</t>
        </is>
      </c>
      <c r="G643" s="187" t="inlineStr">
        <is>
          <t>rad</t>
        </is>
      </c>
    </row>
    <row r="644">
      <c r="B644" s="11" t="inlineStr">
        <is>
          <t>D10X</t>
        </is>
      </c>
      <c r="C644" s="12" t="inlineStr">
        <is>
          <t>U10X</t>
        </is>
      </c>
      <c r="D644" s="187" t="inlineStr">
        <is>
          <t>=</t>
        </is>
      </c>
      <c r="E644" s="16">
        <f>IF(OR($G$4=0, 10&gt;$G$4), 0, IF(N531="RESTRINGIDO", 0, AL605))</f>
        <v/>
      </c>
      <c r="F644" s="12" t="inlineStr">
        <is>
          <t>U10X</t>
        </is>
      </c>
      <c r="G644" s="187" t="inlineStr">
        <is>
          <t>cm</t>
        </is>
      </c>
    </row>
    <row r="645">
      <c r="B645" s="11" t="inlineStr">
        <is>
          <t>D10Y</t>
        </is>
      </c>
      <c r="C645" s="12" t="inlineStr">
        <is>
          <t>U10Y</t>
        </is>
      </c>
      <c r="D645" s="187" t="inlineStr">
        <is>
          <t>=</t>
        </is>
      </c>
      <c r="E645" s="16">
        <f>IF(OR($G$4=0, 10&gt;$G$4), 0, IF(N532="RESTRINGIDO", 0, AL606))</f>
        <v/>
      </c>
      <c r="F645" s="12" t="inlineStr">
        <is>
          <t>U10Y</t>
        </is>
      </c>
      <c r="G645" s="187" t="inlineStr">
        <is>
          <t>cm</t>
        </is>
      </c>
    </row>
    <row r="646">
      <c r="B646" s="11" t="inlineStr">
        <is>
          <t>D10θ</t>
        </is>
      </c>
      <c r="C646" s="12" t="inlineStr">
        <is>
          <t>U10θ</t>
        </is>
      </c>
      <c r="D646" s="187" t="inlineStr">
        <is>
          <t>=</t>
        </is>
      </c>
      <c r="E646" s="16">
        <f>IF(OR($G$4=0, 10&gt;$G$4), 0, IF(N533="RESTRINGIDO", 0, AL607))</f>
        <v/>
      </c>
      <c r="F646" s="12" t="inlineStr">
        <is>
          <t>U10θ</t>
        </is>
      </c>
      <c r="G646" s="187" t="inlineStr">
        <is>
          <t>rad</t>
        </is>
      </c>
    </row>
    <row r="647">
      <c r="B647" s="11" t="inlineStr">
        <is>
          <t>D11X</t>
        </is>
      </c>
      <c r="C647" s="12" t="inlineStr">
        <is>
          <t>U11X</t>
        </is>
      </c>
      <c r="D647" s="187" t="inlineStr">
        <is>
          <t>=</t>
        </is>
      </c>
      <c r="E647" s="16">
        <f>IF(OR($G$4=0, 11&gt;$G$4), 0, IF(N534="RESTRINGIDO", 0, AL608))</f>
        <v/>
      </c>
      <c r="F647" s="12" t="inlineStr">
        <is>
          <t>U11X</t>
        </is>
      </c>
      <c r="G647" s="187" t="inlineStr">
        <is>
          <t>cm</t>
        </is>
      </c>
    </row>
    <row r="648">
      <c r="B648" s="11" t="inlineStr">
        <is>
          <t>D11Y</t>
        </is>
      </c>
      <c r="C648" s="12" t="inlineStr">
        <is>
          <t>U11Y</t>
        </is>
      </c>
      <c r="D648" s="187" t="inlineStr">
        <is>
          <t>=</t>
        </is>
      </c>
      <c r="E648" s="16">
        <f>IF(OR($G$4=0, 11&gt;$G$4), 0, IF(N535="RESTRINGIDO", 0, AL609))</f>
        <v/>
      </c>
      <c r="F648" s="12" t="inlineStr">
        <is>
          <t>U11Y</t>
        </is>
      </c>
      <c r="G648" s="187" t="inlineStr">
        <is>
          <t>cm</t>
        </is>
      </c>
    </row>
    <row r="649">
      <c r="B649" s="11" t="inlineStr">
        <is>
          <t>D11θ</t>
        </is>
      </c>
      <c r="C649" s="12" t="inlineStr">
        <is>
          <t>U11θ</t>
        </is>
      </c>
      <c r="D649" s="187" t="inlineStr">
        <is>
          <t>=</t>
        </is>
      </c>
      <c r="E649" s="16">
        <f>IF(OR($G$4=0, 11&gt;$G$4), 0, IF(N536="RESTRINGIDO", 0, AL610))</f>
        <v/>
      </c>
      <c r="F649" s="12" t="inlineStr">
        <is>
          <t>U11θ</t>
        </is>
      </c>
      <c r="G649" s="187" t="inlineStr">
        <is>
          <t>rad</t>
        </is>
      </c>
    </row>
    <row r="653">
      <c r="B653" s="53" t="inlineStr">
        <is>
          <t>RESUMEN DE REACCIONES EN LOS APOYOS</t>
        </is>
      </c>
      <c r="C653" s="190" t="n"/>
      <c r="D653" s="190" t="n"/>
      <c r="E653" s="190" t="n"/>
      <c r="F653" s="190" t="n"/>
      <c r="G653" s="190" t="n"/>
      <c r="H653" s="191" t="n"/>
    </row>
    <row r="654" ht="26.4" customHeight="1" s="183">
      <c r="B654" s="58" t="inlineStr">
        <is>
          <t>Símbolo</t>
        </is>
      </c>
      <c r="C654" s="58" t="inlineStr">
        <is>
          <t>G.D.L.</t>
        </is>
      </c>
      <c r="D654" s="58" t="inlineStr">
        <is>
          <t>=</t>
        </is>
      </c>
      <c r="E654" s="58" t="inlineStr">
        <is>
          <t>Valor Reacción</t>
        </is>
      </c>
      <c r="F654" s="58" t="inlineStr">
        <is>
          <t>G.D.L.</t>
        </is>
      </c>
      <c r="G654" s="58" t="inlineStr">
        <is>
          <t>Unidad</t>
        </is>
      </c>
      <c r="H654" s="58" t="inlineStr">
        <is>
          <t>Condición</t>
        </is>
      </c>
    </row>
    <row r="655" ht="26.4" customHeight="1" s="183">
      <c r="B655" s="11" t="inlineStr">
        <is>
          <t>R1X</t>
        </is>
      </c>
      <c r="C655" s="12" t="inlineStr">
        <is>
          <t>U1X</t>
        </is>
      </c>
      <c r="D655" s="187" t="inlineStr">
        <is>
          <t>=</t>
        </is>
      </c>
      <c r="E655" s="13">
        <f>IF(OR($G$4=0, 1&gt;$G$4), 0, IF(N504="RESTRINGIDO", AN578, 0))</f>
        <v/>
      </c>
      <c r="F655" s="12" t="inlineStr">
        <is>
          <t>U1X</t>
        </is>
      </c>
      <c r="G655" s="187" t="inlineStr">
        <is>
          <t>Kgf</t>
        </is>
      </c>
      <c r="H655" s="187">
        <f>N504</f>
        <v/>
      </c>
    </row>
    <row r="656" ht="26.4" customHeight="1" s="183">
      <c r="B656" s="11" t="inlineStr">
        <is>
          <t>R1Y</t>
        </is>
      </c>
      <c r="C656" s="12" t="inlineStr">
        <is>
          <t>U1Y</t>
        </is>
      </c>
      <c r="D656" s="187" t="inlineStr">
        <is>
          <t>=</t>
        </is>
      </c>
      <c r="E656" s="13">
        <f>IF(OR($G$4=0, 1&gt;$G$4), 0, IF(N505="RESTRINGIDO", AN579, 0))</f>
        <v/>
      </c>
      <c r="F656" s="12" t="inlineStr">
        <is>
          <t>U1Y</t>
        </is>
      </c>
      <c r="G656" s="187" t="inlineStr">
        <is>
          <t>Kgf</t>
        </is>
      </c>
      <c r="H656" s="187">
        <f>N505</f>
        <v/>
      </c>
    </row>
    <row r="657">
      <c r="B657" s="11" t="inlineStr">
        <is>
          <t>R1θ</t>
        </is>
      </c>
      <c r="C657" s="12" t="inlineStr">
        <is>
          <t>U1θ</t>
        </is>
      </c>
      <c r="D657" s="187" t="inlineStr">
        <is>
          <t>=</t>
        </is>
      </c>
      <c r="E657" s="13">
        <f>IF(OR($G$4=0, 1&gt;$G$4), 0, IF(N506="RESTRINGIDO", AN580, 0))</f>
        <v/>
      </c>
      <c r="F657" s="12" t="inlineStr">
        <is>
          <t>U1θ</t>
        </is>
      </c>
      <c r="G657" s="187" t="inlineStr">
        <is>
          <t>Kgf.cm</t>
        </is>
      </c>
      <c r="H657" s="187">
        <f>N506</f>
        <v/>
      </c>
    </row>
    <row r="658">
      <c r="B658" s="11" t="inlineStr">
        <is>
          <t>R2X</t>
        </is>
      </c>
      <c r="C658" s="12" t="inlineStr">
        <is>
          <t>U2X</t>
        </is>
      </c>
      <c r="D658" s="187" t="inlineStr">
        <is>
          <t>=</t>
        </is>
      </c>
      <c r="E658" s="13">
        <f>IF(OR($G$4=0, 2&gt;$G$4), 0, IF(N507="RESTRINGIDO", AN581, 0))</f>
        <v/>
      </c>
      <c r="F658" s="12" t="inlineStr">
        <is>
          <t>U2X</t>
        </is>
      </c>
      <c r="G658" s="187" t="inlineStr">
        <is>
          <t>Kgf</t>
        </is>
      </c>
      <c r="H658" s="187">
        <f>N507</f>
        <v/>
      </c>
    </row>
    <row r="659">
      <c r="B659" s="11" t="inlineStr">
        <is>
          <t>R2Y</t>
        </is>
      </c>
      <c r="C659" s="12" t="inlineStr">
        <is>
          <t>U2Y</t>
        </is>
      </c>
      <c r="D659" s="187" t="inlineStr">
        <is>
          <t>=</t>
        </is>
      </c>
      <c r="E659" s="13">
        <f>IF(OR($G$4=0, 2&gt;$G$4), 0, IF(N508="RESTRINGIDO", AN582, 0))</f>
        <v/>
      </c>
      <c r="F659" s="12" t="inlineStr">
        <is>
          <t>U2Y</t>
        </is>
      </c>
      <c r="G659" s="187" t="inlineStr">
        <is>
          <t>Kgf</t>
        </is>
      </c>
      <c r="H659" s="187">
        <f>N508</f>
        <v/>
      </c>
    </row>
    <row r="660">
      <c r="B660" s="11" t="inlineStr">
        <is>
          <t>R2θ</t>
        </is>
      </c>
      <c r="C660" s="12" t="inlineStr">
        <is>
          <t>U2θ</t>
        </is>
      </c>
      <c r="D660" s="187" t="inlineStr">
        <is>
          <t>=</t>
        </is>
      </c>
      <c r="E660" s="13">
        <f>IF(OR($G$4=0, 2&gt;$G$4), 0, IF(N509="RESTRINGIDO", AN583, 0))</f>
        <v/>
      </c>
      <c r="F660" s="12" t="inlineStr">
        <is>
          <t>U2θ</t>
        </is>
      </c>
      <c r="G660" s="187" t="inlineStr">
        <is>
          <t>Kgf.cm</t>
        </is>
      </c>
      <c r="H660" s="187">
        <f>N509</f>
        <v/>
      </c>
    </row>
    <row r="661">
      <c r="B661" s="11" t="inlineStr">
        <is>
          <t>R3X</t>
        </is>
      </c>
      <c r="C661" s="12" t="inlineStr">
        <is>
          <t>U3X</t>
        </is>
      </c>
      <c r="D661" s="187" t="inlineStr">
        <is>
          <t>=</t>
        </is>
      </c>
      <c r="E661" s="13">
        <f>IF(OR($G$4=0, 3&gt;$G$4), 0, IF(N510="RESTRINGIDO", AN584, 0))</f>
        <v/>
      </c>
      <c r="F661" s="12" t="inlineStr">
        <is>
          <t>U3X</t>
        </is>
      </c>
      <c r="G661" s="187" t="inlineStr">
        <is>
          <t>Kgf</t>
        </is>
      </c>
      <c r="H661" s="187">
        <f>N510</f>
        <v/>
      </c>
    </row>
    <row r="662" ht="26.4" customHeight="1" s="183">
      <c r="B662" s="11" t="inlineStr">
        <is>
          <t>R3Y</t>
        </is>
      </c>
      <c r="C662" s="12" t="inlineStr">
        <is>
          <t>U3Y</t>
        </is>
      </c>
      <c r="D662" s="187" t="inlineStr">
        <is>
          <t>=</t>
        </is>
      </c>
      <c r="E662" s="13">
        <f>IF(OR($G$4=0, 3&gt;$G$4), 0, IF(N511="RESTRINGIDO", AN585, 0))</f>
        <v/>
      </c>
      <c r="F662" s="12" t="inlineStr">
        <is>
          <t>U3Y</t>
        </is>
      </c>
      <c r="G662" s="187" t="inlineStr">
        <is>
          <t>Kgf</t>
        </is>
      </c>
      <c r="H662" s="187">
        <f>N511</f>
        <v/>
      </c>
    </row>
    <row r="663">
      <c r="B663" s="11" t="inlineStr">
        <is>
          <t>R3θ</t>
        </is>
      </c>
      <c r="C663" s="12" t="inlineStr">
        <is>
          <t>U3θ</t>
        </is>
      </c>
      <c r="D663" s="187" t="inlineStr">
        <is>
          <t>=</t>
        </is>
      </c>
      <c r="E663" s="13">
        <f>IF(OR($G$4=0, 3&gt;$G$4), 0, IF(N512="RESTRINGIDO", AN586, 0))</f>
        <v/>
      </c>
      <c r="F663" s="12" t="inlineStr">
        <is>
          <t>U3θ</t>
        </is>
      </c>
      <c r="G663" s="187" t="inlineStr">
        <is>
          <t>Kgf.cm</t>
        </is>
      </c>
      <c r="H663" s="187">
        <f>N512</f>
        <v/>
      </c>
    </row>
    <row r="664" ht="26.4" customHeight="1" s="183">
      <c r="B664" s="11" t="inlineStr">
        <is>
          <t>R4X</t>
        </is>
      </c>
      <c r="C664" s="12" t="inlineStr">
        <is>
          <t>U4X</t>
        </is>
      </c>
      <c r="D664" s="187" t="inlineStr">
        <is>
          <t>=</t>
        </is>
      </c>
      <c r="E664" s="13">
        <f>IF(OR($G$4=0, 4&gt;$G$4), 0, IF(N513="RESTRINGIDO", AN587, 0))</f>
        <v/>
      </c>
      <c r="F664" s="12" t="inlineStr">
        <is>
          <t>U4X</t>
        </is>
      </c>
      <c r="G664" s="187" t="inlineStr">
        <is>
          <t>Kgf</t>
        </is>
      </c>
      <c r="H664" s="187">
        <f>N513</f>
        <v/>
      </c>
    </row>
    <row r="665" ht="26.4" customHeight="1" s="183">
      <c r="B665" s="11" t="inlineStr">
        <is>
          <t>R4Y</t>
        </is>
      </c>
      <c r="C665" s="12" t="inlineStr">
        <is>
          <t>U4Y</t>
        </is>
      </c>
      <c r="D665" s="187" t="inlineStr">
        <is>
          <t>=</t>
        </is>
      </c>
      <c r="E665" s="13">
        <f>IF(OR($G$4=0, 4&gt;$G$4), 0, IF(N514="RESTRINGIDO", AN588, 0))</f>
        <v/>
      </c>
      <c r="F665" s="12" t="inlineStr">
        <is>
          <t>U4Y</t>
        </is>
      </c>
      <c r="G665" s="187" t="inlineStr">
        <is>
          <t>Kgf</t>
        </is>
      </c>
      <c r="H665" s="187">
        <f>N514</f>
        <v/>
      </c>
    </row>
    <row r="666" ht="26.4" customHeight="1" s="183">
      <c r="B666" s="11" t="inlineStr">
        <is>
          <t>R4θ</t>
        </is>
      </c>
      <c r="C666" s="12" t="inlineStr">
        <is>
          <t>U4θ</t>
        </is>
      </c>
      <c r="D666" s="187" t="inlineStr">
        <is>
          <t>=</t>
        </is>
      </c>
      <c r="E666" s="13">
        <f>IF(OR($G$4=0, 4&gt;$G$4), 0, IF(N515="RESTRINGIDO", AN589, 0))</f>
        <v/>
      </c>
      <c r="F666" s="12" t="inlineStr">
        <is>
          <t>U4θ</t>
        </is>
      </c>
      <c r="G666" s="187" t="inlineStr">
        <is>
          <t>Kgf.cm</t>
        </is>
      </c>
      <c r="H666" s="187">
        <f>N515</f>
        <v/>
      </c>
    </row>
    <row r="667" ht="26.4" customHeight="1" s="183">
      <c r="B667" s="11" t="inlineStr">
        <is>
          <t>R5X</t>
        </is>
      </c>
      <c r="C667" s="12" t="inlineStr">
        <is>
          <t>U5X</t>
        </is>
      </c>
      <c r="D667" s="187" t="inlineStr">
        <is>
          <t>=</t>
        </is>
      </c>
      <c r="E667" s="13">
        <f>IF(OR($G$4=0, 5&gt;$G$4), 0, IF(N516="RESTRINGIDO", AN590, 0))</f>
        <v/>
      </c>
      <c r="F667" s="12" t="inlineStr">
        <is>
          <t>U5X</t>
        </is>
      </c>
      <c r="G667" s="187" t="inlineStr">
        <is>
          <t>Kgf</t>
        </is>
      </c>
      <c r="H667" s="187">
        <f>N516</f>
        <v/>
      </c>
    </row>
    <row r="668" ht="26.4" customHeight="1" s="183">
      <c r="B668" s="11" t="inlineStr">
        <is>
          <t>R5Y</t>
        </is>
      </c>
      <c r="C668" s="12" t="inlineStr">
        <is>
          <t>U5Y</t>
        </is>
      </c>
      <c r="D668" s="187" t="inlineStr">
        <is>
          <t>=</t>
        </is>
      </c>
      <c r="E668" s="13">
        <f>IF(OR($G$4=0, 5&gt;$G$4), 0, IF(N517="RESTRINGIDO", AN591, 0))</f>
        <v/>
      </c>
      <c r="F668" s="12" t="inlineStr">
        <is>
          <t>U5Y</t>
        </is>
      </c>
      <c r="G668" s="187" t="inlineStr">
        <is>
          <t>Kgf</t>
        </is>
      </c>
      <c r="H668" s="187">
        <f>N517</f>
        <v/>
      </c>
    </row>
    <row r="669" ht="26.4" customHeight="1" s="183">
      <c r="B669" s="11" t="inlineStr">
        <is>
          <t>R5θ</t>
        </is>
      </c>
      <c r="C669" s="12" t="inlineStr">
        <is>
          <t>U5θ</t>
        </is>
      </c>
      <c r="D669" s="187" t="inlineStr">
        <is>
          <t>=</t>
        </is>
      </c>
      <c r="E669" s="13">
        <f>IF(OR($G$4=0, 5&gt;$G$4), 0, IF(N518="RESTRINGIDO", AN592, 0))</f>
        <v/>
      </c>
      <c r="F669" s="12" t="inlineStr">
        <is>
          <t>U5θ</t>
        </is>
      </c>
      <c r="G669" s="187" t="inlineStr">
        <is>
          <t>Kgf.cm</t>
        </is>
      </c>
      <c r="H669" s="187">
        <f>N518</f>
        <v/>
      </c>
    </row>
    <row r="670" ht="26.4" customHeight="1" s="183">
      <c r="B670" s="11" t="inlineStr">
        <is>
          <t>R6X</t>
        </is>
      </c>
      <c r="C670" s="12" t="inlineStr">
        <is>
          <t>U6X</t>
        </is>
      </c>
      <c r="D670" s="187" t="inlineStr">
        <is>
          <t>=</t>
        </is>
      </c>
      <c r="E670" s="13">
        <f>IF(OR($G$4=0, 6&gt;$G$4), 0, IF(N519="RESTRINGIDO", AN593, 0))</f>
        <v/>
      </c>
      <c r="F670" s="12" t="inlineStr">
        <is>
          <t>U6X</t>
        </is>
      </c>
      <c r="G670" s="187" t="inlineStr">
        <is>
          <t>Kgf</t>
        </is>
      </c>
      <c r="H670" s="187">
        <f>N519</f>
        <v/>
      </c>
    </row>
    <row r="671" ht="26.4" customHeight="1" s="183">
      <c r="B671" s="11" t="inlineStr">
        <is>
          <t>R6Y</t>
        </is>
      </c>
      <c r="C671" s="12" t="inlineStr">
        <is>
          <t>U6Y</t>
        </is>
      </c>
      <c r="D671" s="187" t="inlineStr">
        <is>
          <t>=</t>
        </is>
      </c>
      <c r="E671" s="13">
        <f>IF(OR($G$4=0, 6&gt;$G$4), 0, IF(N520="RESTRINGIDO", AN594, 0))</f>
        <v/>
      </c>
      <c r="F671" s="12" t="inlineStr">
        <is>
          <t>U6Y</t>
        </is>
      </c>
      <c r="G671" s="187" t="inlineStr">
        <is>
          <t>Kgf</t>
        </is>
      </c>
      <c r="H671" s="187">
        <f>N520</f>
        <v/>
      </c>
    </row>
    <row r="672" ht="26.4" customHeight="1" s="183">
      <c r="B672" s="11" t="inlineStr">
        <is>
          <t>R6θ</t>
        </is>
      </c>
      <c r="C672" s="12" t="inlineStr">
        <is>
          <t>U6θ</t>
        </is>
      </c>
      <c r="D672" s="187" t="inlineStr">
        <is>
          <t>=</t>
        </is>
      </c>
      <c r="E672" s="13">
        <f>IF(OR($G$4=0, 6&gt;$G$4), 0, IF(N521="RESTRINGIDO", AN595, 0))</f>
        <v/>
      </c>
      <c r="F672" s="12" t="inlineStr">
        <is>
          <t>U6θ</t>
        </is>
      </c>
      <c r="G672" s="187" t="inlineStr">
        <is>
          <t>Kgf.cm</t>
        </is>
      </c>
      <c r="H672" s="187">
        <f>N521</f>
        <v/>
      </c>
    </row>
    <row r="673" ht="26.4" customHeight="1" s="183">
      <c r="B673" s="11" t="inlineStr">
        <is>
          <t>R7X</t>
        </is>
      </c>
      <c r="C673" s="12" t="inlineStr">
        <is>
          <t>U7X</t>
        </is>
      </c>
      <c r="D673" s="187" t="inlineStr">
        <is>
          <t>=</t>
        </is>
      </c>
      <c r="E673" s="13">
        <f>IF(OR($G$4=0, 7&gt;$G$4), 0, IF(N522="RESTRINGIDO", AN596, 0))</f>
        <v/>
      </c>
      <c r="F673" s="12" t="inlineStr">
        <is>
          <t>U7X</t>
        </is>
      </c>
      <c r="G673" s="187" t="inlineStr">
        <is>
          <t>Kgf</t>
        </is>
      </c>
      <c r="H673" s="187">
        <f>N522</f>
        <v/>
      </c>
    </row>
    <row r="674" ht="26.4" customHeight="1" s="183">
      <c r="B674" s="11" t="inlineStr">
        <is>
          <t>R7Y</t>
        </is>
      </c>
      <c r="C674" s="12" t="inlineStr">
        <is>
          <t>U7Y</t>
        </is>
      </c>
      <c r="D674" s="187" t="inlineStr">
        <is>
          <t>=</t>
        </is>
      </c>
      <c r="E674" s="13">
        <f>IF(OR($G$4=0, 7&gt;$G$4), 0, IF(N523="RESTRINGIDO", AN597, 0))</f>
        <v/>
      </c>
      <c r="F674" s="12" t="inlineStr">
        <is>
          <t>U7Y</t>
        </is>
      </c>
      <c r="G674" s="187" t="inlineStr">
        <is>
          <t>Kgf</t>
        </is>
      </c>
      <c r="H674" s="187">
        <f>N523</f>
        <v/>
      </c>
    </row>
    <row r="675" ht="26.4" customHeight="1" s="183">
      <c r="B675" s="11" t="inlineStr">
        <is>
          <t>R7θ</t>
        </is>
      </c>
      <c r="C675" s="12" t="inlineStr">
        <is>
          <t>U7θ</t>
        </is>
      </c>
      <c r="D675" s="187" t="inlineStr">
        <is>
          <t>=</t>
        </is>
      </c>
      <c r="E675" s="13">
        <f>IF(OR($G$4=0, 7&gt;$G$4), 0, IF(N524="RESTRINGIDO", AN598, 0))</f>
        <v/>
      </c>
      <c r="F675" s="12" t="inlineStr">
        <is>
          <t>U7θ</t>
        </is>
      </c>
      <c r="G675" s="187" t="inlineStr">
        <is>
          <t>Kgf.cm</t>
        </is>
      </c>
      <c r="H675" s="187">
        <f>N524</f>
        <v/>
      </c>
    </row>
    <row r="676" ht="26.4" customHeight="1" s="183">
      <c r="B676" s="11" t="inlineStr">
        <is>
          <t>R8X</t>
        </is>
      </c>
      <c r="C676" s="12" t="inlineStr">
        <is>
          <t>U8X</t>
        </is>
      </c>
      <c r="D676" s="187" t="inlineStr">
        <is>
          <t>=</t>
        </is>
      </c>
      <c r="E676" s="13">
        <f>IF(OR($G$4=0, 8&gt;$G$4), 0, IF(N525="RESTRINGIDO", AN599, 0))</f>
        <v/>
      </c>
      <c r="F676" s="12" t="inlineStr">
        <is>
          <t>U8X</t>
        </is>
      </c>
      <c r="G676" s="187" t="inlineStr">
        <is>
          <t>Kgf</t>
        </is>
      </c>
      <c r="H676" s="187">
        <f>N525</f>
        <v/>
      </c>
    </row>
    <row r="677" ht="26.4" customHeight="1" s="183">
      <c r="B677" s="11" t="inlineStr">
        <is>
          <t>R8Y</t>
        </is>
      </c>
      <c r="C677" s="12" t="inlineStr">
        <is>
          <t>U8Y</t>
        </is>
      </c>
      <c r="D677" s="187" t="inlineStr">
        <is>
          <t>=</t>
        </is>
      </c>
      <c r="E677" s="13">
        <f>IF(OR($G$4=0, 8&gt;$G$4), 0, IF(N526="RESTRINGIDO", AN600, 0))</f>
        <v/>
      </c>
      <c r="F677" s="12" t="inlineStr">
        <is>
          <t>U8Y</t>
        </is>
      </c>
      <c r="G677" s="187" t="inlineStr">
        <is>
          <t>Kgf</t>
        </is>
      </c>
      <c r="H677" s="187">
        <f>N526</f>
        <v/>
      </c>
    </row>
    <row r="678" ht="26.4" customHeight="1" s="183">
      <c r="B678" s="11" t="inlineStr">
        <is>
          <t>R8θ</t>
        </is>
      </c>
      <c r="C678" s="12" t="inlineStr">
        <is>
          <t>U8θ</t>
        </is>
      </c>
      <c r="D678" s="187" t="inlineStr">
        <is>
          <t>=</t>
        </is>
      </c>
      <c r="E678" s="13">
        <f>IF(OR($G$4=0, 8&gt;$G$4), 0, IF(N527="RESTRINGIDO", AN601, 0))</f>
        <v/>
      </c>
      <c r="F678" s="12" t="inlineStr">
        <is>
          <t>U8θ</t>
        </is>
      </c>
      <c r="G678" s="187" t="inlineStr">
        <is>
          <t>Kgf.cm</t>
        </is>
      </c>
      <c r="H678" s="187">
        <f>N527</f>
        <v/>
      </c>
    </row>
    <row r="679" ht="26.4" customHeight="1" s="183">
      <c r="B679" s="11" t="inlineStr">
        <is>
          <t>R9X</t>
        </is>
      </c>
      <c r="C679" s="12" t="inlineStr">
        <is>
          <t>U9X</t>
        </is>
      </c>
      <c r="D679" s="187" t="inlineStr">
        <is>
          <t>=</t>
        </is>
      </c>
      <c r="E679" s="13">
        <f>IF(OR($G$4=0, 9&gt;$G$4), 0, IF(N528="RESTRINGIDO", AN602, 0))</f>
        <v/>
      </c>
      <c r="F679" s="12" t="inlineStr">
        <is>
          <t>U9X</t>
        </is>
      </c>
      <c r="G679" s="187" t="inlineStr">
        <is>
          <t>Kgf</t>
        </is>
      </c>
      <c r="H679" s="187">
        <f>N528</f>
        <v/>
      </c>
    </row>
    <row r="680" ht="26.4" customHeight="1" s="183">
      <c r="B680" s="11" t="inlineStr">
        <is>
          <t>R9Y</t>
        </is>
      </c>
      <c r="C680" s="12" t="inlineStr">
        <is>
          <t>U9Y</t>
        </is>
      </c>
      <c r="D680" s="187" t="inlineStr">
        <is>
          <t>=</t>
        </is>
      </c>
      <c r="E680" s="13">
        <f>IF(OR($G$4=0, 9&gt;$G$4), 0, IF(N529="RESTRINGIDO", AN603, 0))</f>
        <v/>
      </c>
      <c r="F680" s="12" t="inlineStr">
        <is>
          <t>U9Y</t>
        </is>
      </c>
      <c r="G680" s="187" t="inlineStr">
        <is>
          <t>Kgf</t>
        </is>
      </c>
      <c r="H680" s="187">
        <f>N529</f>
        <v/>
      </c>
    </row>
    <row r="681" ht="26.4" customHeight="1" s="183">
      <c r="B681" s="11" t="inlineStr">
        <is>
          <t>R9θ</t>
        </is>
      </c>
      <c r="C681" s="12" t="inlineStr">
        <is>
          <t>U9θ</t>
        </is>
      </c>
      <c r="D681" s="187" t="inlineStr">
        <is>
          <t>=</t>
        </is>
      </c>
      <c r="E681" s="13">
        <f>IF(OR($G$4=0, 9&gt;$G$4), 0, IF(N530="RESTRINGIDO", AN604, 0))</f>
        <v/>
      </c>
      <c r="F681" s="12" t="inlineStr">
        <is>
          <t>U9θ</t>
        </is>
      </c>
      <c r="G681" s="187" t="inlineStr">
        <is>
          <t>Kgf.cm</t>
        </is>
      </c>
      <c r="H681" s="187">
        <f>N530</f>
        <v/>
      </c>
    </row>
    <row r="682" ht="26.4" customHeight="1" s="183">
      <c r="B682" s="11" t="inlineStr">
        <is>
          <t>R10X</t>
        </is>
      </c>
      <c r="C682" s="12" t="inlineStr">
        <is>
          <t>U10X</t>
        </is>
      </c>
      <c r="D682" s="187" t="inlineStr">
        <is>
          <t>=</t>
        </is>
      </c>
      <c r="E682" s="13">
        <f>IF(OR($G$4=0, 10&gt;$G$4), 0, IF(N531="RESTRINGIDO", AN605, 0))</f>
        <v/>
      </c>
      <c r="F682" s="12" t="inlineStr">
        <is>
          <t>U10X</t>
        </is>
      </c>
      <c r="G682" s="187" t="inlineStr">
        <is>
          <t>Kgf</t>
        </is>
      </c>
      <c r="H682" s="187">
        <f>N531</f>
        <v/>
      </c>
    </row>
    <row r="683" ht="26.4" customHeight="1" s="183">
      <c r="B683" s="11" t="inlineStr">
        <is>
          <t>R10Y</t>
        </is>
      </c>
      <c r="C683" s="12" t="inlineStr">
        <is>
          <t>U10Y</t>
        </is>
      </c>
      <c r="D683" s="187" t="inlineStr">
        <is>
          <t>=</t>
        </is>
      </c>
      <c r="E683" s="13">
        <f>IF(OR($G$4=0, 10&gt;$G$4), 0, IF(N532="RESTRINGIDO", AN606, 0))</f>
        <v/>
      </c>
      <c r="F683" s="12" t="inlineStr">
        <is>
          <t>U10Y</t>
        </is>
      </c>
      <c r="G683" s="187" t="inlineStr">
        <is>
          <t>Kgf</t>
        </is>
      </c>
      <c r="H683" s="187">
        <f>N532</f>
        <v/>
      </c>
    </row>
    <row r="684" ht="26.4" customHeight="1" s="183">
      <c r="B684" s="11" t="inlineStr">
        <is>
          <t>R10θ</t>
        </is>
      </c>
      <c r="C684" s="12" t="inlineStr">
        <is>
          <t>U10θ</t>
        </is>
      </c>
      <c r="D684" s="187" t="inlineStr">
        <is>
          <t>=</t>
        </is>
      </c>
      <c r="E684" s="13">
        <f>IF(OR($G$4=0, 10&gt;$G$4), 0, IF(N533="RESTRINGIDO", AN607, 0))</f>
        <v/>
      </c>
      <c r="F684" s="12" t="inlineStr">
        <is>
          <t>U10θ</t>
        </is>
      </c>
      <c r="G684" s="187" t="inlineStr">
        <is>
          <t>Kgf.cm</t>
        </is>
      </c>
      <c r="H684" s="187">
        <f>N533</f>
        <v/>
      </c>
    </row>
    <row r="685" ht="26.4" customHeight="1" s="183">
      <c r="B685" s="11" t="inlineStr">
        <is>
          <t>R11X</t>
        </is>
      </c>
      <c r="C685" s="12" t="inlineStr">
        <is>
          <t>U11X</t>
        </is>
      </c>
      <c r="D685" s="187" t="inlineStr">
        <is>
          <t>=</t>
        </is>
      </c>
      <c r="E685" s="13">
        <f>IF(OR($G$4=0, 11&gt;$G$4), 0, IF(N534="RESTRINGIDO", AN608, 0))</f>
        <v/>
      </c>
      <c r="F685" s="12" t="inlineStr">
        <is>
          <t>U11X</t>
        </is>
      </c>
      <c r="G685" s="187" t="inlineStr">
        <is>
          <t>Kgf</t>
        </is>
      </c>
      <c r="H685" s="187">
        <f>N534</f>
        <v/>
      </c>
    </row>
    <row r="686" ht="26.4" customHeight="1" s="183">
      <c r="B686" s="11" t="inlineStr">
        <is>
          <t>R11Y</t>
        </is>
      </c>
      <c r="C686" s="12" t="inlineStr">
        <is>
          <t>U11Y</t>
        </is>
      </c>
      <c r="D686" s="187" t="inlineStr">
        <is>
          <t>=</t>
        </is>
      </c>
      <c r="E686" s="13">
        <f>IF(OR($G$4=0, 11&gt;$G$4), 0, IF(N535="RESTRINGIDO", AN609, 0))</f>
        <v/>
      </c>
      <c r="F686" s="12" t="inlineStr">
        <is>
          <t>U11Y</t>
        </is>
      </c>
      <c r="G686" s="187" t="inlineStr">
        <is>
          <t>Kgf</t>
        </is>
      </c>
      <c r="H686" s="187">
        <f>N535</f>
        <v/>
      </c>
    </row>
    <row r="687" ht="26.4" customHeight="1" s="183">
      <c r="B687" s="11" t="inlineStr">
        <is>
          <t>R11θ</t>
        </is>
      </c>
      <c r="C687" s="12" t="inlineStr">
        <is>
          <t>U11θ</t>
        </is>
      </c>
      <c r="D687" s="187" t="inlineStr">
        <is>
          <t>=</t>
        </is>
      </c>
      <c r="E687" s="13">
        <f>IF(OR($G$4=0, 11&gt;$G$4), 0, IF(N536="RESTRINGIDO", AN610, 0))</f>
        <v/>
      </c>
      <c r="F687" s="12" t="inlineStr">
        <is>
          <t>U11θ</t>
        </is>
      </c>
      <c r="G687" s="187" t="inlineStr">
        <is>
          <t>Kgf.cm</t>
        </is>
      </c>
      <c r="H687" s="187">
        <f>N536</f>
        <v/>
      </c>
    </row>
    <row r="691">
      <c r="B691" s="53" t="inlineStr">
        <is>
          <t>DATOS PARA GRAFICAR LA CURVA ELÁSTICA</t>
        </is>
      </c>
      <c r="C691" s="190" t="n"/>
      <c r="D691" s="190" t="n"/>
      <c r="E691" s="191" t="n"/>
    </row>
    <row r="692">
      <c r="B692" s="17" t="inlineStr">
        <is>
          <t>Nudo</t>
        </is>
      </c>
      <c r="C692" s="17" t="inlineStr">
        <is>
          <t>X (cm)</t>
        </is>
      </c>
      <c r="D692" s="17" t="inlineStr">
        <is>
          <t>DY (cm)</t>
        </is>
      </c>
      <c r="E692" s="17" t="inlineStr">
        <is>
          <t>θ (rad)</t>
        </is>
      </c>
    </row>
    <row r="693">
      <c r="B693" s="187" t="n">
        <v>1</v>
      </c>
      <c r="C693" s="189" t="n">
        <v>0</v>
      </c>
      <c r="D693" s="188">
        <f>IF(E618="","", E618)</f>
        <v/>
      </c>
      <c r="E693" s="188">
        <f>IF(E619="","", E619)</f>
        <v/>
      </c>
    </row>
    <row r="694">
      <c r="B694" s="187" t="n">
        <v>2</v>
      </c>
      <c r="C694" s="189">
        <f>IF(I9="","", C693+I9)</f>
        <v/>
      </c>
      <c r="D694" s="188">
        <f>IF(I9="","", E621)</f>
        <v/>
      </c>
      <c r="E694" s="188">
        <f>IF(I9="","", E622)</f>
        <v/>
      </c>
    </row>
    <row r="695">
      <c r="B695" s="187" t="n">
        <v>3</v>
      </c>
      <c r="C695" s="189">
        <f>IF(I10="","", C694+I10)</f>
        <v/>
      </c>
      <c r="D695" s="188">
        <f>IF(I10="","", E624)</f>
        <v/>
      </c>
      <c r="E695" s="188">
        <f>IF(I10="","", E625)</f>
        <v/>
      </c>
    </row>
    <row r="696">
      <c r="B696" s="187" t="n">
        <v>4</v>
      </c>
      <c r="C696" s="189">
        <f>IF(I11="","", C695+I11)</f>
        <v/>
      </c>
      <c r="D696" s="188">
        <f>IF(I11="","", E627)</f>
        <v/>
      </c>
      <c r="E696" s="188">
        <f>IF(I11="","", E628)</f>
        <v/>
      </c>
    </row>
    <row r="697">
      <c r="B697" s="187" t="n">
        <v>5</v>
      </c>
      <c r="C697" s="189">
        <f>IF(I12="","", C696+I12)</f>
        <v/>
      </c>
      <c r="D697" s="188">
        <f>IF(I12="","", E630)</f>
        <v/>
      </c>
      <c r="E697" s="188">
        <f>IF(I12="","", E631)</f>
        <v/>
      </c>
    </row>
    <row r="698">
      <c r="B698" s="187" t="n">
        <v>6</v>
      </c>
      <c r="C698" s="189">
        <f>IF(I13="","", C697+I13)</f>
        <v/>
      </c>
      <c r="D698" s="188">
        <f>IF(I13="","", E633)</f>
        <v/>
      </c>
      <c r="E698" s="188">
        <f>IF(I13="","", E634)</f>
        <v/>
      </c>
    </row>
    <row r="699">
      <c r="B699" s="187" t="n">
        <v>7</v>
      </c>
      <c r="C699" s="189">
        <f>IF(I14="","", C698+I14)</f>
        <v/>
      </c>
      <c r="D699" s="188">
        <f>IF(I14="","", E636)</f>
        <v/>
      </c>
      <c r="E699" s="188">
        <f>IF(I14="","", E637)</f>
        <v/>
      </c>
    </row>
    <row r="700">
      <c r="B700" s="187" t="n">
        <v>8</v>
      </c>
      <c r="C700" s="189">
        <f>IF(I15="","", C699+I15)</f>
        <v/>
      </c>
      <c r="D700" s="188">
        <f>IF(I15="","", E639)</f>
        <v/>
      </c>
      <c r="E700" s="188">
        <f>IF(I15="","", E640)</f>
        <v/>
      </c>
    </row>
    <row r="701">
      <c r="B701" s="187" t="n">
        <v>9</v>
      </c>
      <c r="C701" s="189">
        <f>IF(I16="","", C700+I16)</f>
        <v/>
      </c>
      <c r="D701" s="188">
        <f>IF(I16="","", E642)</f>
        <v/>
      </c>
      <c r="E701" s="188">
        <f>IF(I16="","", E643)</f>
        <v/>
      </c>
    </row>
    <row r="702">
      <c r="B702" s="187" t="n">
        <v>10</v>
      </c>
      <c r="C702" s="189">
        <f>IF(I17="","", C701+I17)</f>
        <v/>
      </c>
      <c r="D702" s="188">
        <f>IF(I17="","", E645)</f>
        <v/>
      </c>
      <c r="E702" s="188">
        <f>IF(I17="","", E646)</f>
        <v/>
      </c>
    </row>
    <row r="703">
      <c r="B703" s="187" t="n">
        <v>11</v>
      </c>
      <c r="C703" s="189">
        <f>IF(I18="","", C702+I18)</f>
        <v/>
      </c>
      <c r="D703" s="188">
        <f>IF(I18="","", E648)</f>
        <v/>
      </c>
      <c r="E703" s="188">
        <f>IF(I18="","", E649)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69"/>
  <mergeCells count="31">
    <mergeCell ref="F20:H20"/>
    <mergeCell ref="C20:E20"/>
    <mergeCell ref="B465:AH465"/>
    <mergeCell ref="B1:D1"/>
    <mergeCell ref="AK14:AS14"/>
    <mergeCell ref="R7:R8"/>
    <mergeCell ref="G7:G8"/>
    <mergeCell ref="I7:I8"/>
    <mergeCell ref="B539:AH539"/>
    <mergeCell ref="M7:M8"/>
    <mergeCell ref="S7:S8"/>
    <mergeCell ref="B503:F503"/>
    <mergeCell ref="H503:L503"/>
    <mergeCell ref="H7:H8"/>
    <mergeCell ref="J7:J8"/>
    <mergeCell ref="P7:P8"/>
    <mergeCell ref="K7:K8"/>
    <mergeCell ref="AK1:AR1"/>
    <mergeCell ref="B20:B21"/>
    <mergeCell ref="B502:AH502"/>
    <mergeCell ref="O7:O8"/>
    <mergeCell ref="Q7:Q8"/>
    <mergeCell ref="B576:AH576"/>
    <mergeCell ref="C7:D7"/>
    <mergeCell ref="E7:F7"/>
    <mergeCell ref="B615:G615"/>
    <mergeCell ref="B653:H653"/>
    <mergeCell ref="B7:B8"/>
    <mergeCell ref="B691:E691"/>
    <mergeCell ref="L7:L8"/>
    <mergeCell ref="N7:N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03"/>
  <sheetViews>
    <sheetView topLeftCell="A81" workbookViewId="0">
      <selection activeCell="A1" sqref="A1"/>
    </sheetView>
  </sheetViews>
  <sheetFormatPr baseColWidth="10" defaultColWidth="8.88671875" defaultRowHeight="14.4"/>
  <cols>
    <col width="11" customWidth="1" style="183" min="1" max="1"/>
    <col width="13" customWidth="1" style="183" min="2" max="34"/>
    <col width="10" customWidth="1" style="183" min="35" max="35"/>
    <col width="4" customWidth="1" style="183" min="36" max="36"/>
    <col width="15" customWidth="1" style="183" min="37" max="59"/>
  </cols>
  <sheetData>
    <row r="1">
      <c r="B1" s="55" t="inlineStr">
        <is>
          <t>PROPIEDADES DEL MATERIAL Y SECCIÓN (10 TRAMOS)</t>
        </is>
      </c>
      <c r="C1" s="190" t="n"/>
      <c r="D1" s="191" t="n"/>
      <c r="AK1" s="56" t="inlineStr">
        <is>
          <t>CUADRO MAESTRO DE DIVISIÓN DE CARGAS DISTRIBUIDAS EN FUERZA PUNTUAL Y MOMENTO</t>
        </is>
      </c>
    </row>
    <row r="2" ht="39.6" customHeight="1" s="183">
      <c r="B2" s="1" t="inlineStr">
        <is>
          <t>E (Elasticidad) =</t>
        </is>
      </c>
      <c r="C2" s="189" t="n">
        <v>150000</v>
      </c>
      <c r="D2" s="187" t="inlineStr">
        <is>
          <t>kgf/cm²</t>
        </is>
      </c>
      <c r="AK2" s="60" t="inlineStr">
        <is>
          <t>CONTROL ESTRICTO DE UNIDADES: 1 m = 100 cm | w(Kgf/cm) = w(Kgf/m) / 100 | V = (w_cm * L_cm)/2</t>
        </is>
      </c>
    </row>
    <row r="3" ht="26.4" customHeight="1" s="183">
      <c r="B3" s="1" t="inlineStr">
        <is>
          <t>b (Base) =</t>
        </is>
      </c>
      <c r="C3" s="189" t="n">
        <v>5</v>
      </c>
      <c r="D3" s="187" t="inlineStr">
        <is>
          <t>cm</t>
        </is>
      </c>
      <c r="F3" s="5" t="inlineStr">
        <is>
          <t>Tramos Utilizados =</t>
        </is>
      </c>
      <c r="G3" s="186">
        <f>COUNT(I9:I18)</f>
        <v/>
      </c>
      <c r="AP3" s="59" t="inlineStr">
        <is>
          <t>DIVISIÓN A LA IZQUIERDA (NUDO INICIAL i)</t>
        </is>
      </c>
      <c r="AU3" s="61" t="inlineStr">
        <is>
          <t>DIVISIÓN A LA DERECHA (NUDO FINAL j)</t>
        </is>
      </c>
    </row>
    <row r="4" ht="26.4" customHeight="1" s="183">
      <c r="B4" s="1" t="inlineStr">
        <is>
          <t>h (Altura) =</t>
        </is>
      </c>
      <c r="C4" s="189" t="n">
        <v>10</v>
      </c>
      <c r="D4" s="187" t="inlineStr">
        <is>
          <t>cm</t>
        </is>
      </c>
      <c r="F4" s="5" t="inlineStr">
        <is>
          <t>Nodos Utilizados =</t>
        </is>
      </c>
      <c r="G4" s="186">
        <f>IF(G3&gt;0, G3+1, 0)</f>
        <v/>
      </c>
      <c r="AK4" s="58" t="inlineStr">
        <is>
          <t>Barra</t>
        </is>
      </c>
      <c r="AL4" s="58" t="inlineStr">
        <is>
          <t>w (Kgf/m)</t>
        </is>
      </c>
      <c r="AM4" s="58" t="inlineStr">
        <is>
          <t>L (m)</t>
        </is>
      </c>
      <c r="AN4" s="58" t="inlineStr">
        <is>
          <t>L (cm)</t>
        </is>
      </c>
      <c r="AO4" s="58" t="inlineStr">
        <is>
          <t>w (Kgf/cm)</t>
        </is>
      </c>
      <c r="AP4" s="58" t="inlineStr">
        <is>
          <t>Vi Izq (Kgf)</t>
        </is>
      </c>
      <c r="AQ4" s="58" t="inlineStr">
        <is>
          <t>Signo</t>
        </is>
      </c>
      <c r="AR4" s="58" t="inlineStr">
        <is>
          <t>Mi (Kgf.cm)</t>
        </is>
      </c>
      <c r="AS4" s="58" t="inlineStr">
        <is>
          <t>Mi (Kgf.m)</t>
        </is>
      </c>
      <c r="AT4" s="58" t="inlineStr">
        <is>
          <t>Sentido</t>
        </is>
      </c>
      <c r="AU4" s="58" t="inlineStr">
        <is>
          <t>Vj Der (Kgf)</t>
        </is>
      </c>
      <c r="AV4" s="58" t="inlineStr">
        <is>
          <t>Signo</t>
        </is>
      </c>
      <c r="AW4" s="58" t="inlineStr">
        <is>
          <t>Mj (Kgf.cm)</t>
        </is>
      </c>
      <c r="AX4" s="58" t="inlineStr">
        <is>
          <t>Mj (Kgf.m)</t>
        </is>
      </c>
      <c r="AY4" s="58" t="inlineStr">
        <is>
          <t>Sentido</t>
        </is>
      </c>
    </row>
    <row r="5">
      <c r="B5" s="1" t="inlineStr">
        <is>
          <t>Área =</t>
        </is>
      </c>
      <c r="C5" s="187">
        <f>C3*C4</f>
        <v/>
      </c>
      <c r="D5" s="187" t="inlineStr">
        <is>
          <t>cm²</t>
        </is>
      </c>
      <c r="E5" s="1" t="inlineStr">
        <is>
          <t>Inercia =</t>
        </is>
      </c>
      <c r="F5" s="189">
        <f>(C3*(C4^3))/12</f>
        <v/>
      </c>
      <c r="G5" s="187" t="inlineStr">
        <is>
          <t>cm⁴</t>
        </is>
      </c>
      <c r="AK5" s="187" t="n">
        <v>1</v>
      </c>
      <c r="AL5" s="187" t="n"/>
      <c r="AM5" s="187">
        <f>IF(AN5="","", AN5/100)</f>
        <v/>
      </c>
      <c r="AN5" s="187">
        <f>IF(I9="","", I9)</f>
        <v/>
      </c>
      <c r="AO5" s="187">
        <f>IF(AL5="","", AL5/100)</f>
        <v/>
      </c>
      <c r="AP5" s="187">
        <f>IF(AO5="","", (AO5*AN5)/2)</f>
        <v/>
      </c>
      <c r="AQ5" s="187" t="inlineStr">
        <is>
          <t>↑ (+)</t>
        </is>
      </c>
      <c r="AR5" s="187">
        <f>IF(AO5="","", +(AO5*(AN5^2))/12)</f>
        <v/>
      </c>
      <c r="AS5" s="187">
        <f>IF(AR5="","", AR5/100)</f>
        <v/>
      </c>
      <c r="AT5" s="187" t="inlineStr">
        <is>
          <t>↷ (+) Horario</t>
        </is>
      </c>
      <c r="AU5" s="187">
        <f>IF(AO5="","", (AO5*AN5)/2)</f>
        <v/>
      </c>
      <c r="AV5" s="187" t="inlineStr">
        <is>
          <t>↑ (+)</t>
        </is>
      </c>
      <c r="AW5" s="187">
        <f>IF(AO5="","", -(AO5*(AN5^2))/12)</f>
        <v/>
      </c>
      <c r="AX5" s="187">
        <f>IF(AW5="","", AW5/100)</f>
        <v/>
      </c>
      <c r="AY5" s="187" t="inlineStr">
        <is>
          <t>↺ (-) Antihorario</t>
        </is>
      </c>
    </row>
    <row r="6">
      <c r="AK6" s="187" t="n">
        <v>2</v>
      </c>
      <c r="AL6" s="187" t="n"/>
      <c r="AM6" s="187">
        <f>IF(AN6="","", AN6/100)</f>
        <v/>
      </c>
      <c r="AN6" s="187">
        <f>IF(I10="","", I10)</f>
        <v/>
      </c>
      <c r="AO6" s="187">
        <f>IF(AL6="","", AL6/100)</f>
        <v/>
      </c>
      <c r="AP6" s="187">
        <f>IF(AO6="","", (AO6*AN6)/2)</f>
        <v/>
      </c>
      <c r="AQ6" s="187" t="inlineStr">
        <is>
          <t>↑ (+)</t>
        </is>
      </c>
      <c r="AR6" s="187">
        <f>IF(AO6="","", +(AO6*(AN6^2))/12)</f>
        <v/>
      </c>
      <c r="AS6" s="187">
        <f>IF(AR6="","", AR6/100)</f>
        <v/>
      </c>
      <c r="AT6" s="187" t="inlineStr">
        <is>
          <t>↷ (+) Horario</t>
        </is>
      </c>
      <c r="AU6" s="187">
        <f>IF(AO6="","", (AO6*AN6)/2)</f>
        <v/>
      </c>
      <c r="AV6" s="187" t="inlineStr">
        <is>
          <t>↑ (+)</t>
        </is>
      </c>
      <c r="AW6" s="187">
        <f>IF(AO6="","", -(AO6*(AN6^2))/12)</f>
        <v/>
      </c>
      <c r="AX6" s="187">
        <f>IF(AW6="","", AW6/100)</f>
        <v/>
      </c>
      <c r="AY6" s="187" t="inlineStr">
        <is>
          <t>↺ (-) Antihorario</t>
        </is>
      </c>
    </row>
    <row r="7">
      <c r="B7" s="51" t="inlineStr">
        <is>
          <t>Barra</t>
        </is>
      </c>
      <c r="C7" s="51" t="inlineStr">
        <is>
          <t>INICIO</t>
        </is>
      </c>
      <c r="D7" s="191" t="n"/>
      <c r="E7" s="51" t="inlineStr">
        <is>
          <t>FIN</t>
        </is>
      </c>
      <c r="F7" s="191" t="n"/>
      <c r="G7" s="51" t="inlineStr">
        <is>
          <t>ΔX</t>
        </is>
      </c>
      <c r="H7" s="51" t="inlineStr">
        <is>
          <t>ΔY</t>
        </is>
      </c>
      <c r="I7" s="51" t="inlineStr">
        <is>
          <t>L (cm)</t>
        </is>
      </c>
      <c r="J7" s="51" t="inlineStr">
        <is>
          <t>Cosx</t>
        </is>
      </c>
      <c r="K7" s="51" t="inlineStr">
        <is>
          <t>Cosy</t>
        </is>
      </c>
      <c r="L7" s="51" t="inlineStr">
        <is>
          <t>E</t>
        </is>
      </c>
      <c r="M7" s="51" t="inlineStr">
        <is>
          <t>A</t>
        </is>
      </c>
      <c r="N7" s="51" t="inlineStr">
        <is>
          <t>I</t>
        </is>
      </c>
      <c r="O7" s="51" t="inlineStr">
        <is>
          <t>EA/L</t>
        </is>
      </c>
      <c r="P7" s="51" t="inlineStr">
        <is>
          <t>12EI/L³</t>
        </is>
      </c>
      <c r="Q7" s="51" t="inlineStr">
        <is>
          <t>6EI/L²</t>
        </is>
      </c>
      <c r="R7" s="51" t="inlineStr">
        <is>
          <t>4EI/L</t>
        </is>
      </c>
      <c r="S7" s="51" t="inlineStr">
        <is>
          <t>2EI/L</t>
        </is>
      </c>
      <c r="AK7" s="187" t="n">
        <v>3</v>
      </c>
      <c r="AL7" s="187" t="n"/>
      <c r="AM7" s="187">
        <f>IF(AN7="","", AN7/100)</f>
        <v/>
      </c>
      <c r="AN7" s="187">
        <f>IF(I11="","", I11)</f>
        <v/>
      </c>
      <c r="AO7" s="187">
        <f>IF(AL7="","", AL7/100)</f>
        <v/>
      </c>
      <c r="AP7" s="187">
        <f>IF(AO7="","", (AO7*AN7)/2)</f>
        <v/>
      </c>
      <c r="AQ7" s="187" t="inlineStr">
        <is>
          <t>↑ (+)</t>
        </is>
      </c>
      <c r="AR7" s="187">
        <f>IF(AO7="","", +(AO7*(AN7^2))/12)</f>
        <v/>
      </c>
      <c r="AS7" s="187">
        <f>IF(AR7="","", AR7/100)</f>
        <v/>
      </c>
      <c r="AT7" s="187" t="inlineStr">
        <is>
          <t>↷ (+) Horario</t>
        </is>
      </c>
      <c r="AU7" s="187">
        <f>IF(AO7="","", (AO7*AN7)/2)</f>
        <v/>
      </c>
      <c r="AV7" s="187" t="inlineStr">
        <is>
          <t>↑ (+)</t>
        </is>
      </c>
      <c r="AW7" s="187">
        <f>IF(AO7="","", -(AO7*(AN7^2))/12)</f>
        <v/>
      </c>
      <c r="AX7" s="187">
        <f>IF(AW7="","", AW7/100)</f>
        <v/>
      </c>
      <c r="AY7" s="187" t="inlineStr">
        <is>
          <t>↺ (-) Antihorario</t>
        </is>
      </c>
    </row>
    <row r="8">
      <c r="B8" s="192" t="n"/>
      <c r="C8" s="51" t="inlineStr">
        <is>
          <t>Xi</t>
        </is>
      </c>
      <c r="D8" s="51" t="inlineStr">
        <is>
          <t>Yi</t>
        </is>
      </c>
      <c r="E8" s="51" t="inlineStr">
        <is>
          <t>Xf</t>
        </is>
      </c>
      <c r="F8" s="51" t="inlineStr">
        <is>
          <t>Yf</t>
        </is>
      </c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AK8" s="187" t="n">
        <v>4</v>
      </c>
      <c r="AL8" s="187" t="n"/>
      <c r="AM8" s="187">
        <f>IF(AN8="","", AN8/100)</f>
        <v/>
      </c>
      <c r="AN8" s="187">
        <f>IF(I12="","", I12)</f>
        <v/>
      </c>
      <c r="AO8" s="187">
        <f>IF(AL8="","", AL8/100)</f>
        <v/>
      </c>
      <c r="AP8" s="187">
        <f>IF(AO8="","", (AO8*AN8)/2)</f>
        <v/>
      </c>
      <c r="AQ8" s="187" t="inlineStr">
        <is>
          <t>↑ (+)</t>
        </is>
      </c>
      <c r="AR8" s="187">
        <f>IF(AO8="","", +(AO8*(AN8^2))/12)</f>
        <v/>
      </c>
      <c r="AS8" s="187">
        <f>IF(AR8="","", AR8/100)</f>
        <v/>
      </c>
      <c r="AT8" s="187" t="inlineStr">
        <is>
          <t>↷ (+) Horario</t>
        </is>
      </c>
      <c r="AU8" s="187">
        <f>IF(AO8="","", (AO8*AN8)/2)</f>
        <v/>
      </c>
      <c r="AV8" s="187" t="inlineStr">
        <is>
          <t>↑ (+)</t>
        </is>
      </c>
      <c r="AW8" s="187">
        <f>IF(AO8="","", -(AO8*(AN8^2))/12)</f>
        <v/>
      </c>
      <c r="AX8" s="187">
        <f>IF(AW8="","", AW8/100)</f>
        <v/>
      </c>
      <c r="AY8" s="187" t="inlineStr">
        <is>
          <t>↺ (-) Antihorario</t>
        </is>
      </c>
    </row>
    <row r="9">
      <c r="B9" s="187" t="n">
        <v>1</v>
      </c>
      <c r="C9" s="187" t="n">
        <v>0</v>
      </c>
      <c r="D9" s="187" t="n">
        <v>0</v>
      </c>
      <c r="E9" s="187" t="n">
        <v>100</v>
      </c>
      <c r="F9" s="187" t="n">
        <v>0</v>
      </c>
      <c r="G9" s="187">
        <f>IF(OR(C9="",E9=""),"", E9-C9)</f>
        <v/>
      </c>
      <c r="H9" s="187">
        <f>IF(OR(D9="",F9=""),"", F9-D9)</f>
        <v/>
      </c>
      <c r="I9" s="187">
        <f>IF(OR(G9="",H9=""),"", SQRT(G9*G9+H9*H9))</f>
        <v/>
      </c>
      <c r="J9" s="187">
        <f>IF(OR(I9="",I9=0),"", G9/I9)</f>
        <v/>
      </c>
      <c r="K9" s="187">
        <f>IF(OR(I9="",I9=0),"", H9/I9)</f>
        <v/>
      </c>
      <c r="L9" s="187">
        <f>IF(I9="","", $C$2)</f>
        <v/>
      </c>
      <c r="M9" s="187">
        <f>IF(I9="","", $C$5)</f>
        <v/>
      </c>
      <c r="N9" s="187">
        <f>IF(I9="","", $F$5)</f>
        <v/>
      </c>
      <c r="O9" s="187">
        <f>IF(OR(I9="",I9=0),"", L9*M9/I9)</f>
        <v/>
      </c>
      <c r="P9" s="187">
        <f>IF(OR(I9="",I9=0),"", 12*L9*N9/(I9^3))</f>
        <v/>
      </c>
      <c r="Q9" s="187">
        <f>IF(OR(I9="",I9=0),"", 6*L9*N9/(I9^2))</f>
        <v/>
      </c>
      <c r="R9" s="187">
        <f>IF(OR(I9="",I9=0),"", 4*L9*N9/I9)</f>
        <v/>
      </c>
      <c r="S9" s="187">
        <f>IF(OR(I9="",I9=0),"", 2*L9*N9/I9)</f>
        <v/>
      </c>
      <c r="AK9" s="187" t="n">
        <v>5</v>
      </c>
      <c r="AL9" s="187" t="n"/>
      <c r="AM9" s="187">
        <f>IF(AN9="","", AN9/100)</f>
        <v/>
      </c>
      <c r="AN9" s="187">
        <f>IF(I13="","", I13)</f>
        <v/>
      </c>
      <c r="AO9" s="187">
        <f>IF(AL9="","", AL9/100)</f>
        <v/>
      </c>
      <c r="AP9" s="187">
        <f>IF(AO9="","", (AO9*AN9)/2)</f>
        <v/>
      </c>
      <c r="AQ9" s="187" t="inlineStr">
        <is>
          <t>↑ (+)</t>
        </is>
      </c>
      <c r="AR9" s="187">
        <f>IF(AO9="","", +(AO9*(AN9^2))/12)</f>
        <v/>
      </c>
      <c r="AS9" s="187">
        <f>IF(AR9="","", AR9/100)</f>
        <v/>
      </c>
      <c r="AT9" s="187" t="inlineStr">
        <is>
          <t>↷ (+) Horario</t>
        </is>
      </c>
      <c r="AU9" s="187">
        <f>IF(AO9="","", (AO9*AN9)/2)</f>
        <v/>
      </c>
      <c r="AV9" s="187" t="inlineStr">
        <is>
          <t>↑ (+)</t>
        </is>
      </c>
      <c r="AW9" s="187">
        <f>IF(AO9="","", -(AO9*(AN9^2))/12)</f>
        <v/>
      </c>
      <c r="AX9" s="187">
        <f>IF(AW9="","", AW9/100)</f>
        <v/>
      </c>
      <c r="AY9" s="187" t="inlineStr">
        <is>
          <t>↺ (-) Antihorario</t>
        </is>
      </c>
    </row>
    <row r="10">
      <c r="B10" s="187" t="n">
        <v>2</v>
      </c>
      <c r="C10" s="187" t="n">
        <v>100</v>
      </c>
      <c r="D10" s="187" t="n">
        <v>0</v>
      </c>
      <c r="E10" s="187" t="n">
        <v>200</v>
      </c>
      <c r="F10" s="187" t="n">
        <v>0</v>
      </c>
      <c r="G10" s="187">
        <f>IF(OR(C10="",E10=""),"", E10-C10)</f>
        <v/>
      </c>
      <c r="H10" s="187">
        <f>IF(OR(D10="",F10=""),"", F10-D10)</f>
        <v/>
      </c>
      <c r="I10" s="187">
        <f>IF(OR(G10="",H10=""),"", SQRT(G10*G10+H10*H10))</f>
        <v/>
      </c>
      <c r="J10" s="187">
        <f>IF(OR(I10="",I10=0),"", G10/I10)</f>
        <v/>
      </c>
      <c r="K10" s="187">
        <f>IF(OR(I10="",I10=0),"", H10/I10)</f>
        <v/>
      </c>
      <c r="L10" s="187">
        <f>IF(I10="","", $C$2)</f>
        <v/>
      </c>
      <c r="M10" s="187">
        <f>IF(I10="","", $C$5)</f>
        <v/>
      </c>
      <c r="N10" s="187">
        <f>IF(I10="","", $F$5)</f>
        <v/>
      </c>
      <c r="O10" s="187">
        <f>IF(OR(I10="",I10=0),"", L10*M10/I10)</f>
        <v/>
      </c>
      <c r="P10" s="187">
        <f>IF(OR(I10="",I10=0),"", 12*L10*N10/(I10^3))</f>
        <v/>
      </c>
      <c r="Q10" s="187">
        <f>IF(OR(I10="",I10=0),"", 6*L10*N10/(I10^2))</f>
        <v/>
      </c>
      <c r="R10" s="187">
        <f>IF(OR(I10="",I10=0),"", 4*L10*N10/I10)</f>
        <v/>
      </c>
      <c r="S10" s="187">
        <f>IF(OR(I10="",I10=0),"", 2*L10*N10/I10)</f>
        <v/>
      </c>
      <c r="AK10" s="187" t="n">
        <v>6</v>
      </c>
      <c r="AL10" s="187" t="n"/>
      <c r="AM10" s="187">
        <f>IF(AN10="","", AN10/100)</f>
        <v/>
      </c>
      <c r="AN10" s="187">
        <f>IF(I14="","", I14)</f>
        <v/>
      </c>
      <c r="AO10" s="187">
        <f>IF(AL10="","", AL10/100)</f>
        <v/>
      </c>
      <c r="AP10" s="187">
        <f>IF(AO10="","", (AO10*AN10)/2)</f>
        <v/>
      </c>
      <c r="AQ10" s="187" t="inlineStr">
        <is>
          <t>↑ (+)</t>
        </is>
      </c>
      <c r="AR10" s="187">
        <f>IF(AO10="","", +(AO10*(AN10^2))/12)</f>
        <v/>
      </c>
      <c r="AS10" s="187">
        <f>IF(AR10="","", AR10/100)</f>
        <v/>
      </c>
      <c r="AT10" s="187" t="inlineStr">
        <is>
          <t>↷ (+) Horario</t>
        </is>
      </c>
      <c r="AU10" s="187">
        <f>IF(AO10="","", (AO10*AN10)/2)</f>
        <v/>
      </c>
      <c r="AV10" s="187" t="inlineStr">
        <is>
          <t>↑ (+)</t>
        </is>
      </c>
      <c r="AW10" s="187">
        <f>IF(AO10="","", -(AO10*(AN10^2))/12)</f>
        <v/>
      </c>
      <c r="AX10" s="187">
        <f>IF(AW10="","", AW10/100)</f>
        <v/>
      </c>
      <c r="AY10" s="187" t="inlineStr">
        <is>
          <t>↺ (-) Antihorario</t>
        </is>
      </c>
    </row>
    <row r="11">
      <c r="B11" s="187" t="n">
        <v>3</v>
      </c>
      <c r="C11" s="187" t="n"/>
      <c r="D11" s="187" t="n"/>
      <c r="E11" s="187" t="n"/>
      <c r="F11" s="187" t="n"/>
      <c r="G11" s="187">
        <f>IF(OR(C11="",E11=""),"", E11-C11)</f>
        <v/>
      </c>
      <c r="H11" s="187">
        <f>IF(OR(D11="",F11=""),"", F11-D11)</f>
        <v/>
      </c>
      <c r="I11" s="187">
        <f>IF(OR(G11="",H11=""),"", SQRT(G11*G11+H11*H11))</f>
        <v/>
      </c>
      <c r="J11" s="187">
        <f>IF(OR(I11="",I11=0),"", G11/I11)</f>
        <v/>
      </c>
      <c r="K11" s="187">
        <f>IF(OR(I11="",I11=0),"", H11/I11)</f>
        <v/>
      </c>
      <c r="L11" s="187">
        <f>IF(I11="","", $C$2)</f>
        <v/>
      </c>
      <c r="M11" s="187">
        <f>IF(I11="","", $C$5)</f>
        <v/>
      </c>
      <c r="N11" s="187">
        <f>IF(I11="","", $F$5)</f>
        <v/>
      </c>
      <c r="O11" s="187">
        <f>IF(OR(I11="",I11=0),"", L11*M11/I11)</f>
        <v/>
      </c>
      <c r="P11" s="187">
        <f>IF(OR(I11="",I11=0),"", 12*L11*N11/(I11^3))</f>
        <v/>
      </c>
      <c r="Q11" s="187">
        <f>IF(OR(I11="",I11=0),"", 6*L11*N11/(I11^2))</f>
        <v/>
      </c>
      <c r="R11" s="187">
        <f>IF(OR(I11="",I11=0),"", 4*L11*N11/I11)</f>
        <v/>
      </c>
      <c r="S11" s="187">
        <f>IF(OR(I11="",I11=0),"", 2*L11*N11/I11)</f>
        <v/>
      </c>
      <c r="AK11" s="187" t="n">
        <v>7</v>
      </c>
      <c r="AL11" s="187" t="n"/>
      <c r="AM11" s="187">
        <f>IF(AN11="","", AN11/100)</f>
        <v/>
      </c>
      <c r="AN11" s="187">
        <f>IF(I15="","", I15)</f>
        <v/>
      </c>
      <c r="AO11" s="187">
        <f>IF(AL11="","", AL11/100)</f>
        <v/>
      </c>
      <c r="AP11" s="187">
        <f>IF(AO11="","", (AO11*AN11)/2)</f>
        <v/>
      </c>
      <c r="AQ11" s="187" t="inlineStr">
        <is>
          <t>↑ (+)</t>
        </is>
      </c>
      <c r="AR11" s="187">
        <f>IF(AO11="","", +(AO11*(AN11^2))/12)</f>
        <v/>
      </c>
      <c r="AS11" s="187">
        <f>IF(AR11="","", AR11/100)</f>
        <v/>
      </c>
      <c r="AT11" s="187" t="inlineStr">
        <is>
          <t>↷ (+) Horario</t>
        </is>
      </c>
      <c r="AU11" s="187">
        <f>IF(AO11="","", (AO11*AN11)/2)</f>
        <v/>
      </c>
      <c r="AV11" s="187" t="inlineStr">
        <is>
          <t>↑ (+)</t>
        </is>
      </c>
      <c r="AW11" s="187">
        <f>IF(AO11="","", -(AO11*(AN11^2))/12)</f>
        <v/>
      </c>
      <c r="AX11" s="187">
        <f>IF(AW11="","", AW11/100)</f>
        <v/>
      </c>
      <c r="AY11" s="187" t="inlineStr">
        <is>
          <t>↺ (-) Antihorario</t>
        </is>
      </c>
    </row>
    <row r="12">
      <c r="B12" s="187" t="n">
        <v>4</v>
      </c>
      <c r="C12" s="187" t="n"/>
      <c r="D12" s="187" t="n"/>
      <c r="E12" s="187" t="n"/>
      <c r="F12" s="187" t="n"/>
      <c r="G12" s="187">
        <f>IF(OR(C12="",E12=""),"", E12-C12)</f>
        <v/>
      </c>
      <c r="H12" s="187">
        <f>IF(OR(D12="",F12=""),"", F12-D12)</f>
        <v/>
      </c>
      <c r="I12" s="187">
        <f>IF(OR(G12="",H12=""),"", SQRT(G12*G12+H12*H12))</f>
        <v/>
      </c>
      <c r="J12" s="187">
        <f>IF(OR(I12="",I12=0),"", G12/I12)</f>
        <v/>
      </c>
      <c r="K12" s="187">
        <f>IF(OR(I12="",I12=0),"", H12/I12)</f>
        <v/>
      </c>
      <c r="L12" s="187">
        <f>IF(I12="","", $C$2)</f>
        <v/>
      </c>
      <c r="M12" s="187">
        <f>IF(I12="","", $C$5)</f>
        <v/>
      </c>
      <c r="N12" s="187">
        <f>IF(I12="","", $F$5)</f>
        <v/>
      </c>
      <c r="O12" s="187">
        <f>IF(OR(I12="",I12=0),"", L12*M12/I12)</f>
        <v/>
      </c>
      <c r="P12" s="187">
        <f>IF(OR(I12="",I12=0),"", 12*L12*N12/(I12^3))</f>
        <v/>
      </c>
      <c r="Q12" s="187">
        <f>IF(OR(I12="",I12=0),"", 6*L12*N12/(I12^2))</f>
        <v/>
      </c>
      <c r="R12" s="187">
        <f>IF(OR(I12="",I12=0),"", 4*L12*N12/I12)</f>
        <v/>
      </c>
      <c r="S12" s="187">
        <f>IF(OR(I12="",I12=0),"", 2*L12*N12/I12)</f>
        <v/>
      </c>
      <c r="AK12" s="187" t="n">
        <v>8</v>
      </c>
      <c r="AL12" s="187" t="n"/>
      <c r="AM12" s="187">
        <f>IF(AN12="","", AN12/100)</f>
        <v/>
      </c>
      <c r="AN12" s="187">
        <f>IF(I16="","", I16)</f>
        <v/>
      </c>
      <c r="AO12" s="187">
        <f>IF(AL12="","", AL12/100)</f>
        <v/>
      </c>
      <c r="AP12" s="187">
        <f>IF(AO12="","", (AO12*AN12)/2)</f>
        <v/>
      </c>
      <c r="AQ12" s="187" t="inlineStr">
        <is>
          <t>↑ (+)</t>
        </is>
      </c>
      <c r="AR12" s="187">
        <f>IF(AO12="","", +(AO12*(AN12^2))/12)</f>
        <v/>
      </c>
      <c r="AS12" s="187">
        <f>IF(AR12="","", AR12/100)</f>
        <v/>
      </c>
      <c r="AT12" s="187" t="inlineStr">
        <is>
          <t>↷ (+) Horario</t>
        </is>
      </c>
      <c r="AU12" s="187">
        <f>IF(AO12="","", (AO12*AN12)/2)</f>
        <v/>
      </c>
      <c r="AV12" s="187" t="inlineStr">
        <is>
          <t>↑ (+)</t>
        </is>
      </c>
      <c r="AW12" s="187">
        <f>IF(AO12="","", -(AO12*(AN12^2))/12)</f>
        <v/>
      </c>
      <c r="AX12" s="187">
        <f>IF(AW12="","", AW12/100)</f>
        <v/>
      </c>
      <c r="AY12" s="187" t="inlineStr">
        <is>
          <t>↺ (-) Antihorario</t>
        </is>
      </c>
    </row>
    <row r="13">
      <c r="B13" s="187" t="n">
        <v>5</v>
      </c>
      <c r="C13" s="187" t="n"/>
      <c r="D13" s="187" t="n"/>
      <c r="E13" s="187" t="n"/>
      <c r="F13" s="187" t="n"/>
      <c r="G13" s="187">
        <f>IF(OR(C13="",E13=""),"", E13-C13)</f>
        <v/>
      </c>
      <c r="H13" s="187">
        <f>IF(OR(D13="",F13=""),"", F13-D13)</f>
        <v/>
      </c>
      <c r="I13" s="187">
        <f>IF(OR(G13="",H13=""),"", SQRT(G13*G13+H13*H13))</f>
        <v/>
      </c>
      <c r="J13" s="187">
        <f>IF(OR(I13="",I13=0),"", G13/I13)</f>
        <v/>
      </c>
      <c r="K13" s="187">
        <f>IF(OR(I13="",I13=0),"", H13/I13)</f>
        <v/>
      </c>
      <c r="L13" s="187">
        <f>IF(I13="","", $C$2)</f>
        <v/>
      </c>
      <c r="M13" s="187">
        <f>IF(I13="","", $C$5)</f>
        <v/>
      </c>
      <c r="N13" s="187">
        <f>IF(I13="","", $F$5)</f>
        <v/>
      </c>
      <c r="O13" s="187">
        <f>IF(OR(I13="",I13=0),"", L13*M13/I13)</f>
        <v/>
      </c>
      <c r="P13" s="187">
        <f>IF(OR(I13="",I13=0),"", 12*L13*N13/(I13^3))</f>
        <v/>
      </c>
      <c r="Q13" s="187">
        <f>IF(OR(I13="",I13=0),"", 6*L13*N13/(I13^2))</f>
        <v/>
      </c>
      <c r="R13" s="187">
        <f>IF(OR(I13="",I13=0),"", 4*L13*N13/I13)</f>
        <v/>
      </c>
      <c r="S13" s="187">
        <f>IF(OR(I13="",I13=0),"", 2*L13*N13/I13)</f>
        <v/>
      </c>
      <c r="AK13" s="187" t="n">
        <v>9</v>
      </c>
      <c r="AL13" s="187" t="n"/>
      <c r="AM13" s="187">
        <f>IF(AN13="","", AN13/100)</f>
        <v/>
      </c>
      <c r="AN13" s="187">
        <f>IF(I17="","", I17)</f>
        <v/>
      </c>
      <c r="AO13" s="187">
        <f>IF(AL13="","", AL13/100)</f>
        <v/>
      </c>
      <c r="AP13" s="187">
        <f>IF(AO13="","", (AO13*AN13)/2)</f>
        <v/>
      </c>
      <c r="AQ13" s="187" t="inlineStr">
        <is>
          <t>↑ (+)</t>
        </is>
      </c>
      <c r="AR13" s="187">
        <f>IF(AO13="","", +(AO13*(AN13^2))/12)</f>
        <v/>
      </c>
      <c r="AS13" s="187">
        <f>IF(AR13="","", AR13/100)</f>
        <v/>
      </c>
      <c r="AT13" s="187" t="inlineStr">
        <is>
          <t>↷ (+) Horario</t>
        </is>
      </c>
      <c r="AU13" s="187">
        <f>IF(AO13="","", (AO13*AN13)/2)</f>
        <v/>
      </c>
      <c r="AV13" s="187" t="inlineStr">
        <is>
          <t>↑ (+)</t>
        </is>
      </c>
      <c r="AW13" s="187">
        <f>IF(AO13="","", -(AO13*(AN13^2))/12)</f>
        <v/>
      </c>
      <c r="AX13" s="187">
        <f>IF(AW13="","", AW13/100)</f>
        <v/>
      </c>
      <c r="AY13" s="187" t="inlineStr">
        <is>
          <t>↺ (-) Antihorario</t>
        </is>
      </c>
    </row>
    <row r="14">
      <c r="B14" s="187" t="n">
        <v>6</v>
      </c>
      <c r="C14" s="187" t="n"/>
      <c r="D14" s="187" t="n"/>
      <c r="E14" s="187" t="n"/>
      <c r="F14" s="187" t="n"/>
      <c r="G14" s="187">
        <f>IF(OR(C14="",E14=""),"", E14-C14)</f>
        <v/>
      </c>
      <c r="H14" s="187">
        <f>IF(OR(D14="",F14=""),"", F14-D14)</f>
        <v/>
      </c>
      <c r="I14" s="187">
        <f>IF(OR(G14="",H14=""),"", SQRT(G14*G14+H14*H14))</f>
        <v/>
      </c>
      <c r="J14" s="187">
        <f>IF(OR(I14="",I14=0),"", G14/I14)</f>
        <v/>
      </c>
      <c r="K14" s="187">
        <f>IF(OR(I14="",I14=0),"", H14/I14)</f>
        <v/>
      </c>
      <c r="L14" s="187">
        <f>IF(I14="","", $C$2)</f>
        <v/>
      </c>
      <c r="M14" s="187">
        <f>IF(I14="","", $C$5)</f>
        <v/>
      </c>
      <c r="N14" s="187">
        <f>IF(I14="","", $F$5)</f>
        <v/>
      </c>
      <c r="O14" s="187">
        <f>IF(OR(I14="",I14=0),"", L14*M14/I14)</f>
        <v/>
      </c>
      <c r="P14" s="187">
        <f>IF(OR(I14="",I14=0),"", 12*L14*N14/(I14^3))</f>
        <v/>
      </c>
      <c r="Q14" s="187">
        <f>IF(OR(I14="",I14=0),"", 6*L14*N14/(I14^2))</f>
        <v/>
      </c>
      <c r="R14" s="187">
        <f>IF(OR(I14="",I14=0),"", 4*L14*N14/I14)</f>
        <v/>
      </c>
      <c r="S14" s="187">
        <f>IF(OR(I14="",I14=0),"", 2*L14*N14/I14)</f>
        <v/>
      </c>
      <c r="AK14" s="187" t="n">
        <v>10</v>
      </c>
      <c r="AL14" s="187" t="n"/>
      <c r="AM14" s="187">
        <f>IF(AN14="","", AN14/100)</f>
        <v/>
      </c>
      <c r="AN14" s="187">
        <f>IF(I18="","", I18)</f>
        <v/>
      </c>
      <c r="AO14" s="187">
        <f>IF(AL14="","", AL14/100)</f>
        <v/>
      </c>
      <c r="AP14" s="187">
        <f>IF(AO14="","", (AO14*AN14)/2)</f>
        <v/>
      </c>
      <c r="AQ14" s="187" t="inlineStr">
        <is>
          <t>↑ (+)</t>
        </is>
      </c>
      <c r="AR14" s="187">
        <f>IF(AO14="","", +(AO14*(AN14^2))/12)</f>
        <v/>
      </c>
      <c r="AS14" s="187">
        <f>IF(AR14="","", AR14/100)</f>
        <v/>
      </c>
      <c r="AT14" s="187" t="inlineStr">
        <is>
          <t>↷ (+) Horario</t>
        </is>
      </c>
      <c r="AU14" s="187">
        <f>IF(AO14="","", (AO14*AN14)/2)</f>
        <v/>
      </c>
      <c r="AV14" s="187" t="inlineStr">
        <is>
          <t>↑ (+)</t>
        </is>
      </c>
      <c r="AW14" s="187">
        <f>IF(AO14="","", -(AO14*(AN14^2))/12)</f>
        <v/>
      </c>
      <c r="AX14" s="187">
        <f>IF(AW14="","", AW14/100)</f>
        <v/>
      </c>
      <c r="AY14" s="187" t="inlineStr">
        <is>
          <t>↺ (-) Antihorario</t>
        </is>
      </c>
    </row>
    <row r="15">
      <c r="B15" s="187" t="n">
        <v>7</v>
      </c>
      <c r="C15" s="187" t="n"/>
      <c r="D15" s="187" t="n"/>
      <c r="E15" s="187" t="n"/>
      <c r="F15" s="187" t="n"/>
      <c r="G15" s="187">
        <f>IF(OR(C15="",E15=""),"", E15-C15)</f>
        <v/>
      </c>
      <c r="H15" s="187">
        <f>IF(OR(D15="",F15=""),"", F15-D15)</f>
        <v/>
      </c>
      <c r="I15" s="187">
        <f>IF(OR(G15="",H15=""),"", SQRT(G15*G15+H15*H15))</f>
        <v/>
      </c>
      <c r="J15" s="187">
        <f>IF(OR(I15="",I15=0),"", G15/I15)</f>
        <v/>
      </c>
      <c r="K15" s="187">
        <f>IF(OR(I15="",I15=0),"", H15/I15)</f>
        <v/>
      </c>
      <c r="L15" s="187">
        <f>IF(I15="","", $C$2)</f>
        <v/>
      </c>
      <c r="M15" s="187">
        <f>IF(I15="","", $C$5)</f>
        <v/>
      </c>
      <c r="N15" s="187">
        <f>IF(I15="","", $F$5)</f>
        <v/>
      </c>
      <c r="O15" s="187">
        <f>IF(OR(I15="",I15=0),"", L15*M15/I15)</f>
        <v/>
      </c>
      <c r="P15" s="187">
        <f>IF(OR(I15="",I15=0),"", 12*L15*N15/(I15^3))</f>
        <v/>
      </c>
      <c r="Q15" s="187">
        <f>IF(OR(I15="",I15=0),"", 6*L15*N15/(I15^2))</f>
        <v/>
      </c>
      <c r="R15" s="187">
        <f>IF(OR(I15="",I15=0),"", 4*L15*N15/I15)</f>
        <v/>
      </c>
      <c r="S15" s="187">
        <f>IF(OR(I15="",I15=0),"", 2*L15*N15/I15)</f>
        <v/>
      </c>
    </row>
    <row r="16">
      <c r="B16" s="187" t="n">
        <v>8</v>
      </c>
      <c r="C16" s="187" t="n"/>
      <c r="D16" s="187" t="n"/>
      <c r="E16" s="187" t="n"/>
      <c r="F16" s="187" t="n"/>
      <c r="G16" s="187">
        <f>IF(OR(C16="",E16=""),"", E16-C16)</f>
        <v/>
      </c>
      <c r="H16" s="187">
        <f>IF(OR(D16="",F16=""),"", F16-D16)</f>
        <v/>
      </c>
      <c r="I16" s="187">
        <f>IF(OR(G16="",H16=""),"", SQRT(G16*G16+H16*H16))</f>
        <v/>
      </c>
      <c r="J16" s="187">
        <f>IF(OR(I16="",I16=0),"", G16/I16)</f>
        <v/>
      </c>
      <c r="K16" s="187">
        <f>IF(OR(I16="",I16=0),"", H16/I16)</f>
        <v/>
      </c>
      <c r="L16" s="187">
        <f>IF(I16="","", $C$2)</f>
        <v/>
      </c>
      <c r="M16" s="187">
        <f>IF(I16="","", $C$5)</f>
        <v/>
      </c>
      <c r="N16" s="187">
        <f>IF(I16="","", $F$5)</f>
        <v/>
      </c>
      <c r="O16" s="187">
        <f>IF(OR(I16="",I16=0),"", L16*M16/I16)</f>
        <v/>
      </c>
      <c r="P16" s="187">
        <f>IF(OR(I16="",I16=0),"", 12*L16*N16/(I16^3))</f>
        <v/>
      </c>
      <c r="Q16" s="187">
        <f>IF(OR(I16="",I16=0),"", 6*L16*N16/(I16^2))</f>
        <v/>
      </c>
      <c r="R16" s="187">
        <f>IF(OR(I16="",I16=0),"", 4*L16*N16/I16)</f>
        <v/>
      </c>
      <c r="S16" s="187">
        <f>IF(OR(I16="",I16=0),"", 2*L16*N16/I16)</f>
        <v/>
      </c>
      <c r="AK16" s="56" t="inlineStr">
        <is>
          <t>VECTOR DE CARGAS NODALES EQUIVALENTES APLICADAS AL SISTEMA: {P_eq} = -{P_fijación}</t>
        </is>
      </c>
    </row>
    <row r="17" ht="26.4" customHeight="1" s="183">
      <c r="B17" s="187" t="n">
        <v>9</v>
      </c>
      <c r="C17" s="187" t="n"/>
      <c r="D17" s="187" t="n"/>
      <c r="E17" s="187" t="n"/>
      <c r="F17" s="187" t="n"/>
      <c r="G17" s="187">
        <f>IF(OR(C17="",E17=""),"", E17-C17)</f>
        <v/>
      </c>
      <c r="H17" s="187">
        <f>IF(OR(D17="",F17=""),"", F17-D17)</f>
        <v/>
      </c>
      <c r="I17" s="187">
        <f>IF(OR(G17="",H17=""),"", SQRT(G17*G17+H17*H17))</f>
        <v/>
      </c>
      <c r="J17" s="187">
        <f>IF(OR(I17="",I17=0),"", G17/I17)</f>
        <v/>
      </c>
      <c r="K17" s="187">
        <f>IF(OR(I17="",I17=0),"", H17/I17)</f>
        <v/>
      </c>
      <c r="L17" s="187">
        <f>IF(I17="","", $C$2)</f>
        <v/>
      </c>
      <c r="M17" s="187">
        <f>IF(I17="","", $C$5)</f>
        <v/>
      </c>
      <c r="N17" s="187">
        <f>IF(I17="","", $F$5)</f>
        <v/>
      </c>
      <c r="O17" s="187">
        <f>IF(OR(I17="",I17=0),"", L17*M17/I17)</f>
        <v/>
      </c>
      <c r="P17" s="187">
        <f>IF(OR(I17="",I17=0),"", 12*L17*N17/(I17^3))</f>
        <v/>
      </c>
      <c r="Q17" s="187">
        <f>IF(OR(I17="",I17=0),"", 6*L17*N17/(I17^2))</f>
        <v/>
      </c>
      <c r="R17" s="187">
        <f>IF(OR(I17="",I17=0),"", 4*L17*N17/I17)</f>
        <v/>
      </c>
      <c r="S17" s="187">
        <f>IF(OR(I17="",I17=0),"", 2*L17*N17/I17)</f>
        <v/>
      </c>
      <c r="AK17" s="58" t="inlineStr">
        <is>
          <t>Nudo</t>
        </is>
      </c>
      <c r="AL17" s="58" t="inlineStr">
        <is>
          <t>G.D.L. Y</t>
        </is>
      </c>
      <c r="AM17" s="58" t="inlineStr">
        <is>
          <t>Fuerza Py_eq (Kgf)</t>
        </is>
      </c>
      <c r="AN17" s="58" t="inlineStr">
        <is>
          <t>Fórmula</t>
        </is>
      </c>
      <c r="AO17" s="58" t="inlineStr">
        <is>
          <t>G.D.L. θ</t>
        </is>
      </c>
      <c r="AP17" s="58" t="inlineStr">
        <is>
          <t>Momento M_eq (Kgf.cm)</t>
        </is>
      </c>
      <c r="AQ17" s="58" t="inlineStr">
        <is>
          <t>M_eq (Kgf.m)</t>
        </is>
      </c>
      <c r="AR17" s="58" t="inlineStr">
        <is>
          <t>Fórmula</t>
        </is>
      </c>
      <c r="AS17" s="58" t="inlineStr">
        <is>
          <t>Efecto</t>
        </is>
      </c>
    </row>
    <row r="18">
      <c r="B18" s="187" t="n">
        <v>10</v>
      </c>
      <c r="C18" s="187" t="n"/>
      <c r="D18" s="187" t="n"/>
      <c r="E18" s="187" t="n"/>
      <c r="F18" s="187" t="n"/>
      <c r="G18" s="187">
        <f>IF(OR(C18="",E18=""),"", E18-C18)</f>
        <v/>
      </c>
      <c r="H18" s="187">
        <f>IF(OR(D18="",F18=""),"", F18-D18)</f>
        <v/>
      </c>
      <c r="I18" s="187">
        <f>IF(OR(G18="",H18=""),"", SQRT(G18*G18+H18*H18))</f>
        <v/>
      </c>
      <c r="J18" s="187">
        <f>IF(OR(I18="",I18=0),"", G18/I18)</f>
        <v/>
      </c>
      <c r="K18" s="187">
        <f>IF(OR(I18="",I18=0),"", H18/I18)</f>
        <v/>
      </c>
      <c r="L18" s="187">
        <f>IF(I18="","", $C$2)</f>
        <v/>
      </c>
      <c r="M18" s="187">
        <f>IF(I18="","", $C$5)</f>
        <v/>
      </c>
      <c r="N18" s="187">
        <f>IF(I18="","", $F$5)</f>
        <v/>
      </c>
      <c r="O18" s="187">
        <f>IF(OR(I18="",I18=0),"", L18*M18/I18)</f>
        <v/>
      </c>
      <c r="P18" s="187">
        <f>IF(OR(I18="",I18=0),"", 12*L18*N18/(I18^3))</f>
        <v/>
      </c>
      <c r="Q18" s="187">
        <f>IF(OR(I18="",I18=0),"", 6*L18*N18/(I18^2))</f>
        <v/>
      </c>
      <c r="R18" s="187">
        <f>IF(OR(I18="",I18=0),"", 4*L18*N18/I18)</f>
        <v/>
      </c>
      <c r="S18" s="187">
        <f>IF(OR(I18="",I18=0),"", 2*L18*N18/I18)</f>
        <v/>
      </c>
      <c r="AK18" s="186" t="inlineStr">
        <is>
          <t>Nudo 1</t>
        </is>
      </c>
      <c r="AL18" s="187" t="inlineStr">
        <is>
          <t>U1Y</t>
        </is>
      </c>
      <c r="AM18" s="187">
        <f>IF(AP5="","", -AP5)</f>
        <v/>
      </c>
      <c r="AN18" s="187" t="inlineStr">
        <is>
          <t>-Vi,1</t>
        </is>
      </c>
      <c r="AO18" s="187" t="inlineStr">
        <is>
          <t>U1θ</t>
        </is>
      </c>
      <c r="AP18" s="187">
        <f>IF(AR5="","", -AR5)</f>
        <v/>
      </c>
      <c r="AQ18" s="187">
        <f>IF(AP18="","", AP18/100)</f>
        <v/>
      </c>
      <c r="AR18" s="187" t="inlineStr">
        <is>
          <t>-Mi,1</t>
        </is>
      </c>
      <c r="AS18" s="187" t="inlineStr">
        <is>
          <t>Extremo Inicial</t>
        </is>
      </c>
    </row>
    <row r="19">
      <c r="AK19" s="186" t="inlineStr">
        <is>
          <t>Nudo 2</t>
        </is>
      </c>
      <c r="AL19" s="187" t="inlineStr">
        <is>
          <t>U2Y</t>
        </is>
      </c>
      <c r="AM19" s="187">
        <f>IF(AND(AU5="",AP6=""), "", -(N(AU5) + N(AP6)))</f>
        <v/>
      </c>
      <c r="AN19" s="187" t="inlineStr">
        <is>
          <t>-(Vj,1 + Vi,2)</t>
        </is>
      </c>
      <c r="AO19" s="187" t="inlineStr">
        <is>
          <t>U2θ</t>
        </is>
      </c>
      <c r="AP19" s="187">
        <f>IF(AND(AW5="",AR6=""), "", -(N(AW5) + N(AR6)))</f>
        <v/>
      </c>
      <c r="AQ19" s="187">
        <f>IF(AP19="","", AP19/100)</f>
        <v/>
      </c>
      <c r="AR19" s="187" t="inlineStr">
        <is>
          <t>-(Mj,1 + Mi,2)</t>
        </is>
      </c>
      <c r="AS19" s="187" t="inlineStr">
        <is>
          <t>Nudo Interior 2</t>
        </is>
      </c>
    </row>
    <row r="20">
      <c r="B20" s="51" t="inlineStr">
        <is>
          <t>Barra</t>
        </is>
      </c>
      <c r="C20" s="51" t="inlineStr">
        <is>
          <t>INICIO</t>
        </is>
      </c>
      <c r="D20" s="190" t="n"/>
      <c r="E20" s="191" t="n"/>
      <c r="F20" s="51" t="inlineStr">
        <is>
          <t>FIN</t>
        </is>
      </c>
      <c r="G20" s="190" t="n"/>
      <c r="H20" s="191" t="n"/>
      <c r="AK20" s="186" t="inlineStr">
        <is>
          <t>Nudo 3</t>
        </is>
      </c>
      <c r="AL20" s="187" t="inlineStr">
        <is>
          <t>U3Y</t>
        </is>
      </c>
      <c r="AM20" s="187">
        <f>IF(AND(AU6="",AP7=""), "", -(N(AU6) + N(AP7)))</f>
        <v/>
      </c>
      <c r="AN20" s="187" t="inlineStr">
        <is>
          <t>-(Vj,2 + Vi,3)</t>
        </is>
      </c>
      <c r="AO20" s="187" t="inlineStr">
        <is>
          <t>U3θ</t>
        </is>
      </c>
      <c r="AP20" s="187">
        <f>IF(AND(AW6="",AR7=""), "", -(N(AW6) + N(AR7)))</f>
        <v/>
      </c>
      <c r="AQ20" s="187">
        <f>IF(AP20="","", AP20/100)</f>
        <v/>
      </c>
      <c r="AR20" s="187" t="inlineStr">
        <is>
          <t>-(Mj,2 + Mi,3)</t>
        </is>
      </c>
      <c r="AS20" s="187" t="inlineStr">
        <is>
          <t>Nudo Interior 3</t>
        </is>
      </c>
    </row>
    <row r="21">
      <c r="B21" s="192" t="n"/>
      <c r="C21" s="51" t="inlineStr">
        <is>
          <t>X</t>
        </is>
      </c>
      <c r="D21" s="51" t="inlineStr">
        <is>
          <t>Y</t>
        </is>
      </c>
      <c r="E21" s="51" t="inlineStr">
        <is>
          <t>θ</t>
        </is>
      </c>
      <c r="F21" s="51" t="inlineStr">
        <is>
          <t>X</t>
        </is>
      </c>
      <c r="G21" s="51" t="inlineStr">
        <is>
          <t>Y</t>
        </is>
      </c>
      <c r="H21" s="51" t="inlineStr">
        <is>
          <t>θ</t>
        </is>
      </c>
      <c r="AK21" s="186" t="inlineStr">
        <is>
          <t>Nudo 4</t>
        </is>
      </c>
      <c r="AL21" s="187" t="inlineStr">
        <is>
          <t>U4Y</t>
        </is>
      </c>
      <c r="AM21" s="187">
        <f>IF(AND(AU7="",AP8=""), "", -(N(AU7) + N(AP8)))</f>
        <v/>
      </c>
      <c r="AN21" s="187" t="inlineStr">
        <is>
          <t>-(Vj,3 + Vi,4)</t>
        </is>
      </c>
      <c r="AO21" s="187" t="inlineStr">
        <is>
          <t>U4θ</t>
        </is>
      </c>
      <c r="AP21" s="187">
        <f>IF(AND(AW7="",AR8=""), "", -(N(AW7) + N(AR8)))</f>
        <v/>
      </c>
      <c r="AQ21" s="187">
        <f>IF(AP21="","", AP21/100)</f>
        <v/>
      </c>
      <c r="AR21" s="187" t="inlineStr">
        <is>
          <t>-(Mj,3 + Mi,4)</t>
        </is>
      </c>
      <c r="AS21" s="187" t="inlineStr">
        <is>
          <t>Nudo Interior 4</t>
        </is>
      </c>
    </row>
    <row r="22">
      <c r="B22" s="187" t="n">
        <v>1</v>
      </c>
      <c r="C22" s="187">
        <f>IF(I9="","", 1)</f>
        <v/>
      </c>
      <c r="D22" s="187">
        <f>IF(I9="","", 1)</f>
        <v/>
      </c>
      <c r="E22" s="187">
        <f>IF(I9="","", 1)</f>
        <v/>
      </c>
      <c r="F22" s="187">
        <f>IF(I9="","", 2)</f>
        <v/>
      </c>
      <c r="G22" s="187">
        <f>IF(I9="","", 2)</f>
        <v/>
      </c>
      <c r="H22" s="187">
        <f>IF(I9="","", 2)</f>
        <v/>
      </c>
      <c r="AK22" s="186" t="inlineStr">
        <is>
          <t>Nudo 5</t>
        </is>
      </c>
      <c r="AL22" s="187" t="inlineStr">
        <is>
          <t>U5Y</t>
        </is>
      </c>
      <c r="AM22" s="187">
        <f>IF(AND(AU8="",AP9=""), "", -(N(AU8) + N(AP9)))</f>
        <v/>
      </c>
      <c r="AN22" s="187" t="inlineStr">
        <is>
          <t>-(Vj,4 + Vi,5)</t>
        </is>
      </c>
      <c r="AO22" s="187" t="inlineStr">
        <is>
          <t>U5θ</t>
        </is>
      </c>
      <c r="AP22" s="187">
        <f>IF(AND(AW8="",AR9=""), "", -(N(AW8) + N(AR9)))</f>
        <v/>
      </c>
      <c r="AQ22" s="187">
        <f>IF(AP22="","", AP22/100)</f>
        <v/>
      </c>
      <c r="AR22" s="187" t="inlineStr">
        <is>
          <t>-(Mj,4 + Mi,5)</t>
        </is>
      </c>
      <c r="AS22" s="187" t="inlineStr">
        <is>
          <t>Nudo Interior 5</t>
        </is>
      </c>
    </row>
    <row r="23">
      <c r="B23" s="187" t="n">
        <v>2</v>
      </c>
      <c r="C23" s="187">
        <f>IF(I10="","", 2)</f>
        <v/>
      </c>
      <c r="D23" s="187">
        <f>IF(I10="","", 2)</f>
        <v/>
      </c>
      <c r="E23" s="187">
        <f>IF(I10="","", 2)</f>
        <v/>
      </c>
      <c r="F23" s="187">
        <f>IF(I10="","", 3)</f>
        <v/>
      </c>
      <c r="G23" s="187">
        <f>IF(I10="","", 3)</f>
        <v/>
      </c>
      <c r="H23" s="187">
        <f>IF(I10="","", 3)</f>
        <v/>
      </c>
      <c r="AK23" s="186" t="inlineStr">
        <is>
          <t>Nudo 6</t>
        </is>
      </c>
      <c r="AL23" s="187" t="inlineStr">
        <is>
          <t>U6Y</t>
        </is>
      </c>
      <c r="AM23" s="187">
        <f>IF(AND(AU9="",AP10=""), "", -(N(AU9) + N(AP10)))</f>
        <v/>
      </c>
      <c r="AN23" s="187" t="inlineStr">
        <is>
          <t>-(Vj,5 + Vi,6)</t>
        </is>
      </c>
      <c r="AO23" s="187" t="inlineStr">
        <is>
          <t>U6θ</t>
        </is>
      </c>
      <c r="AP23" s="187">
        <f>IF(AND(AW9="",AR10=""), "", -(N(AW9) + N(AR10)))</f>
        <v/>
      </c>
      <c r="AQ23" s="187">
        <f>IF(AP23="","", AP23/100)</f>
        <v/>
      </c>
      <c r="AR23" s="187" t="inlineStr">
        <is>
          <t>-(Mj,5 + Mi,6)</t>
        </is>
      </c>
      <c r="AS23" s="187" t="inlineStr">
        <is>
          <t>Nudo Interior 6</t>
        </is>
      </c>
    </row>
    <row r="24">
      <c r="B24" s="187" t="n">
        <v>3</v>
      </c>
      <c r="C24" s="187">
        <f>IF(I11="","", 3)</f>
        <v/>
      </c>
      <c r="D24" s="187">
        <f>IF(I11="","", 3)</f>
        <v/>
      </c>
      <c r="E24" s="187">
        <f>IF(I11="","", 3)</f>
        <v/>
      </c>
      <c r="F24" s="187">
        <f>IF(I11="","", 4)</f>
        <v/>
      </c>
      <c r="G24" s="187">
        <f>IF(I11="","", 4)</f>
        <v/>
      </c>
      <c r="H24" s="187">
        <f>IF(I11="","", 4)</f>
        <v/>
      </c>
      <c r="AK24" s="186" t="inlineStr">
        <is>
          <t>Nudo 7</t>
        </is>
      </c>
      <c r="AL24" s="187" t="inlineStr">
        <is>
          <t>U7Y</t>
        </is>
      </c>
      <c r="AM24" s="187">
        <f>IF(AND(AU10="",AP11=""), "", -(N(AU10) + N(AP11)))</f>
        <v/>
      </c>
      <c r="AN24" s="187" t="inlineStr">
        <is>
          <t>-(Vj,6 + Vi,7)</t>
        </is>
      </c>
      <c r="AO24" s="187" t="inlineStr">
        <is>
          <t>U7θ</t>
        </is>
      </c>
      <c r="AP24" s="187">
        <f>IF(AND(AW10="",AR11=""), "", -(N(AW10) + N(AR11)))</f>
        <v/>
      </c>
      <c r="AQ24" s="187">
        <f>IF(AP24="","", AP24/100)</f>
        <v/>
      </c>
      <c r="AR24" s="187" t="inlineStr">
        <is>
          <t>-(Mj,6 + Mi,7)</t>
        </is>
      </c>
      <c r="AS24" s="187" t="inlineStr">
        <is>
          <t>Nudo Interior 7</t>
        </is>
      </c>
    </row>
    <row r="25">
      <c r="B25" s="187" t="n">
        <v>4</v>
      </c>
      <c r="C25" s="187">
        <f>IF(I12="","", 4)</f>
        <v/>
      </c>
      <c r="D25" s="187">
        <f>IF(I12="","", 4)</f>
        <v/>
      </c>
      <c r="E25" s="187">
        <f>IF(I12="","", 4)</f>
        <v/>
      </c>
      <c r="F25" s="187">
        <f>IF(I12="","", 5)</f>
        <v/>
      </c>
      <c r="G25" s="187">
        <f>IF(I12="","", 5)</f>
        <v/>
      </c>
      <c r="H25" s="187">
        <f>IF(I12="","", 5)</f>
        <v/>
      </c>
      <c r="AK25" s="186" t="inlineStr">
        <is>
          <t>Nudo 8</t>
        </is>
      </c>
      <c r="AL25" s="187" t="inlineStr">
        <is>
          <t>U8Y</t>
        </is>
      </c>
      <c r="AM25" s="187">
        <f>IF(AND(AU11="",AP12=""), "", -(N(AU11) + N(AP12)))</f>
        <v/>
      </c>
      <c r="AN25" s="187" t="inlineStr">
        <is>
          <t>-(Vj,7 + Vi,8)</t>
        </is>
      </c>
      <c r="AO25" s="187" t="inlineStr">
        <is>
          <t>U8θ</t>
        </is>
      </c>
      <c r="AP25" s="187">
        <f>IF(AND(AW11="",AR12=""), "", -(N(AW11) + N(AR12)))</f>
        <v/>
      </c>
      <c r="AQ25" s="187">
        <f>IF(AP25="","", AP25/100)</f>
        <v/>
      </c>
      <c r="AR25" s="187" t="inlineStr">
        <is>
          <t>-(Mj,7 + Mi,8)</t>
        </is>
      </c>
      <c r="AS25" s="187" t="inlineStr">
        <is>
          <t>Nudo Interior 8</t>
        </is>
      </c>
    </row>
    <row r="26">
      <c r="B26" s="187" t="n">
        <v>5</v>
      </c>
      <c r="C26" s="187">
        <f>IF(I13="","", 5)</f>
        <v/>
      </c>
      <c r="D26" s="187">
        <f>IF(I13="","", 5)</f>
        <v/>
      </c>
      <c r="E26" s="187">
        <f>IF(I13="","", 5)</f>
        <v/>
      </c>
      <c r="F26" s="187">
        <f>IF(I13="","", 6)</f>
        <v/>
      </c>
      <c r="G26" s="187">
        <f>IF(I13="","", 6)</f>
        <v/>
      </c>
      <c r="H26" s="187">
        <f>IF(I13="","", 6)</f>
        <v/>
      </c>
      <c r="AK26" s="186" t="inlineStr">
        <is>
          <t>Nudo 9</t>
        </is>
      </c>
      <c r="AL26" s="187" t="inlineStr">
        <is>
          <t>U9Y</t>
        </is>
      </c>
      <c r="AM26" s="187">
        <f>IF(AND(AU12="",AP13=""), "", -(N(AU12) + N(AP13)))</f>
        <v/>
      </c>
      <c r="AN26" s="187" t="inlineStr">
        <is>
          <t>-(Vj,8 + Vi,9)</t>
        </is>
      </c>
      <c r="AO26" s="187" t="inlineStr">
        <is>
          <t>U9θ</t>
        </is>
      </c>
      <c r="AP26" s="187">
        <f>IF(AND(AW12="",AR13=""), "", -(N(AW12) + N(AR13)))</f>
        <v/>
      </c>
      <c r="AQ26" s="187">
        <f>IF(AP26="","", AP26/100)</f>
        <v/>
      </c>
      <c r="AR26" s="187" t="inlineStr">
        <is>
          <t>-(Mj,8 + Mi,9)</t>
        </is>
      </c>
      <c r="AS26" s="187" t="inlineStr">
        <is>
          <t>Nudo Interior 9</t>
        </is>
      </c>
    </row>
    <row r="27">
      <c r="B27" s="187" t="n">
        <v>6</v>
      </c>
      <c r="C27" s="187">
        <f>IF(I14="","", 6)</f>
        <v/>
      </c>
      <c r="D27" s="187">
        <f>IF(I14="","", 6)</f>
        <v/>
      </c>
      <c r="E27" s="187">
        <f>IF(I14="","", 6)</f>
        <v/>
      </c>
      <c r="F27" s="187">
        <f>IF(I14="","", 7)</f>
        <v/>
      </c>
      <c r="G27" s="187">
        <f>IF(I14="","", 7)</f>
        <v/>
      </c>
      <c r="H27" s="187">
        <f>IF(I14="","", 7)</f>
        <v/>
      </c>
      <c r="AK27" s="186" t="inlineStr">
        <is>
          <t>Nudo 10</t>
        </is>
      </c>
      <c r="AL27" s="187" t="inlineStr">
        <is>
          <t>U10Y</t>
        </is>
      </c>
      <c r="AM27" s="187">
        <f>IF(AND(AU13="",AP14=""), "", -(N(AU13) + N(AP14)))</f>
        <v/>
      </c>
      <c r="AN27" s="187" t="inlineStr">
        <is>
          <t>-(Vj,9 + Vi,10)</t>
        </is>
      </c>
      <c r="AO27" s="187" t="inlineStr">
        <is>
          <t>U10θ</t>
        </is>
      </c>
      <c r="AP27" s="187">
        <f>IF(AND(AW13="",AR14=""), "", -(N(AW13) + N(AR14)))</f>
        <v/>
      </c>
      <c r="AQ27" s="187">
        <f>IF(AP27="","", AP27/100)</f>
        <v/>
      </c>
      <c r="AR27" s="187" t="inlineStr">
        <is>
          <t>-(Mj,9 + Mi,10)</t>
        </is>
      </c>
      <c r="AS27" s="187" t="inlineStr">
        <is>
          <t>Nudo Interior 10</t>
        </is>
      </c>
    </row>
    <row r="28">
      <c r="B28" s="187" t="n">
        <v>7</v>
      </c>
      <c r="C28" s="187">
        <f>IF(I15="","", 7)</f>
        <v/>
      </c>
      <c r="D28" s="187">
        <f>IF(I15="","", 7)</f>
        <v/>
      </c>
      <c r="E28" s="187">
        <f>IF(I15="","", 7)</f>
        <v/>
      </c>
      <c r="F28" s="187">
        <f>IF(I15="","", 8)</f>
        <v/>
      </c>
      <c r="G28" s="187">
        <f>IF(I15="","", 8)</f>
        <v/>
      </c>
      <c r="H28" s="187">
        <f>IF(I15="","", 8)</f>
        <v/>
      </c>
      <c r="AK28" s="186" t="inlineStr">
        <is>
          <t>Nudo 11</t>
        </is>
      </c>
      <c r="AL28" s="187" t="inlineStr">
        <is>
          <t>U11Y</t>
        </is>
      </c>
      <c r="AM28" s="187">
        <f>IF(AU14="","", -AU14)</f>
        <v/>
      </c>
      <c r="AN28" s="187" t="inlineStr">
        <is>
          <t>-Vj,10</t>
        </is>
      </c>
      <c r="AO28" s="187" t="inlineStr">
        <is>
          <t>U11θ</t>
        </is>
      </c>
      <c r="AP28" s="187">
        <f>IF(AW14="","", -AW14)</f>
        <v/>
      </c>
      <c r="AQ28" s="187">
        <f>IF(AP28="","", AP28/100)</f>
        <v/>
      </c>
      <c r="AR28" s="187" t="inlineStr">
        <is>
          <t>-Mj,10</t>
        </is>
      </c>
      <c r="AS28" s="187" t="inlineStr">
        <is>
          <t>Extremo Final</t>
        </is>
      </c>
    </row>
    <row r="29">
      <c r="B29" s="187" t="n">
        <v>8</v>
      </c>
      <c r="C29" s="187">
        <f>IF(I16="","", 8)</f>
        <v/>
      </c>
      <c r="D29" s="187">
        <f>IF(I16="","", 8)</f>
        <v/>
      </c>
      <c r="E29" s="187">
        <f>IF(I16="","", 8)</f>
        <v/>
      </c>
      <c r="F29" s="187">
        <f>IF(I16="","", 9)</f>
        <v/>
      </c>
      <c r="G29" s="187">
        <f>IF(I16="","", 9)</f>
        <v/>
      </c>
      <c r="H29" s="187">
        <f>IF(I16="","", 9)</f>
        <v/>
      </c>
    </row>
    <row r="30">
      <c r="B30" s="187" t="n">
        <v>9</v>
      </c>
      <c r="C30" s="187">
        <f>IF(I17="","", 9)</f>
        <v/>
      </c>
      <c r="D30" s="187">
        <f>IF(I17="","", 9)</f>
        <v/>
      </c>
      <c r="E30" s="187">
        <f>IF(I17="","", 9)</f>
        <v/>
      </c>
      <c r="F30" s="187">
        <f>IF(I17="","", 10)</f>
        <v/>
      </c>
      <c r="G30" s="187">
        <f>IF(I17="","", 10)</f>
        <v/>
      </c>
      <c r="H30" s="187">
        <f>IF(I17="","", 10)</f>
        <v/>
      </c>
    </row>
    <row r="31">
      <c r="B31" s="187" t="n">
        <v>10</v>
      </c>
      <c r="C31" s="187">
        <f>IF(I18="","", 10)</f>
        <v/>
      </c>
      <c r="D31" s="187">
        <f>IF(I18="","", 10)</f>
        <v/>
      </c>
      <c r="E31" s="187">
        <f>IF(I18="","", 10)</f>
        <v/>
      </c>
      <c r="F31" s="187">
        <f>IF(I18="","", 11)</f>
        <v/>
      </c>
      <c r="G31" s="187">
        <f>IF(I18="","", 11)</f>
        <v/>
      </c>
      <c r="H31" s="187">
        <f>IF(I18="","", 11)</f>
        <v/>
      </c>
    </row>
    <row r="34">
      <c r="B34" s="51">
        <f>IF(C22="","", CONCATENATE("U",C22,C$21))</f>
        <v/>
      </c>
      <c r="C34" s="51">
        <f>IF(D22="","", CONCATENATE("U",D22,D$21))</f>
        <v/>
      </c>
      <c r="D34" s="51">
        <f>IF(E22="","", CONCATENATE("U",E22,E$21))</f>
        <v/>
      </c>
      <c r="E34" s="51">
        <f>IF(F22="","", CONCATENATE("U",F22,F$21))</f>
        <v/>
      </c>
      <c r="F34" s="51">
        <f>IF(G22="","", CONCATENATE("U",G22,G$21))</f>
        <v/>
      </c>
      <c r="G34" s="51">
        <f>IF(H22="","", CONCATENATE("U",H22,H$21))</f>
        <v/>
      </c>
    </row>
    <row r="35">
      <c r="B35" s="8">
        <f>IF(I9="", 0, O9*J9*J9+P9*K9*K9)</f>
        <v/>
      </c>
      <c r="C35" s="189">
        <f>IF(I9="", 0, (O9-P9)*(J9*K9))</f>
        <v/>
      </c>
      <c r="D35" s="189">
        <f>IF(I9="", 0, -Q9*K9)</f>
        <v/>
      </c>
      <c r="E35" s="189">
        <f>-B35</f>
        <v/>
      </c>
      <c r="F35" s="189">
        <f>-C35</f>
        <v/>
      </c>
      <c r="G35" s="189">
        <f>D35</f>
        <v/>
      </c>
      <c r="H35" s="51">
        <f>B34</f>
        <v/>
      </c>
    </row>
    <row r="36">
      <c r="B36" s="189">
        <f>C35</f>
        <v/>
      </c>
      <c r="C36" s="8">
        <f>IF(I9="", 0, O9*K9*K9+P9*J9*J9)</f>
        <v/>
      </c>
      <c r="D36" s="189">
        <f>IF(I9="", 0, Q9*J9)</f>
        <v/>
      </c>
      <c r="E36" s="189">
        <f>-B36</f>
        <v/>
      </c>
      <c r="F36" s="189">
        <f>-C36</f>
        <v/>
      </c>
      <c r="G36" s="189">
        <f>D36</f>
        <v/>
      </c>
      <c r="H36" s="51">
        <f>C34</f>
        <v/>
      </c>
    </row>
    <row r="37">
      <c r="A37" s="118" t="inlineStr">
        <is>
          <t>K1 =</t>
        </is>
      </c>
      <c r="B37" s="189">
        <f>D35</f>
        <v/>
      </c>
      <c r="C37" s="189">
        <f>D36</f>
        <v/>
      </c>
      <c r="D37" s="8">
        <f>IF(I9="", 0, R9)</f>
        <v/>
      </c>
      <c r="E37" s="189">
        <f>-B37</f>
        <v/>
      </c>
      <c r="F37" s="189">
        <f>-C37</f>
        <v/>
      </c>
      <c r="G37" s="189">
        <f>IF(I9="", 0, S9)</f>
        <v/>
      </c>
      <c r="H37" s="51">
        <f>D34</f>
        <v/>
      </c>
    </row>
    <row r="38">
      <c r="B38" s="189">
        <f>E35</f>
        <v/>
      </c>
      <c r="C38" s="189">
        <f>E36</f>
        <v/>
      </c>
      <c r="D38" s="189">
        <f>E37</f>
        <v/>
      </c>
      <c r="E38" s="8">
        <f>B35</f>
        <v/>
      </c>
      <c r="F38" s="189">
        <f>C35</f>
        <v/>
      </c>
      <c r="G38" s="189">
        <f>-D35</f>
        <v/>
      </c>
      <c r="H38" s="51">
        <f>E34</f>
        <v/>
      </c>
    </row>
    <row r="39">
      <c r="B39" s="189">
        <f>F35</f>
        <v/>
      </c>
      <c r="C39" s="189">
        <f>F36</f>
        <v/>
      </c>
      <c r="D39" s="189">
        <f>F37</f>
        <v/>
      </c>
      <c r="E39" s="189">
        <f>F38</f>
        <v/>
      </c>
      <c r="F39" s="8">
        <f>C36</f>
        <v/>
      </c>
      <c r="G39" s="189">
        <f>-D36</f>
        <v/>
      </c>
      <c r="H39" s="51">
        <f>F34</f>
        <v/>
      </c>
    </row>
    <row r="40">
      <c r="B40" s="189">
        <f>G35</f>
        <v/>
      </c>
      <c r="C40" s="189">
        <f>G36</f>
        <v/>
      </c>
      <c r="D40" s="189">
        <f>G37</f>
        <v/>
      </c>
      <c r="E40" s="189">
        <f>G38</f>
        <v/>
      </c>
      <c r="F40" s="189">
        <f>G39</f>
        <v/>
      </c>
      <c r="G40" s="8">
        <f>D37</f>
        <v/>
      </c>
      <c r="H40" s="51">
        <f>G34</f>
        <v/>
      </c>
    </row>
    <row r="42">
      <c r="B42" s="51" t="inlineStr">
        <is>
          <t>U1X</t>
        </is>
      </c>
      <c r="C42" s="51" t="inlineStr">
        <is>
          <t>U1Y</t>
        </is>
      </c>
      <c r="D42" s="51" t="inlineStr">
        <is>
          <t>U1θ</t>
        </is>
      </c>
      <c r="E42" s="51" t="inlineStr">
        <is>
          <t>U2X</t>
        </is>
      </c>
      <c r="F42" s="51" t="inlineStr">
        <is>
          <t>U2Y</t>
        </is>
      </c>
      <c r="G42" s="51" t="inlineStr">
        <is>
          <t>U2θ</t>
        </is>
      </c>
      <c r="H42" s="51" t="inlineStr">
        <is>
          <t>U3X</t>
        </is>
      </c>
      <c r="I42" s="51" t="inlineStr">
        <is>
          <t>U3Y</t>
        </is>
      </c>
      <c r="J42" s="51" t="inlineStr">
        <is>
          <t>U3θ</t>
        </is>
      </c>
      <c r="K42" s="51" t="inlineStr">
        <is>
          <t>U4X</t>
        </is>
      </c>
      <c r="L42" s="51" t="inlineStr">
        <is>
          <t>U4Y</t>
        </is>
      </c>
      <c r="M42" s="51" t="inlineStr">
        <is>
          <t>U4θ</t>
        </is>
      </c>
      <c r="N42" s="51" t="inlineStr">
        <is>
          <t>U5X</t>
        </is>
      </c>
      <c r="O42" s="51" t="inlineStr">
        <is>
          <t>U5Y</t>
        </is>
      </c>
      <c r="P42" s="51" t="inlineStr">
        <is>
          <t>U5θ</t>
        </is>
      </c>
      <c r="Q42" s="51" t="inlineStr">
        <is>
          <t>U6X</t>
        </is>
      </c>
      <c r="R42" s="51" t="inlineStr">
        <is>
          <t>U6Y</t>
        </is>
      </c>
      <c r="S42" s="51" t="inlineStr">
        <is>
          <t>U6θ</t>
        </is>
      </c>
      <c r="T42" s="51" t="inlineStr">
        <is>
          <t>U7X</t>
        </is>
      </c>
      <c r="U42" s="51" t="inlineStr">
        <is>
          <t>U7Y</t>
        </is>
      </c>
      <c r="V42" s="51" t="inlineStr">
        <is>
          <t>U7θ</t>
        </is>
      </c>
      <c r="W42" s="51" t="inlineStr">
        <is>
          <t>U8X</t>
        </is>
      </c>
      <c r="X42" s="51" t="inlineStr">
        <is>
          <t>U8Y</t>
        </is>
      </c>
      <c r="Y42" s="51" t="inlineStr">
        <is>
          <t>U8θ</t>
        </is>
      </c>
      <c r="Z42" s="51" t="inlineStr">
        <is>
          <t>U9X</t>
        </is>
      </c>
      <c r="AA42" s="51" t="inlineStr">
        <is>
          <t>U9Y</t>
        </is>
      </c>
      <c r="AB42" s="51" t="inlineStr">
        <is>
          <t>U9θ</t>
        </is>
      </c>
      <c r="AC42" s="51" t="inlineStr">
        <is>
          <t>U10X</t>
        </is>
      </c>
      <c r="AD42" s="51" t="inlineStr">
        <is>
          <t>U10Y</t>
        </is>
      </c>
      <c r="AE42" s="51" t="inlineStr">
        <is>
          <t>U10θ</t>
        </is>
      </c>
      <c r="AF42" s="51" t="inlineStr">
        <is>
          <t>U11X</t>
        </is>
      </c>
      <c r="AG42" s="51" t="inlineStr">
        <is>
          <t>U11Y</t>
        </is>
      </c>
      <c r="AH42" s="51" t="inlineStr">
        <is>
          <t>U11θ</t>
        </is>
      </c>
    </row>
    <row r="43">
      <c r="B43" s="189">
        <f>B35</f>
        <v/>
      </c>
      <c r="C43" s="189">
        <f>C35</f>
        <v/>
      </c>
      <c r="D43" s="189">
        <f>D35</f>
        <v/>
      </c>
      <c r="E43" s="189">
        <f>E35</f>
        <v/>
      </c>
      <c r="F43" s="189">
        <f>F35</f>
        <v/>
      </c>
      <c r="G43" s="189">
        <f>G35</f>
        <v/>
      </c>
      <c r="H43" s="189" t="n"/>
      <c r="I43" s="189" t="n"/>
      <c r="J43" s="189" t="n"/>
      <c r="K43" s="189" t="n"/>
      <c r="L43" s="189" t="n"/>
      <c r="M43" s="189" t="n"/>
      <c r="N43" s="189" t="n"/>
      <c r="O43" s="189" t="n"/>
      <c r="P43" s="189" t="n"/>
      <c r="Q43" s="189" t="n"/>
      <c r="R43" s="189" t="n"/>
      <c r="S43" s="189" t="n"/>
      <c r="T43" s="189" t="n"/>
      <c r="U43" s="189" t="n"/>
      <c r="V43" s="189" t="n"/>
      <c r="W43" s="189" t="n"/>
      <c r="X43" s="189" t="n"/>
      <c r="Y43" s="189" t="n"/>
      <c r="Z43" s="189" t="n"/>
      <c r="AA43" s="189" t="n"/>
      <c r="AB43" s="189" t="n"/>
      <c r="AC43" s="189" t="n"/>
      <c r="AD43" s="189" t="n"/>
      <c r="AE43" s="189" t="n"/>
      <c r="AF43" s="189" t="n"/>
      <c r="AG43" s="189" t="n"/>
      <c r="AH43" s="189" t="n"/>
      <c r="AI43" s="51" t="inlineStr">
        <is>
          <t>U1X</t>
        </is>
      </c>
    </row>
    <row r="44">
      <c r="B44" s="189">
        <f>B36</f>
        <v/>
      </c>
      <c r="C44" s="189">
        <f>C36</f>
        <v/>
      </c>
      <c r="D44" s="189">
        <f>D36</f>
        <v/>
      </c>
      <c r="E44" s="189">
        <f>E36</f>
        <v/>
      </c>
      <c r="F44" s="189">
        <f>F36</f>
        <v/>
      </c>
      <c r="G44" s="189">
        <f>G36</f>
        <v/>
      </c>
      <c r="H44" s="189" t="n"/>
      <c r="I44" s="189" t="n"/>
      <c r="J44" s="189" t="n"/>
      <c r="K44" s="189" t="n"/>
      <c r="L44" s="189" t="n"/>
      <c r="M44" s="189" t="n"/>
      <c r="N44" s="189" t="n"/>
      <c r="O44" s="189" t="n"/>
      <c r="P44" s="189" t="n"/>
      <c r="Q44" s="189" t="n"/>
      <c r="R44" s="189" t="n"/>
      <c r="S44" s="189" t="n"/>
      <c r="T44" s="189" t="n"/>
      <c r="U44" s="189" t="n"/>
      <c r="V44" s="189" t="n"/>
      <c r="W44" s="189" t="n"/>
      <c r="X44" s="189" t="n"/>
      <c r="Y44" s="189" t="n"/>
      <c r="Z44" s="189" t="n"/>
      <c r="AA44" s="189" t="n"/>
      <c r="AB44" s="189" t="n"/>
      <c r="AC44" s="189" t="n"/>
      <c r="AD44" s="189" t="n"/>
      <c r="AE44" s="189" t="n"/>
      <c r="AF44" s="189" t="n"/>
      <c r="AG44" s="189" t="n"/>
      <c r="AH44" s="189" t="n"/>
      <c r="AI44" s="51" t="inlineStr">
        <is>
          <t>U1Y</t>
        </is>
      </c>
    </row>
    <row r="45">
      <c r="B45" s="189">
        <f>B37</f>
        <v/>
      </c>
      <c r="C45" s="189">
        <f>C37</f>
        <v/>
      </c>
      <c r="D45" s="189">
        <f>D37</f>
        <v/>
      </c>
      <c r="E45" s="189">
        <f>E37</f>
        <v/>
      </c>
      <c r="F45" s="189">
        <f>F37</f>
        <v/>
      </c>
      <c r="G45" s="189">
        <f>G37</f>
        <v/>
      </c>
      <c r="H45" s="189" t="n"/>
      <c r="I45" s="189" t="n"/>
      <c r="J45" s="189" t="n"/>
      <c r="K45" s="189" t="n"/>
      <c r="L45" s="189" t="n"/>
      <c r="M45" s="189" t="n"/>
      <c r="N45" s="189" t="n"/>
      <c r="O45" s="189" t="n"/>
      <c r="P45" s="189" t="n"/>
      <c r="Q45" s="189" t="n"/>
      <c r="R45" s="189" t="n"/>
      <c r="S45" s="189" t="n"/>
      <c r="T45" s="189" t="n"/>
      <c r="U45" s="189" t="n"/>
      <c r="V45" s="189" t="n"/>
      <c r="W45" s="189" t="n"/>
      <c r="X45" s="189" t="n"/>
      <c r="Y45" s="189" t="n"/>
      <c r="Z45" s="189" t="n"/>
      <c r="AA45" s="189" t="n"/>
      <c r="AB45" s="189" t="n"/>
      <c r="AC45" s="189" t="n"/>
      <c r="AD45" s="189" t="n"/>
      <c r="AE45" s="189" t="n"/>
      <c r="AF45" s="189" t="n"/>
      <c r="AG45" s="189" t="n"/>
      <c r="AH45" s="189" t="n"/>
      <c r="AI45" s="51" t="inlineStr">
        <is>
          <t>U1θ</t>
        </is>
      </c>
    </row>
    <row r="46">
      <c r="B46" s="189">
        <f>B38</f>
        <v/>
      </c>
      <c r="C46" s="189">
        <f>C38</f>
        <v/>
      </c>
      <c r="D46" s="189">
        <f>D38</f>
        <v/>
      </c>
      <c r="E46" s="189">
        <f>E38</f>
        <v/>
      </c>
      <c r="F46" s="189">
        <f>F38</f>
        <v/>
      </c>
      <c r="G46" s="189">
        <f>G38</f>
        <v/>
      </c>
      <c r="H46" s="189" t="n"/>
      <c r="I46" s="189" t="n"/>
      <c r="J46" s="189" t="n"/>
      <c r="K46" s="189" t="n"/>
      <c r="L46" s="189" t="n"/>
      <c r="M46" s="189" t="n"/>
      <c r="N46" s="189" t="n"/>
      <c r="O46" s="189" t="n"/>
      <c r="P46" s="189" t="n"/>
      <c r="Q46" s="189" t="n"/>
      <c r="R46" s="189" t="n"/>
      <c r="S46" s="189" t="n"/>
      <c r="T46" s="189" t="n"/>
      <c r="U46" s="189" t="n"/>
      <c r="V46" s="189" t="n"/>
      <c r="W46" s="189" t="n"/>
      <c r="X46" s="189" t="n"/>
      <c r="Y46" s="189" t="n"/>
      <c r="Z46" s="189" t="n"/>
      <c r="AA46" s="189" t="n"/>
      <c r="AB46" s="189" t="n"/>
      <c r="AC46" s="189" t="n"/>
      <c r="AD46" s="189" t="n"/>
      <c r="AE46" s="189" t="n"/>
      <c r="AF46" s="189" t="n"/>
      <c r="AG46" s="189" t="n"/>
      <c r="AH46" s="189" t="n"/>
      <c r="AI46" s="51" t="inlineStr">
        <is>
          <t>U2X</t>
        </is>
      </c>
    </row>
    <row r="47">
      <c r="B47" s="189">
        <f>B39</f>
        <v/>
      </c>
      <c r="C47" s="189">
        <f>C39</f>
        <v/>
      </c>
      <c r="D47" s="189">
        <f>D39</f>
        <v/>
      </c>
      <c r="E47" s="189">
        <f>E39</f>
        <v/>
      </c>
      <c r="F47" s="189">
        <f>F39</f>
        <v/>
      </c>
      <c r="G47" s="189">
        <f>G39</f>
        <v/>
      </c>
      <c r="H47" s="189" t="n"/>
      <c r="I47" s="189" t="n"/>
      <c r="J47" s="189" t="n"/>
      <c r="K47" s="189" t="n"/>
      <c r="L47" s="189" t="n"/>
      <c r="M47" s="189" t="n"/>
      <c r="N47" s="189" t="n"/>
      <c r="O47" s="189" t="n"/>
      <c r="P47" s="189" t="n"/>
      <c r="Q47" s="189" t="n"/>
      <c r="R47" s="189" t="n"/>
      <c r="S47" s="189" t="n"/>
      <c r="T47" s="189" t="n"/>
      <c r="U47" s="189" t="n"/>
      <c r="V47" s="189" t="n"/>
      <c r="W47" s="189" t="n"/>
      <c r="X47" s="189" t="n"/>
      <c r="Y47" s="189" t="n"/>
      <c r="Z47" s="189" t="n"/>
      <c r="AA47" s="189" t="n"/>
      <c r="AB47" s="189" t="n"/>
      <c r="AC47" s="189" t="n"/>
      <c r="AD47" s="189" t="n"/>
      <c r="AE47" s="189" t="n"/>
      <c r="AF47" s="189" t="n"/>
      <c r="AG47" s="189" t="n"/>
      <c r="AH47" s="189" t="n"/>
      <c r="AI47" s="51" t="inlineStr">
        <is>
          <t>U2Y</t>
        </is>
      </c>
    </row>
    <row r="48">
      <c r="B48" s="189">
        <f>B40</f>
        <v/>
      </c>
      <c r="C48" s="189">
        <f>C40</f>
        <v/>
      </c>
      <c r="D48" s="189">
        <f>D40</f>
        <v/>
      </c>
      <c r="E48" s="189">
        <f>E40</f>
        <v/>
      </c>
      <c r="F48" s="189">
        <f>F40</f>
        <v/>
      </c>
      <c r="G48" s="189">
        <f>G40</f>
        <v/>
      </c>
      <c r="H48" s="189" t="n"/>
      <c r="I48" s="189" t="n"/>
      <c r="J48" s="189" t="n"/>
      <c r="K48" s="189" t="n"/>
      <c r="L48" s="189" t="n"/>
      <c r="M48" s="189" t="n"/>
      <c r="N48" s="189" t="n"/>
      <c r="O48" s="189" t="n"/>
      <c r="P48" s="189" t="n"/>
      <c r="Q48" s="189" t="n"/>
      <c r="R48" s="189" t="n"/>
      <c r="S48" s="189" t="n"/>
      <c r="T48" s="189" t="n"/>
      <c r="U48" s="189" t="n"/>
      <c r="V48" s="189" t="n"/>
      <c r="W48" s="189" t="n"/>
      <c r="X48" s="189" t="n"/>
      <c r="Y48" s="189" t="n"/>
      <c r="Z48" s="189" t="n"/>
      <c r="AA48" s="189" t="n"/>
      <c r="AB48" s="189" t="n"/>
      <c r="AC48" s="189" t="n"/>
      <c r="AD48" s="189" t="n"/>
      <c r="AE48" s="189" t="n"/>
      <c r="AF48" s="189" t="n"/>
      <c r="AG48" s="189" t="n"/>
      <c r="AH48" s="189" t="n"/>
      <c r="AI48" s="51" t="inlineStr">
        <is>
          <t>U2θ</t>
        </is>
      </c>
    </row>
    <row r="49">
      <c r="B49" s="189" t="n"/>
      <c r="C49" s="189" t="n"/>
      <c r="D49" s="189" t="n"/>
      <c r="E49" s="189" t="n"/>
      <c r="F49" s="189" t="n"/>
      <c r="G49" s="189" t="n"/>
      <c r="H49" s="189" t="n"/>
      <c r="I49" s="189" t="n"/>
      <c r="J49" s="189" t="n"/>
      <c r="K49" s="189" t="n"/>
      <c r="L49" s="189" t="n"/>
      <c r="M49" s="189" t="n"/>
      <c r="N49" s="189" t="n"/>
      <c r="O49" s="189" t="n"/>
      <c r="P49" s="189" t="n"/>
      <c r="Q49" s="189" t="n"/>
      <c r="R49" s="189" t="n"/>
      <c r="S49" s="189" t="n"/>
      <c r="T49" s="189" t="n"/>
      <c r="U49" s="189" t="n"/>
      <c r="V49" s="189" t="n"/>
      <c r="W49" s="189" t="n"/>
      <c r="X49" s="189" t="n"/>
      <c r="Y49" s="189" t="n"/>
      <c r="Z49" s="189" t="n"/>
      <c r="AA49" s="189" t="n"/>
      <c r="AB49" s="189" t="n"/>
      <c r="AC49" s="189" t="n"/>
      <c r="AD49" s="189" t="n"/>
      <c r="AE49" s="189" t="n"/>
      <c r="AF49" s="189" t="n"/>
      <c r="AG49" s="189" t="n"/>
      <c r="AH49" s="189" t="n"/>
      <c r="AI49" s="51" t="inlineStr">
        <is>
          <t>U3X</t>
        </is>
      </c>
    </row>
    <row r="50">
      <c r="B50" s="189" t="n"/>
      <c r="C50" s="189" t="n"/>
      <c r="D50" s="189" t="n"/>
      <c r="E50" s="189" t="n"/>
      <c r="F50" s="189" t="n"/>
      <c r="G50" s="189" t="n"/>
      <c r="H50" s="189" t="n"/>
      <c r="I50" s="189" t="n"/>
      <c r="J50" s="189" t="n"/>
      <c r="K50" s="189" t="n"/>
      <c r="L50" s="189" t="n"/>
      <c r="M50" s="189" t="n"/>
      <c r="N50" s="189" t="n"/>
      <c r="O50" s="189" t="n"/>
      <c r="P50" s="189" t="n"/>
      <c r="Q50" s="189" t="n"/>
      <c r="R50" s="189" t="n"/>
      <c r="S50" s="189" t="n"/>
      <c r="T50" s="189" t="n"/>
      <c r="U50" s="189" t="n"/>
      <c r="V50" s="189" t="n"/>
      <c r="W50" s="189" t="n"/>
      <c r="X50" s="189" t="n"/>
      <c r="Y50" s="189" t="n"/>
      <c r="Z50" s="189" t="n"/>
      <c r="AA50" s="189" t="n"/>
      <c r="AB50" s="189" t="n"/>
      <c r="AC50" s="189" t="n"/>
      <c r="AD50" s="189" t="n"/>
      <c r="AE50" s="189" t="n"/>
      <c r="AF50" s="189" t="n"/>
      <c r="AG50" s="189" t="n"/>
      <c r="AH50" s="189" t="n"/>
      <c r="AI50" s="51" t="inlineStr">
        <is>
          <t>U3Y</t>
        </is>
      </c>
    </row>
    <row r="51">
      <c r="B51" s="189" t="n"/>
      <c r="C51" s="189" t="n"/>
      <c r="D51" s="189" t="n"/>
      <c r="E51" s="189" t="n"/>
      <c r="F51" s="189" t="n"/>
      <c r="G51" s="189" t="n"/>
      <c r="H51" s="189" t="n"/>
      <c r="I51" s="189" t="n"/>
      <c r="J51" s="189" t="n"/>
      <c r="K51" s="189" t="n"/>
      <c r="L51" s="189" t="n"/>
      <c r="M51" s="189" t="n"/>
      <c r="N51" s="189" t="n"/>
      <c r="O51" s="189" t="n"/>
      <c r="P51" s="189" t="n"/>
      <c r="Q51" s="189" t="n"/>
      <c r="R51" s="189" t="n"/>
      <c r="S51" s="189" t="n"/>
      <c r="T51" s="189" t="n"/>
      <c r="U51" s="189" t="n"/>
      <c r="V51" s="189" t="n"/>
      <c r="W51" s="189" t="n"/>
      <c r="X51" s="189" t="n"/>
      <c r="Y51" s="189" t="n"/>
      <c r="Z51" s="189" t="n"/>
      <c r="AA51" s="189" t="n"/>
      <c r="AB51" s="189" t="n"/>
      <c r="AC51" s="189" t="n"/>
      <c r="AD51" s="189" t="n"/>
      <c r="AE51" s="189" t="n"/>
      <c r="AF51" s="189" t="n"/>
      <c r="AG51" s="189" t="n"/>
      <c r="AH51" s="189" t="n"/>
      <c r="AI51" s="51" t="inlineStr">
        <is>
          <t>U3θ</t>
        </is>
      </c>
    </row>
    <row r="52">
      <c r="B52" s="189" t="n"/>
      <c r="C52" s="189" t="n"/>
      <c r="D52" s="189" t="n"/>
      <c r="E52" s="189" t="n"/>
      <c r="F52" s="189" t="n"/>
      <c r="G52" s="189" t="n"/>
      <c r="H52" s="189" t="n"/>
      <c r="I52" s="189" t="n"/>
      <c r="J52" s="189" t="n"/>
      <c r="K52" s="189" t="n"/>
      <c r="L52" s="189" t="n"/>
      <c r="M52" s="189" t="n"/>
      <c r="N52" s="189" t="n"/>
      <c r="O52" s="189" t="n"/>
      <c r="P52" s="189" t="n"/>
      <c r="Q52" s="189" t="n"/>
      <c r="R52" s="189" t="n"/>
      <c r="S52" s="189" t="n"/>
      <c r="T52" s="189" t="n"/>
      <c r="U52" s="189" t="n"/>
      <c r="V52" s="189" t="n"/>
      <c r="W52" s="189" t="n"/>
      <c r="X52" s="189" t="n"/>
      <c r="Y52" s="189" t="n"/>
      <c r="Z52" s="189" t="n"/>
      <c r="AA52" s="189" t="n"/>
      <c r="AB52" s="189" t="n"/>
      <c r="AC52" s="189" t="n"/>
      <c r="AD52" s="189" t="n"/>
      <c r="AE52" s="189" t="n"/>
      <c r="AF52" s="189" t="n"/>
      <c r="AG52" s="189" t="n"/>
      <c r="AH52" s="189" t="n"/>
      <c r="AI52" s="51" t="inlineStr">
        <is>
          <t>U4X</t>
        </is>
      </c>
    </row>
    <row r="53">
      <c r="B53" s="189" t="n"/>
      <c r="C53" s="189" t="n"/>
      <c r="D53" s="189" t="n"/>
      <c r="E53" s="189" t="n"/>
      <c r="F53" s="189" t="n"/>
      <c r="G53" s="189" t="n"/>
      <c r="H53" s="189" t="n"/>
      <c r="I53" s="189" t="n"/>
      <c r="J53" s="189" t="n"/>
      <c r="K53" s="189" t="n"/>
      <c r="L53" s="189" t="n"/>
      <c r="M53" s="189" t="n"/>
      <c r="N53" s="189" t="n"/>
      <c r="O53" s="189" t="n"/>
      <c r="P53" s="189" t="n"/>
      <c r="Q53" s="189" t="n"/>
      <c r="R53" s="189" t="n"/>
      <c r="S53" s="189" t="n"/>
      <c r="T53" s="189" t="n"/>
      <c r="U53" s="189" t="n"/>
      <c r="V53" s="189" t="n"/>
      <c r="W53" s="189" t="n"/>
      <c r="X53" s="189" t="n"/>
      <c r="Y53" s="189" t="n"/>
      <c r="Z53" s="189" t="n"/>
      <c r="AA53" s="189" t="n"/>
      <c r="AB53" s="189" t="n"/>
      <c r="AC53" s="189" t="n"/>
      <c r="AD53" s="189" t="n"/>
      <c r="AE53" s="189" t="n"/>
      <c r="AF53" s="189" t="n"/>
      <c r="AG53" s="189" t="n"/>
      <c r="AH53" s="189" t="n"/>
      <c r="AI53" s="51" t="inlineStr">
        <is>
          <t>U4Y</t>
        </is>
      </c>
    </row>
    <row r="54">
      <c r="B54" s="189" t="n"/>
      <c r="C54" s="189" t="n"/>
      <c r="D54" s="189" t="n"/>
      <c r="E54" s="189" t="n"/>
      <c r="F54" s="189" t="n"/>
      <c r="G54" s="189" t="n"/>
      <c r="H54" s="189" t="n"/>
      <c r="I54" s="189" t="n"/>
      <c r="J54" s="189" t="n"/>
      <c r="K54" s="189" t="n"/>
      <c r="L54" s="189" t="n"/>
      <c r="M54" s="189" t="n"/>
      <c r="N54" s="189" t="n"/>
      <c r="O54" s="189" t="n"/>
      <c r="P54" s="189" t="n"/>
      <c r="Q54" s="189" t="n"/>
      <c r="R54" s="189" t="n"/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51" t="inlineStr">
        <is>
          <t>U4θ</t>
        </is>
      </c>
    </row>
    <row r="55">
      <c r="B55" s="189" t="n"/>
      <c r="C55" s="189" t="n"/>
      <c r="D55" s="189" t="n"/>
      <c r="E55" s="189" t="n"/>
      <c r="F55" s="189" t="n"/>
      <c r="G55" s="189" t="n"/>
      <c r="H55" s="189" t="n"/>
      <c r="I55" s="189" t="n"/>
      <c r="J55" s="189" t="n"/>
      <c r="K55" s="189" t="n"/>
      <c r="L55" s="189" t="n"/>
      <c r="M55" s="189" t="n"/>
      <c r="N55" s="189" t="n"/>
      <c r="O55" s="189" t="n"/>
      <c r="P55" s="189" t="n"/>
      <c r="Q55" s="189" t="n"/>
      <c r="R55" s="189" t="n"/>
      <c r="S55" s="189" t="n"/>
      <c r="T55" s="189" t="n"/>
      <c r="U55" s="189" t="n"/>
      <c r="V55" s="189" t="n"/>
      <c r="W55" s="189" t="n"/>
      <c r="X55" s="189" t="n"/>
      <c r="Y55" s="189" t="n"/>
      <c r="Z55" s="189" t="n"/>
      <c r="AA55" s="189" t="n"/>
      <c r="AB55" s="189" t="n"/>
      <c r="AC55" s="189" t="n"/>
      <c r="AD55" s="189" t="n"/>
      <c r="AE55" s="189" t="n"/>
      <c r="AF55" s="189" t="n"/>
      <c r="AG55" s="189" t="n"/>
      <c r="AH55" s="189" t="n"/>
      <c r="AI55" s="51" t="inlineStr">
        <is>
          <t>U5X</t>
        </is>
      </c>
    </row>
    <row r="56">
      <c r="B56" s="189" t="n"/>
      <c r="C56" s="189" t="n"/>
      <c r="D56" s="189" t="n"/>
      <c r="E56" s="189" t="n"/>
      <c r="F56" s="189" t="n"/>
      <c r="G56" s="189" t="n"/>
      <c r="H56" s="189" t="n"/>
      <c r="I56" s="189" t="n"/>
      <c r="J56" s="189" t="n"/>
      <c r="K56" s="189" t="n"/>
      <c r="L56" s="189" t="n"/>
      <c r="M56" s="189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51" t="inlineStr">
        <is>
          <t>U5Y</t>
        </is>
      </c>
    </row>
    <row r="57">
      <c r="B57" s="189" t="n"/>
      <c r="C57" s="189" t="n"/>
      <c r="D57" s="189" t="n"/>
      <c r="E57" s="189" t="n"/>
      <c r="F57" s="189" t="n"/>
      <c r="G57" s="189" t="n"/>
      <c r="H57" s="189" t="n"/>
      <c r="I57" s="189" t="n"/>
      <c r="J57" s="189" t="n"/>
      <c r="K57" s="189" t="n"/>
      <c r="L57" s="189" t="n"/>
      <c r="M57" s="189" t="n"/>
      <c r="N57" s="189" t="n"/>
      <c r="O57" s="189" t="n"/>
      <c r="P57" s="189" t="n"/>
      <c r="Q57" s="189" t="n"/>
      <c r="R57" s="189" t="n"/>
      <c r="S57" s="189" t="n"/>
      <c r="T57" s="189" t="n"/>
      <c r="U57" s="189" t="n"/>
      <c r="V57" s="189" t="n"/>
      <c r="W57" s="189" t="n"/>
      <c r="X57" s="189" t="n"/>
      <c r="Y57" s="189" t="n"/>
      <c r="Z57" s="189" t="n"/>
      <c r="AA57" s="189" t="n"/>
      <c r="AB57" s="189" t="n"/>
      <c r="AC57" s="189" t="n"/>
      <c r="AD57" s="189" t="n"/>
      <c r="AE57" s="189" t="n"/>
      <c r="AF57" s="189" t="n"/>
      <c r="AG57" s="189" t="n"/>
      <c r="AH57" s="189" t="n"/>
      <c r="AI57" s="51" t="inlineStr">
        <is>
          <t>U5θ</t>
        </is>
      </c>
    </row>
    <row r="58">
      <c r="A58" s="118" t="inlineStr">
        <is>
          <t>K1 =</t>
        </is>
      </c>
      <c r="B58" s="189" t="n"/>
      <c r="C58" s="189" t="n"/>
      <c r="D58" s="189" t="n"/>
      <c r="E58" s="189" t="n"/>
      <c r="F58" s="189" t="n"/>
      <c r="G58" s="189" t="n"/>
      <c r="H58" s="189" t="n"/>
      <c r="I58" s="189" t="n"/>
      <c r="J58" s="189" t="n"/>
      <c r="K58" s="189" t="n"/>
      <c r="L58" s="189" t="n"/>
      <c r="M58" s="189" t="n"/>
      <c r="N58" s="189" t="n"/>
      <c r="O58" s="189" t="n"/>
      <c r="P58" s="189" t="n"/>
      <c r="Q58" s="189" t="n"/>
      <c r="R58" s="189" t="n"/>
      <c r="S58" s="189" t="n"/>
      <c r="T58" s="189" t="n"/>
      <c r="U58" s="189" t="n"/>
      <c r="V58" s="189" t="n"/>
      <c r="W58" s="189" t="n"/>
      <c r="X58" s="189" t="n"/>
      <c r="Y58" s="189" t="n"/>
      <c r="Z58" s="189" t="n"/>
      <c r="AA58" s="189" t="n"/>
      <c r="AB58" s="189" t="n"/>
      <c r="AC58" s="189" t="n"/>
      <c r="AD58" s="189" t="n"/>
      <c r="AE58" s="189" t="n"/>
      <c r="AF58" s="189" t="n"/>
      <c r="AG58" s="189" t="n"/>
      <c r="AH58" s="189" t="n"/>
      <c r="AI58" s="51" t="inlineStr">
        <is>
          <t>U6X</t>
        </is>
      </c>
    </row>
    <row r="59">
      <c r="B59" s="189" t="n"/>
      <c r="C59" s="189" t="n"/>
      <c r="D59" s="189" t="n"/>
      <c r="E59" s="189" t="n"/>
      <c r="F59" s="189" t="n"/>
      <c r="G59" s="189" t="n"/>
      <c r="H59" s="189" t="n"/>
      <c r="I59" s="189" t="n"/>
      <c r="J59" s="189" t="n"/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89" t="n"/>
      <c r="U59" s="189" t="n"/>
      <c r="V59" s="189" t="n"/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51" t="inlineStr">
        <is>
          <t>U6Y</t>
        </is>
      </c>
    </row>
    <row r="60">
      <c r="B60" s="189" t="n"/>
      <c r="C60" s="189" t="n"/>
      <c r="D60" s="189" t="n"/>
      <c r="E60" s="189" t="n"/>
      <c r="F60" s="189" t="n"/>
      <c r="G60" s="189" t="n"/>
      <c r="H60" s="189" t="n"/>
      <c r="I60" s="189" t="n"/>
      <c r="J60" s="189" t="n"/>
      <c r="K60" s="189" t="n"/>
      <c r="L60" s="189" t="n"/>
      <c r="M60" s="189" t="n"/>
      <c r="N60" s="189" t="n"/>
      <c r="O60" s="189" t="n"/>
      <c r="P60" s="189" t="n"/>
      <c r="Q60" s="189" t="n"/>
      <c r="R60" s="189" t="n"/>
      <c r="S60" s="189" t="n"/>
      <c r="T60" s="189" t="n"/>
      <c r="U60" s="189" t="n"/>
      <c r="V60" s="189" t="n"/>
      <c r="W60" s="189" t="n"/>
      <c r="X60" s="189" t="n"/>
      <c r="Y60" s="189" t="n"/>
      <c r="Z60" s="189" t="n"/>
      <c r="AA60" s="189" t="n"/>
      <c r="AB60" s="189" t="n"/>
      <c r="AC60" s="189" t="n"/>
      <c r="AD60" s="189" t="n"/>
      <c r="AE60" s="189" t="n"/>
      <c r="AF60" s="189" t="n"/>
      <c r="AG60" s="189" t="n"/>
      <c r="AH60" s="189" t="n"/>
      <c r="AI60" s="51" t="inlineStr">
        <is>
          <t>U6θ</t>
        </is>
      </c>
    </row>
    <row r="61">
      <c r="B61" s="189" t="n"/>
      <c r="C61" s="189" t="n"/>
      <c r="D61" s="189" t="n"/>
      <c r="E61" s="189" t="n"/>
      <c r="F61" s="189" t="n"/>
      <c r="G61" s="189" t="n"/>
      <c r="H61" s="189" t="n"/>
      <c r="I61" s="189" t="n"/>
      <c r="J61" s="189" t="n"/>
      <c r="K61" s="189" t="n"/>
      <c r="L61" s="189" t="n"/>
      <c r="M61" s="189" t="n"/>
      <c r="N61" s="189" t="n"/>
      <c r="O61" s="189" t="n"/>
      <c r="P61" s="189" t="n"/>
      <c r="Q61" s="189" t="n"/>
      <c r="R61" s="189" t="n"/>
      <c r="S61" s="189" t="n"/>
      <c r="T61" s="189" t="n"/>
      <c r="U61" s="189" t="n"/>
      <c r="V61" s="189" t="n"/>
      <c r="W61" s="189" t="n"/>
      <c r="X61" s="189" t="n"/>
      <c r="Y61" s="189" t="n"/>
      <c r="Z61" s="189" t="n"/>
      <c r="AA61" s="189" t="n"/>
      <c r="AB61" s="189" t="n"/>
      <c r="AC61" s="189" t="n"/>
      <c r="AD61" s="189" t="n"/>
      <c r="AE61" s="189" t="n"/>
      <c r="AF61" s="189" t="n"/>
      <c r="AG61" s="189" t="n"/>
      <c r="AH61" s="189" t="n"/>
      <c r="AI61" s="51" t="inlineStr">
        <is>
          <t>U7X</t>
        </is>
      </c>
    </row>
    <row r="62">
      <c r="B62" s="189" t="n"/>
      <c r="C62" s="189" t="n"/>
      <c r="D62" s="189" t="n"/>
      <c r="E62" s="189" t="n"/>
      <c r="F62" s="189" t="n"/>
      <c r="G62" s="189" t="n"/>
      <c r="H62" s="189" t="n"/>
      <c r="I62" s="189" t="n"/>
      <c r="J62" s="189" t="n"/>
      <c r="K62" s="189" t="n"/>
      <c r="L62" s="189" t="n"/>
      <c r="M62" s="189" t="n"/>
      <c r="N62" s="189" t="n"/>
      <c r="O62" s="189" t="n"/>
      <c r="P62" s="189" t="n"/>
      <c r="Q62" s="189" t="n"/>
      <c r="R62" s="189" t="n"/>
      <c r="S62" s="189" t="n"/>
      <c r="T62" s="189" t="n"/>
      <c r="U62" s="189" t="n"/>
      <c r="V62" s="189" t="n"/>
      <c r="W62" s="189" t="n"/>
      <c r="X62" s="189" t="n"/>
      <c r="Y62" s="189" t="n"/>
      <c r="Z62" s="189" t="n"/>
      <c r="AA62" s="189" t="n"/>
      <c r="AB62" s="189" t="n"/>
      <c r="AC62" s="189" t="n"/>
      <c r="AD62" s="189" t="n"/>
      <c r="AE62" s="189" t="n"/>
      <c r="AF62" s="189" t="n"/>
      <c r="AG62" s="189" t="n"/>
      <c r="AH62" s="189" t="n"/>
      <c r="AI62" s="51" t="inlineStr">
        <is>
          <t>U7Y</t>
        </is>
      </c>
    </row>
    <row r="63">
      <c r="B63" s="189" t="n"/>
      <c r="C63" s="189" t="n"/>
      <c r="D63" s="189" t="n"/>
      <c r="E63" s="189" t="n"/>
      <c r="F63" s="189" t="n"/>
      <c r="G63" s="189" t="n"/>
      <c r="H63" s="189" t="n"/>
      <c r="I63" s="189" t="n"/>
      <c r="J63" s="189" t="n"/>
      <c r="K63" s="189" t="n"/>
      <c r="L63" s="189" t="n"/>
      <c r="M63" s="189" t="n"/>
      <c r="N63" s="189" t="n"/>
      <c r="O63" s="189" t="n"/>
      <c r="P63" s="189" t="n"/>
      <c r="Q63" s="189" t="n"/>
      <c r="R63" s="189" t="n"/>
      <c r="S63" s="189" t="n"/>
      <c r="T63" s="189" t="n"/>
      <c r="U63" s="189" t="n"/>
      <c r="V63" s="189" t="n"/>
      <c r="W63" s="189" t="n"/>
      <c r="X63" s="189" t="n"/>
      <c r="Y63" s="189" t="n"/>
      <c r="Z63" s="189" t="n"/>
      <c r="AA63" s="189" t="n"/>
      <c r="AB63" s="189" t="n"/>
      <c r="AC63" s="189" t="n"/>
      <c r="AD63" s="189" t="n"/>
      <c r="AE63" s="189" t="n"/>
      <c r="AF63" s="189" t="n"/>
      <c r="AG63" s="189" t="n"/>
      <c r="AH63" s="189" t="n"/>
      <c r="AI63" s="51" t="inlineStr">
        <is>
          <t>U7θ</t>
        </is>
      </c>
    </row>
    <row r="64">
      <c r="B64" s="189" t="n"/>
      <c r="C64" s="189" t="n"/>
      <c r="D64" s="189" t="n"/>
      <c r="E64" s="189" t="n"/>
      <c r="F64" s="189" t="n"/>
      <c r="G64" s="189" t="n"/>
      <c r="H64" s="189" t="n"/>
      <c r="I64" s="189" t="n"/>
      <c r="J64" s="189" t="n"/>
      <c r="K64" s="189" t="n"/>
      <c r="L64" s="189" t="n"/>
      <c r="M64" s="189" t="n"/>
      <c r="N64" s="189" t="n"/>
      <c r="O64" s="189" t="n"/>
      <c r="P64" s="189" t="n"/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51" t="inlineStr">
        <is>
          <t>U8X</t>
        </is>
      </c>
    </row>
    <row r="65">
      <c r="B65" s="189" t="n"/>
      <c r="C65" s="189" t="n"/>
      <c r="D65" s="189" t="n"/>
      <c r="E65" s="189" t="n"/>
      <c r="F65" s="189" t="n"/>
      <c r="G65" s="189" t="n"/>
      <c r="H65" s="189" t="n"/>
      <c r="I65" s="189" t="n"/>
      <c r="J65" s="189" t="n"/>
      <c r="K65" s="189" t="n"/>
      <c r="L65" s="189" t="n"/>
      <c r="M65" s="189" t="n"/>
      <c r="N65" s="189" t="n"/>
      <c r="O65" s="189" t="n"/>
      <c r="P65" s="189" t="n"/>
      <c r="Q65" s="189" t="n"/>
      <c r="R65" s="189" t="n"/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51" t="inlineStr">
        <is>
          <t>U8Y</t>
        </is>
      </c>
    </row>
    <row r="66">
      <c r="B66" s="189" t="n"/>
      <c r="C66" s="189" t="n"/>
      <c r="D66" s="189" t="n"/>
      <c r="E66" s="189" t="n"/>
      <c r="F66" s="189" t="n"/>
      <c r="G66" s="189" t="n"/>
      <c r="H66" s="189" t="n"/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89" t="n"/>
      <c r="S66" s="189" t="n"/>
      <c r="T66" s="189" t="n"/>
      <c r="U66" s="189" t="n"/>
      <c r="V66" s="189" t="n"/>
      <c r="W66" s="189" t="n"/>
      <c r="X66" s="189" t="n"/>
      <c r="Y66" s="189" t="n"/>
      <c r="Z66" s="189" t="n"/>
      <c r="AA66" s="189" t="n"/>
      <c r="AB66" s="189" t="n"/>
      <c r="AC66" s="189" t="n"/>
      <c r="AD66" s="189" t="n"/>
      <c r="AE66" s="189" t="n"/>
      <c r="AF66" s="189" t="n"/>
      <c r="AG66" s="189" t="n"/>
      <c r="AH66" s="189" t="n"/>
      <c r="AI66" s="51" t="inlineStr">
        <is>
          <t>U8θ</t>
        </is>
      </c>
    </row>
    <row r="67">
      <c r="B67" s="189" t="n"/>
      <c r="C67" s="189" t="n"/>
      <c r="D67" s="189" t="n"/>
      <c r="E67" s="189" t="n"/>
      <c r="F67" s="189" t="n"/>
      <c r="G67" s="189" t="n"/>
      <c r="H67" s="189" t="n"/>
      <c r="I67" s="189" t="n"/>
      <c r="J67" s="189" t="n"/>
      <c r="K67" s="189" t="n"/>
      <c r="L67" s="189" t="n"/>
      <c r="M67" s="189" t="n"/>
      <c r="N67" s="189" t="n"/>
      <c r="O67" s="189" t="n"/>
      <c r="P67" s="189" t="n"/>
      <c r="Q67" s="189" t="n"/>
      <c r="R67" s="189" t="n"/>
      <c r="S67" s="189" t="n"/>
      <c r="T67" s="189" t="n"/>
      <c r="U67" s="189" t="n"/>
      <c r="V67" s="189" t="n"/>
      <c r="W67" s="189" t="n"/>
      <c r="X67" s="189" t="n"/>
      <c r="Y67" s="189" t="n"/>
      <c r="Z67" s="189" t="n"/>
      <c r="AA67" s="189" t="n"/>
      <c r="AB67" s="189" t="n"/>
      <c r="AC67" s="189" t="n"/>
      <c r="AD67" s="189" t="n"/>
      <c r="AE67" s="189" t="n"/>
      <c r="AF67" s="189" t="n"/>
      <c r="AG67" s="189" t="n"/>
      <c r="AH67" s="189" t="n"/>
      <c r="AI67" s="51" t="inlineStr">
        <is>
          <t>U9X</t>
        </is>
      </c>
    </row>
    <row r="68">
      <c r="B68" s="189" t="n"/>
      <c r="C68" s="189" t="n"/>
      <c r="D68" s="189" t="n"/>
      <c r="E68" s="189" t="n"/>
      <c r="F68" s="189" t="n"/>
      <c r="G68" s="189" t="n"/>
      <c r="H68" s="189" t="n"/>
      <c r="I68" s="189" t="n"/>
      <c r="J68" s="189" t="n"/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51" t="inlineStr">
        <is>
          <t>U9Y</t>
        </is>
      </c>
    </row>
    <row r="69">
      <c r="B69" s="189" t="n"/>
      <c r="C69" s="189" t="n"/>
      <c r="D69" s="189" t="n"/>
      <c r="E69" s="189" t="n"/>
      <c r="F69" s="189" t="n"/>
      <c r="G69" s="189" t="n"/>
      <c r="H69" s="189" t="n"/>
      <c r="I69" s="189" t="n"/>
      <c r="J69" s="189" t="n"/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51" t="inlineStr">
        <is>
          <t>U9θ</t>
        </is>
      </c>
    </row>
    <row r="70">
      <c r="B70" s="189" t="n"/>
      <c r="C70" s="189" t="n"/>
      <c r="D70" s="189" t="n"/>
      <c r="E70" s="189" t="n"/>
      <c r="F70" s="189" t="n"/>
      <c r="G70" s="189" t="n"/>
      <c r="H70" s="189" t="n"/>
      <c r="I70" s="189" t="n"/>
      <c r="J70" s="189" t="n"/>
      <c r="K70" s="189" t="n"/>
      <c r="L70" s="189" t="n"/>
      <c r="M70" s="189" t="n"/>
      <c r="N70" s="189" t="n"/>
      <c r="O70" s="189" t="n"/>
      <c r="P70" s="189" t="n"/>
      <c r="Q70" s="189" t="n"/>
      <c r="R70" s="189" t="n"/>
      <c r="S70" s="189" t="n"/>
      <c r="T70" s="189" t="n"/>
      <c r="U70" s="189" t="n"/>
      <c r="V70" s="189" t="n"/>
      <c r="W70" s="189" t="n"/>
      <c r="X70" s="189" t="n"/>
      <c r="Y70" s="189" t="n"/>
      <c r="Z70" s="189" t="n"/>
      <c r="AA70" s="189" t="n"/>
      <c r="AB70" s="189" t="n"/>
      <c r="AC70" s="189" t="n"/>
      <c r="AD70" s="189" t="n"/>
      <c r="AE70" s="189" t="n"/>
      <c r="AF70" s="189" t="n"/>
      <c r="AG70" s="189" t="n"/>
      <c r="AH70" s="189" t="n"/>
      <c r="AI70" s="51" t="inlineStr">
        <is>
          <t>U10X</t>
        </is>
      </c>
    </row>
    <row r="71">
      <c r="B71" s="189" t="n"/>
      <c r="C71" s="189" t="n"/>
      <c r="D71" s="189" t="n"/>
      <c r="E71" s="189" t="n"/>
      <c r="F71" s="189" t="n"/>
      <c r="G71" s="189" t="n"/>
      <c r="H71" s="189" t="n"/>
      <c r="I71" s="189" t="n"/>
      <c r="J71" s="189" t="n"/>
      <c r="K71" s="189" t="n"/>
      <c r="L71" s="189" t="n"/>
      <c r="M71" s="189" t="n"/>
      <c r="N71" s="189" t="n"/>
      <c r="O71" s="189" t="n"/>
      <c r="P71" s="189" t="n"/>
      <c r="Q71" s="189" t="n"/>
      <c r="R71" s="189" t="n"/>
      <c r="S71" s="189" t="n"/>
      <c r="T71" s="189" t="n"/>
      <c r="U71" s="189" t="n"/>
      <c r="V71" s="189" t="n"/>
      <c r="W71" s="189" t="n"/>
      <c r="X71" s="189" t="n"/>
      <c r="Y71" s="189" t="n"/>
      <c r="Z71" s="189" t="n"/>
      <c r="AA71" s="189" t="n"/>
      <c r="AB71" s="189" t="n"/>
      <c r="AC71" s="189" t="n"/>
      <c r="AD71" s="189" t="n"/>
      <c r="AE71" s="189" t="n"/>
      <c r="AF71" s="189" t="n"/>
      <c r="AG71" s="189" t="n"/>
      <c r="AH71" s="189" t="n"/>
      <c r="AI71" s="51" t="inlineStr">
        <is>
          <t>U10Y</t>
        </is>
      </c>
    </row>
    <row r="72">
      <c r="B72" s="189" t="n"/>
      <c r="C72" s="189" t="n"/>
      <c r="D72" s="189" t="n"/>
      <c r="E72" s="189" t="n"/>
      <c r="F72" s="189" t="n"/>
      <c r="G72" s="189" t="n"/>
      <c r="H72" s="189" t="n"/>
      <c r="I72" s="189" t="n"/>
      <c r="J72" s="189" t="n"/>
      <c r="K72" s="189" t="n"/>
      <c r="L72" s="189" t="n"/>
      <c r="M72" s="189" t="n"/>
      <c r="N72" s="189" t="n"/>
      <c r="O72" s="189" t="n"/>
      <c r="P72" s="189" t="n"/>
      <c r="Q72" s="189" t="n"/>
      <c r="R72" s="189" t="n"/>
      <c r="S72" s="189" t="n"/>
      <c r="T72" s="189" t="n"/>
      <c r="U72" s="189" t="n"/>
      <c r="V72" s="189" t="n"/>
      <c r="W72" s="189" t="n"/>
      <c r="X72" s="189" t="n"/>
      <c r="Y72" s="189" t="n"/>
      <c r="Z72" s="189" t="n"/>
      <c r="AA72" s="189" t="n"/>
      <c r="AB72" s="189" t="n"/>
      <c r="AC72" s="189" t="n"/>
      <c r="AD72" s="189" t="n"/>
      <c r="AE72" s="189" t="n"/>
      <c r="AF72" s="189" t="n"/>
      <c r="AG72" s="189" t="n"/>
      <c r="AH72" s="189" t="n"/>
      <c r="AI72" s="51" t="inlineStr">
        <is>
          <t>U10θ</t>
        </is>
      </c>
    </row>
    <row r="73">
      <c r="B73" s="189" t="n"/>
      <c r="C73" s="189" t="n"/>
      <c r="D73" s="189" t="n"/>
      <c r="E73" s="189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51" t="inlineStr">
        <is>
          <t>U11X</t>
        </is>
      </c>
    </row>
    <row r="74">
      <c r="B74" s="189" t="n"/>
      <c r="C74" s="189" t="n"/>
      <c r="D74" s="189" t="n"/>
      <c r="E74" s="189" t="n"/>
      <c r="F74" s="189" t="n"/>
      <c r="G74" s="189" t="n"/>
      <c r="H74" s="189" t="n"/>
      <c r="I74" s="189" t="n"/>
      <c r="J74" s="189" t="n"/>
      <c r="K74" s="189" t="n"/>
      <c r="L74" s="189" t="n"/>
      <c r="M74" s="189" t="n"/>
      <c r="N74" s="189" t="n"/>
      <c r="O74" s="189" t="n"/>
      <c r="P74" s="189" t="n"/>
      <c r="Q74" s="189" t="n"/>
      <c r="R74" s="189" t="n"/>
      <c r="S74" s="189" t="n"/>
      <c r="T74" s="189" t="n"/>
      <c r="U74" s="189" t="n"/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51" t="inlineStr">
        <is>
          <t>U11Y</t>
        </is>
      </c>
    </row>
    <row r="75">
      <c r="B75" s="189" t="n"/>
      <c r="C75" s="189" t="n"/>
      <c r="D75" s="189" t="n"/>
      <c r="E75" s="189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9" t="n"/>
      <c r="Y75" s="189" t="n"/>
      <c r="Z75" s="189" t="n"/>
      <c r="AA75" s="189" t="n"/>
      <c r="AB75" s="189" t="n"/>
      <c r="AC75" s="189" t="n"/>
      <c r="AD75" s="189" t="n"/>
      <c r="AE75" s="189" t="n"/>
      <c r="AF75" s="189" t="n"/>
      <c r="AG75" s="189" t="n"/>
      <c r="AH75" s="189" t="n"/>
      <c r="AI75" s="51" t="inlineStr">
        <is>
          <t>U11θ</t>
        </is>
      </c>
    </row>
    <row r="77">
      <c r="B77" s="51">
        <f>IF(C23="","", CONCATENATE("U",C23,C$21))</f>
        <v/>
      </c>
      <c r="C77" s="51">
        <f>IF(D23="","", CONCATENATE("U",D23,D$21))</f>
        <v/>
      </c>
      <c r="D77" s="51">
        <f>IF(E23="","", CONCATENATE("U",E23,E$21))</f>
        <v/>
      </c>
      <c r="E77" s="51">
        <f>IF(F23="","", CONCATENATE("U",F23,F$21))</f>
        <v/>
      </c>
      <c r="F77" s="51">
        <f>IF(G23="","", CONCATENATE("U",G23,G$21))</f>
        <v/>
      </c>
      <c r="G77" s="51">
        <f>IF(H23="","", CONCATENATE("U",H23,H$21))</f>
        <v/>
      </c>
    </row>
    <row r="78">
      <c r="B78" s="8">
        <f>IF(I10="", 0, O10*J10*J10+P10*K10*K10)</f>
        <v/>
      </c>
      <c r="C78" s="189">
        <f>IF(I10="", 0, (O10-P10)*(J10*K10))</f>
        <v/>
      </c>
      <c r="D78" s="189">
        <f>IF(I10="", 0, -Q10*K10)</f>
        <v/>
      </c>
      <c r="E78" s="189">
        <f>-B78</f>
        <v/>
      </c>
      <c r="F78" s="189">
        <f>-C78</f>
        <v/>
      </c>
      <c r="G78" s="189">
        <f>D78</f>
        <v/>
      </c>
      <c r="H78" s="51">
        <f>B77</f>
        <v/>
      </c>
    </row>
    <row r="79">
      <c r="B79" s="189">
        <f>C78</f>
        <v/>
      </c>
      <c r="C79" s="8">
        <f>IF(I10="", 0, O10*K10*K10+P10*J10*J10)</f>
        <v/>
      </c>
      <c r="D79" s="189">
        <f>IF(I10="", 0, Q10*J10)</f>
        <v/>
      </c>
      <c r="E79" s="189">
        <f>-B79</f>
        <v/>
      </c>
      <c r="F79" s="189">
        <f>-C79</f>
        <v/>
      </c>
      <c r="G79" s="189">
        <f>D79</f>
        <v/>
      </c>
      <c r="H79" s="51">
        <f>C77</f>
        <v/>
      </c>
    </row>
    <row r="80">
      <c r="A80" s="118" t="inlineStr">
        <is>
          <t>K2 =</t>
        </is>
      </c>
      <c r="B80" s="189">
        <f>D78</f>
        <v/>
      </c>
      <c r="C80" s="189">
        <f>D79</f>
        <v/>
      </c>
      <c r="D80" s="8">
        <f>IF(I10="", 0, R10)</f>
        <v/>
      </c>
      <c r="E80" s="189">
        <f>-B80</f>
        <v/>
      </c>
      <c r="F80" s="189">
        <f>-C80</f>
        <v/>
      </c>
      <c r="G80" s="189">
        <f>IF(I10="", 0, S10)</f>
        <v/>
      </c>
      <c r="H80" s="51">
        <f>D77</f>
        <v/>
      </c>
    </row>
    <row r="81">
      <c r="B81" s="189">
        <f>E78</f>
        <v/>
      </c>
      <c r="C81" s="189">
        <f>E79</f>
        <v/>
      </c>
      <c r="D81" s="189">
        <f>E80</f>
        <v/>
      </c>
      <c r="E81" s="8">
        <f>B78</f>
        <v/>
      </c>
      <c r="F81" s="189">
        <f>C78</f>
        <v/>
      </c>
      <c r="G81" s="189">
        <f>-D78</f>
        <v/>
      </c>
      <c r="H81" s="51">
        <f>E77</f>
        <v/>
      </c>
    </row>
    <row r="82">
      <c r="B82" s="189">
        <f>F78</f>
        <v/>
      </c>
      <c r="C82" s="189">
        <f>F79</f>
        <v/>
      </c>
      <c r="D82" s="189">
        <f>F80</f>
        <v/>
      </c>
      <c r="E82" s="189">
        <f>F81</f>
        <v/>
      </c>
      <c r="F82" s="8">
        <f>C79</f>
        <v/>
      </c>
      <c r="G82" s="189">
        <f>-D79</f>
        <v/>
      </c>
      <c r="H82" s="51">
        <f>F77</f>
        <v/>
      </c>
    </row>
    <row r="83">
      <c r="B83" s="189">
        <f>G78</f>
        <v/>
      </c>
      <c r="C83" s="189">
        <f>G79</f>
        <v/>
      </c>
      <c r="D83" s="189">
        <f>G80</f>
        <v/>
      </c>
      <c r="E83" s="189">
        <f>G81</f>
        <v/>
      </c>
      <c r="F83" s="189">
        <f>G82</f>
        <v/>
      </c>
      <c r="G83" s="8">
        <f>D80</f>
        <v/>
      </c>
      <c r="H83" s="51">
        <f>G77</f>
        <v/>
      </c>
    </row>
    <row r="85">
      <c r="B85" s="51" t="inlineStr">
        <is>
          <t>U1X</t>
        </is>
      </c>
      <c r="C85" s="51" t="inlineStr">
        <is>
          <t>U1Y</t>
        </is>
      </c>
      <c r="D85" s="51" t="inlineStr">
        <is>
          <t>U1θ</t>
        </is>
      </c>
      <c r="E85" s="51" t="inlineStr">
        <is>
          <t>U2X</t>
        </is>
      </c>
      <c r="F85" s="51" t="inlineStr">
        <is>
          <t>U2Y</t>
        </is>
      </c>
      <c r="G85" s="51" t="inlineStr">
        <is>
          <t>U2θ</t>
        </is>
      </c>
      <c r="H85" s="51" t="inlineStr">
        <is>
          <t>U3X</t>
        </is>
      </c>
      <c r="I85" s="51" t="inlineStr">
        <is>
          <t>U3Y</t>
        </is>
      </c>
      <c r="J85" s="51" t="inlineStr">
        <is>
          <t>U3θ</t>
        </is>
      </c>
      <c r="K85" s="51" t="inlineStr">
        <is>
          <t>U4X</t>
        </is>
      </c>
      <c r="L85" s="51" t="inlineStr">
        <is>
          <t>U4Y</t>
        </is>
      </c>
      <c r="M85" s="51" t="inlineStr">
        <is>
          <t>U4θ</t>
        </is>
      </c>
      <c r="N85" s="51" t="inlineStr">
        <is>
          <t>U5X</t>
        </is>
      </c>
      <c r="O85" s="51" t="inlineStr">
        <is>
          <t>U5Y</t>
        </is>
      </c>
      <c r="P85" s="51" t="inlineStr">
        <is>
          <t>U5θ</t>
        </is>
      </c>
      <c r="Q85" s="51" t="inlineStr">
        <is>
          <t>U6X</t>
        </is>
      </c>
      <c r="R85" s="51" t="inlineStr">
        <is>
          <t>U6Y</t>
        </is>
      </c>
      <c r="S85" s="51" t="inlineStr">
        <is>
          <t>U6θ</t>
        </is>
      </c>
      <c r="T85" s="51" t="inlineStr">
        <is>
          <t>U7X</t>
        </is>
      </c>
      <c r="U85" s="51" t="inlineStr">
        <is>
          <t>U7Y</t>
        </is>
      </c>
      <c r="V85" s="51" t="inlineStr">
        <is>
          <t>U7θ</t>
        </is>
      </c>
      <c r="W85" s="51" t="inlineStr">
        <is>
          <t>U8X</t>
        </is>
      </c>
      <c r="X85" s="51" t="inlineStr">
        <is>
          <t>U8Y</t>
        </is>
      </c>
      <c r="Y85" s="51" t="inlineStr">
        <is>
          <t>U8θ</t>
        </is>
      </c>
      <c r="Z85" s="51" t="inlineStr">
        <is>
          <t>U9X</t>
        </is>
      </c>
      <c r="AA85" s="51" t="inlineStr">
        <is>
          <t>U9Y</t>
        </is>
      </c>
      <c r="AB85" s="51" t="inlineStr">
        <is>
          <t>U9θ</t>
        </is>
      </c>
      <c r="AC85" s="51" t="inlineStr">
        <is>
          <t>U10X</t>
        </is>
      </c>
      <c r="AD85" s="51" t="inlineStr">
        <is>
          <t>U10Y</t>
        </is>
      </c>
      <c r="AE85" s="51" t="inlineStr">
        <is>
          <t>U10θ</t>
        </is>
      </c>
      <c r="AF85" s="51" t="inlineStr">
        <is>
          <t>U11X</t>
        </is>
      </c>
      <c r="AG85" s="51" t="inlineStr">
        <is>
          <t>U11Y</t>
        </is>
      </c>
      <c r="AH85" s="51" t="inlineStr">
        <is>
          <t>U11θ</t>
        </is>
      </c>
    </row>
    <row r="86">
      <c r="B86" s="189" t="n"/>
      <c r="C86" s="189" t="n"/>
      <c r="D86" s="189" t="n"/>
      <c r="E86" s="189" t="n"/>
      <c r="F86" s="189" t="n"/>
      <c r="G86" s="189" t="n"/>
      <c r="H86" s="189" t="n"/>
      <c r="I86" s="189" t="n"/>
      <c r="J86" s="189" t="n"/>
      <c r="K86" s="189" t="n"/>
      <c r="L86" s="189" t="n"/>
      <c r="M86" s="189" t="n"/>
      <c r="N86" s="189" t="n"/>
      <c r="O86" s="189" t="n"/>
      <c r="P86" s="189" t="n"/>
      <c r="Q86" s="189" t="n"/>
      <c r="R86" s="189" t="n"/>
      <c r="S86" s="189" t="n"/>
      <c r="T86" s="189" t="n"/>
      <c r="U86" s="189" t="n"/>
      <c r="V86" s="189" t="n"/>
      <c r="W86" s="189" t="n"/>
      <c r="X86" s="189" t="n"/>
      <c r="Y86" s="189" t="n"/>
      <c r="Z86" s="189" t="n"/>
      <c r="AA86" s="189" t="n"/>
      <c r="AB86" s="189" t="n"/>
      <c r="AC86" s="189" t="n"/>
      <c r="AD86" s="189" t="n"/>
      <c r="AE86" s="189" t="n"/>
      <c r="AF86" s="189" t="n"/>
      <c r="AG86" s="189" t="n"/>
      <c r="AH86" s="189" t="n"/>
      <c r="AI86" s="51" t="inlineStr">
        <is>
          <t>U1X</t>
        </is>
      </c>
    </row>
    <row r="87">
      <c r="B87" s="189" t="n"/>
      <c r="C87" s="189" t="n"/>
      <c r="D87" s="189" t="n"/>
      <c r="E87" s="189" t="n"/>
      <c r="F87" s="189" t="n"/>
      <c r="G87" s="189" t="n"/>
      <c r="H87" s="189" t="n"/>
      <c r="I87" s="189" t="n"/>
      <c r="J87" s="189" t="n"/>
      <c r="K87" s="189" t="n"/>
      <c r="L87" s="189" t="n"/>
      <c r="M87" s="189" t="n"/>
      <c r="N87" s="189" t="n"/>
      <c r="O87" s="189" t="n"/>
      <c r="P87" s="189" t="n"/>
      <c r="Q87" s="189" t="n"/>
      <c r="R87" s="189" t="n"/>
      <c r="S87" s="189" t="n"/>
      <c r="T87" s="189" t="n"/>
      <c r="U87" s="189" t="n"/>
      <c r="V87" s="189" t="n"/>
      <c r="W87" s="189" t="n"/>
      <c r="X87" s="189" t="n"/>
      <c r="Y87" s="189" t="n"/>
      <c r="Z87" s="189" t="n"/>
      <c r="AA87" s="189" t="n"/>
      <c r="AB87" s="189" t="n"/>
      <c r="AC87" s="189" t="n"/>
      <c r="AD87" s="189" t="n"/>
      <c r="AE87" s="189" t="n"/>
      <c r="AF87" s="189" t="n"/>
      <c r="AG87" s="189" t="n"/>
      <c r="AH87" s="189" t="n"/>
      <c r="AI87" s="51" t="inlineStr">
        <is>
          <t>U1Y</t>
        </is>
      </c>
    </row>
    <row r="88">
      <c r="B88" s="189" t="n"/>
      <c r="C88" s="189" t="n"/>
      <c r="D88" s="189" t="n"/>
      <c r="E88" s="189" t="n"/>
      <c r="F88" s="189" t="n"/>
      <c r="G88" s="189" t="n"/>
      <c r="H88" s="189" t="n"/>
      <c r="I88" s="189" t="n"/>
      <c r="J88" s="189" t="n"/>
      <c r="K88" s="189" t="n"/>
      <c r="L88" s="189" t="n"/>
      <c r="M88" s="189" t="n"/>
      <c r="N88" s="189" t="n"/>
      <c r="O88" s="189" t="n"/>
      <c r="P88" s="189" t="n"/>
      <c r="Q88" s="189" t="n"/>
      <c r="R88" s="189" t="n"/>
      <c r="S88" s="189" t="n"/>
      <c r="T88" s="189" t="n"/>
      <c r="U88" s="189" t="n"/>
      <c r="V88" s="189" t="n"/>
      <c r="W88" s="189" t="n"/>
      <c r="X88" s="189" t="n"/>
      <c r="Y88" s="189" t="n"/>
      <c r="Z88" s="189" t="n"/>
      <c r="AA88" s="189" t="n"/>
      <c r="AB88" s="189" t="n"/>
      <c r="AC88" s="189" t="n"/>
      <c r="AD88" s="189" t="n"/>
      <c r="AE88" s="189" t="n"/>
      <c r="AF88" s="189" t="n"/>
      <c r="AG88" s="189" t="n"/>
      <c r="AH88" s="189" t="n"/>
      <c r="AI88" s="51" t="inlineStr">
        <is>
          <t>U1θ</t>
        </is>
      </c>
    </row>
    <row r="89">
      <c r="B89" s="189" t="n"/>
      <c r="C89" s="189" t="n"/>
      <c r="D89" s="189" t="n"/>
      <c r="E89" s="189">
        <f>B78</f>
        <v/>
      </c>
      <c r="F89" s="189">
        <f>C78</f>
        <v/>
      </c>
      <c r="G89" s="189">
        <f>D78</f>
        <v/>
      </c>
      <c r="H89" s="189">
        <f>E78</f>
        <v/>
      </c>
      <c r="I89" s="189">
        <f>F78</f>
        <v/>
      </c>
      <c r="J89" s="189">
        <f>G78</f>
        <v/>
      </c>
      <c r="K89" s="189" t="n"/>
      <c r="L89" s="189" t="n"/>
      <c r="M89" s="189" t="n"/>
      <c r="N89" s="189" t="n"/>
      <c r="O89" s="189" t="n"/>
      <c r="P89" s="189" t="n"/>
      <c r="Q89" s="189" t="n"/>
      <c r="R89" s="189" t="n"/>
      <c r="S89" s="189" t="n"/>
      <c r="T89" s="189" t="n"/>
      <c r="U89" s="189" t="n"/>
      <c r="V89" s="189" t="n"/>
      <c r="W89" s="189" t="n"/>
      <c r="X89" s="189" t="n"/>
      <c r="Y89" s="189" t="n"/>
      <c r="Z89" s="189" t="n"/>
      <c r="AA89" s="189" t="n"/>
      <c r="AB89" s="189" t="n"/>
      <c r="AC89" s="189" t="n"/>
      <c r="AD89" s="189" t="n"/>
      <c r="AE89" s="189" t="n"/>
      <c r="AF89" s="189" t="n"/>
      <c r="AG89" s="189" t="n"/>
      <c r="AH89" s="189" t="n"/>
      <c r="AI89" s="51" t="inlineStr">
        <is>
          <t>U2X</t>
        </is>
      </c>
    </row>
    <row r="90">
      <c r="B90" s="189" t="n"/>
      <c r="C90" s="189" t="n"/>
      <c r="D90" s="189" t="n"/>
      <c r="E90" s="189">
        <f>B79</f>
        <v/>
      </c>
      <c r="F90" s="189">
        <f>C79</f>
        <v/>
      </c>
      <c r="G90" s="189">
        <f>D79</f>
        <v/>
      </c>
      <c r="H90" s="189">
        <f>E79</f>
        <v/>
      </c>
      <c r="I90" s="189">
        <f>F79</f>
        <v/>
      </c>
      <c r="J90" s="189">
        <f>G79</f>
        <v/>
      </c>
      <c r="K90" s="189" t="n"/>
      <c r="L90" s="189" t="n"/>
      <c r="M90" s="189" t="n"/>
      <c r="N90" s="189" t="n"/>
      <c r="O90" s="189" t="n"/>
      <c r="P90" s="189" t="n"/>
      <c r="Q90" s="189" t="n"/>
      <c r="R90" s="189" t="n"/>
      <c r="S90" s="189" t="n"/>
      <c r="T90" s="189" t="n"/>
      <c r="U90" s="189" t="n"/>
      <c r="V90" s="189" t="n"/>
      <c r="W90" s="189" t="n"/>
      <c r="X90" s="189" t="n"/>
      <c r="Y90" s="189" t="n"/>
      <c r="Z90" s="189" t="n"/>
      <c r="AA90" s="189" t="n"/>
      <c r="AB90" s="189" t="n"/>
      <c r="AC90" s="189" t="n"/>
      <c r="AD90" s="189" t="n"/>
      <c r="AE90" s="189" t="n"/>
      <c r="AF90" s="189" t="n"/>
      <c r="AG90" s="189" t="n"/>
      <c r="AH90" s="189" t="n"/>
      <c r="AI90" s="51" t="inlineStr">
        <is>
          <t>U2Y</t>
        </is>
      </c>
    </row>
    <row r="91">
      <c r="B91" s="189" t="n"/>
      <c r="C91" s="189" t="n"/>
      <c r="D91" s="189" t="n"/>
      <c r="E91" s="189">
        <f>B80</f>
        <v/>
      </c>
      <c r="F91" s="189">
        <f>C80</f>
        <v/>
      </c>
      <c r="G91" s="189">
        <f>D80</f>
        <v/>
      </c>
      <c r="H91" s="189">
        <f>E80</f>
        <v/>
      </c>
      <c r="I91" s="189">
        <f>F80</f>
        <v/>
      </c>
      <c r="J91" s="189">
        <f>G80</f>
        <v/>
      </c>
      <c r="K91" s="189" t="n"/>
      <c r="L91" s="189" t="n"/>
      <c r="M91" s="189" t="n"/>
      <c r="N91" s="189" t="n"/>
      <c r="O91" s="189" t="n"/>
      <c r="P91" s="189" t="n"/>
      <c r="Q91" s="189" t="n"/>
      <c r="R91" s="189" t="n"/>
      <c r="S91" s="189" t="n"/>
      <c r="T91" s="189" t="n"/>
      <c r="U91" s="189" t="n"/>
      <c r="V91" s="189" t="n"/>
      <c r="W91" s="189" t="n"/>
      <c r="X91" s="189" t="n"/>
      <c r="Y91" s="189" t="n"/>
      <c r="Z91" s="189" t="n"/>
      <c r="AA91" s="189" t="n"/>
      <c r="AB91" s="189" t="n"/>
      <c r="AC91" s="189" t="n"/>
      <c r="AD91" s="189" t="n"/>
      <c r="AE91" s="189" t="n"/>
      <c r="AF91" s="189" t="n"/>
      <c r="AG91" s="189" t="n"/>
      <c r="AH91" s="189" t="n"/>
      <c r="AI91" s="51" t="inlineStr">
        <is>
          <t>U2θ</t>
        </is>
      </c>
    </row>
    <row r="92">
      <c r="B92" s="189" t="n"/>
      <c r="C92" s="189" t="n"/>
      <c r="D92" s="189" t="n"/>
      <c r="E92" s="189">
        <f>B81</f>
        <v/>
      </c>
      <c r="F92" s="189">
        <f>C81</f>
        <v/>
      </c>
      <c r="G92" s="189">
        <f>D81</f>
        <v/>
      </c>
      <c r="H92" s="189">
        <f>E81</f>
        <v/>
      </c>
      <c r="I92" s="189">
        <f>F81</f>
        <v/>
      </c>
      <c r="J92" s="189">
        <f>G81</f>
        <v/>
      </c>
      <c r="K92" s="189" t="n"/>
      <c r="L92" s="189" t="n"/>
      <c r="M92" s="189" t="n"/>
      <c r="N92" s="189" t="n"/>
      <c r="O92" s="189" t="n"/>
      <c r="P92" s="189" t="n"/>
      <c r="Q92" s="189" t="n"/>
      <c r="R92" s="189" t="n"/>
      <c r="S92" s="189" t="n"/>
      <c r="T92" s="189" t="n"/>
      <c r="U92" s="189" t="n"/>
      <c r="V92" s="189" t="n"/>
      <c r="W92" s="189" t="n"/>
      <c r="X92" s="189" t="n"/>
      <c r="Y92" s="189" t="n"/>
      <c r="Z92" s="189" t="n"/>
      <c r="AA92" s="189" t="n"/>
      <c r="AB92" s="189" t="n"/>
      <c r="AC92" s="189" t="n"/>
      <c r="AD92" s="189" t="n"/>
      <c r="AE92" s="189" t="n"/>
      <c r="AF92" s="189" t="n"/>
      <c r="AG92" s="189" t="n"/>
      <c r="AH92" s="189" t="n"/>
      <c r="AI92" s="51" t="inlineStr">
        <is>
          <t>U3X</t>
        </is>
      </c>
    </row>
    <row r="93">
      <c r="B93" s="189" t="n"/>
      <c r="C93" s="189" t="n"/>
      <c r="D93" s="189" t="n"/>
      <c r="E93" s="189">
        <f>B82</f>
        <v/>
      </c>
      <c r="F93" s="189">
        <f>C82</f>
        <v/>
      </c>
      <c r="G93" s="189">
        <f>D82</f>
        <v/>
      </c>
      <c r="H93" s="189">
        <f>E82</f>
        <v/>
      </c>
      <c r="I93" s="189">
        <f>F82</f>
        <v/>
      </c>
      <c r="J93" s="189">
        <f>G82</f>
        <v/>
      </c>
      <c r="K93" s="189" t="n"/>
      <c r="L93" s="189" t="n"/>
      <c r="M93" s="189" t="n"/>
      <c r="N93" s="189" t="n"/>
      <c r="O93" s="189" t="n"/>
      <c r="P93" s="189" t="n"/>
      <c r="Q93" s="189" t="n"/>
      <c r="R93" s="189" t="n"/>
      <c r="S93" s="189" t="n"/>
      <c r="T93" s="189" t="n"/>
      <c r="U93" s="189" t="n"/>
      <c r="V93" s="189" t="n"/>
      <c r="W93" s="189" t="n"/>
      <c r="X93" s="189" t="n"/>
      <c r="Y93" s="189" t="n"/>
      <c r="Z93" s="189" t="n"/>
      <c r="AA93" s="189" t="n"/>
      <c r="AB93" s="189" t="n"/>
      <c r="AC93" s="189" t="n"/>
      <c r="AD93" s="189" t="n"/>
      <c r="AE93" s="189" t="n"/>
      <c r="AF93" s="189" t="n"/>
      <c r="AG93" s="189" t="n"/>
      <c r="AH93" s="189" t="n"/>
      <c r="AI93" s="51" t="inlineStr">
        <is>
          <t>U3Y</t>
        </is>
      </c>
    </row>
    <row r="94">
      <c r="B94" s="189" t="n"/>
      <c r="C94" s="189" t="n"/>
      <c r="D94" s="189" t="n"/>
      <c r="E94" s="189">
        <f>B83</f>
        <v/>
      </c>
      <c r="F94" s="189">
        <f>C83</f>
        <v/>
      </c>
      <c r="G94" s="189">
        <f>D83</f>
        <v/>
      </c>
      <c r="H94" s="189">
        <f>E83</f>
        <v/>
      </c>
      <c r="I94" s="189">
        <f>F83</f>
        <v/>
      </c>
      <c r="J94" s="189">
        <f>G83</f>
        <v/>
      </c>
      <c r="K94" s="189" t="n"/>
      <c r="L94" s="189" t="n"/>
      <c r="M94" s="189" t="n"/>
      <c r="N94" s="189" t="n"/>
      <c r="O94" s="189" t="n"/>
      <c r="P94" s="189" t="n"/>
      <c r="Q94" s="189" t="n"/>
      <c r="R94" s="189" t="n"/>
      <c r="S94" s="189" t="n"/>
      <c r="T94" s="189" t="n"/>
      <c r="U94" s="189" t="n"/>
      <c r="V94" s="189" t="n"/>
      <c r="W94" s="189" t="n"/>
      <c r="X94" s="189" t="n"/>
      <c r="Y94" s="189" t="n"/>
      <c r="Z94" s="189" t="n"/>
      <c r="AA94" s="189" t="n"/>
      <c r="AB94" s="189" t="n"/>
      <c r="AC94" s="189" t="n"/>
      <c r="AD94" s="189" t="n"/>
      <c r="AE94" s="189" t="n"/>
      <c r="AF94" s="189" t="n"/>
      <c r="AG94" s="189" t="n"/>
      <c r="AH94" s="189" t="n"/>
      <c r="AI94" s="51" t="inlineStr">
        <is>
          <t>U3θ</t>
        </is>
      </c>
    </row>
    <row r="95">
      <c r="B95" s="189" t="n"/>
      <c r="C95" s="189" t="n"/>
      <c r="D95" s="189" t="n"/>
      <c r="E95" s="189" t="n"/>
      <c r="F95" s="189" t="n"/>
      <c r="G95" s="189" t="n"/>
      <c r="H95" s="189" t="n"/>
      <c r="I95" s="189" t="n"/>
      <c r="J95" s="189" t="n"/>
      <c r="K95" s="189" t="n"/>
      <c r="L95" s="189" t="n"/>
      <c r="M95" s="189" t="n"/>
      <c r="N95" s="189" t="n"/>
      <c r="O95" s="189" t="n"/>
      <c r="P95" s="189" t="n"/>
      <c r="Q95" s="189" t="n"/>
      <c r="R95" s="189" t="n"/>
      <c r="S95" s="189" t="n"/>
      <c r="T95" s="189" t="n"/>
      <c r="U95" s="189" t="n"/>
      <c r="V95" s="189" t="n"/>
      <c r="W95" s="189" t="n"/>
      <c r="X95" s="189" t="n"/>
      <c r="Y95" s="189" t="n"/>
      <c r="Z95" s="189" t="n"/>
      <c r="AA95" s="189" t="n"/>
      <c r="AB95" s="189" t="n"/>
      <c r="AC95" s="189" t="n"/>
      <c r="AD95" s="189" t="n"/>
      <c r="AE95" s="189" t="n"/>
      <c r="AF95" s="189" t="n"/>
      <c r="AG95" s="189" t="n"/>
      <c r="AH95" s="189" t="n"/>
      <c r="AI95" s="51" t="inlineStr">
        <is>
          <t>U4X</t>
        </is>
      </c>
    </row>
    <row r="96">
      <c r="B96" s="189" t="n"/>
      <c r="C96" s="189" t="n"/>
      <c r="D96" s="189" t="n"/>
      <c r="E96" s="189" t="n"/>
      <c r="F96" s="189" t="n"/>
      <c r="G96" s="189" t="n"/>
      <c r="H96" s="189" t="n"/>
      <c r="I96" s="189" t="n"/>
      <c r="J96" s="189" t="n"/>
      <c r="K96" s="189" t="n"/>
      <c r="L96" s="189" t="n"/>
      <c r="M96" s="189" t="n"/>
      <c r="N96" s="189" t="n"/>
      <c r="O96" s="189" t="n"/>
      <c r="P96" s="189" t="n"/>
      <c r="Q96" s="189" t="n"/>
      <c r="R96" s="189" t="n"/>
      <c r="S96" s="189" t="n"/>
      <c r="T96" s="189" t="n"/>
      <c r="U96" s="189" t="n"/>
      <c r="V96" s="189" t="n"/>
      <c r="W96" s="189" t="n"/>
      <c r="X96" s="189" t="n"/>
      <c r="Y96" s="189" t="n"/>
      <c r="Z96" s="189" t="n"/>
      <c r="AA96" s="189" t="n"/>
      <c r="AB96" s="189" t="n"/>
      <c r="AC96" s="189" t="n"/>
      <c r="AD96" s="189" t="n"/>
      <c r="AE96" s="189" t="n"/>
      <c r="AF96" s="189" t="n"/>
      <c r="AG96" s="189" t="n"/>
      <c r="AH96" s="189" t="n"/>
      <c r="AI96" s="51" t="inlineStr">
        <is>
          <t>U4Y</t>
        </is>
      </c>
    </row>
    <row r="97">
      <c r="B97" s="189" t="n"/>
      <c r="C97" s="189" t="n"/>
      <c r="D97" s="189" t="n"/>
      <c r="E97" s="189" t="n"/>
      <c r="F97" s="189" t="n"/>
      <c r="G97" s="189" t="n"/>
      <c r="H97" s="189" t="n"/>
      <c r="I97" s="189" t="n"/>
      <c r="J97" s="189" t="n"/>
      <c r="K97" s="189" t="n"/>
      <c r="L97" s="189" t="n"/>
      <c r="M97" s="189" t="n"/>
      <c r="N97" s="189" t="n"/>
      <c r="O97" s="189" t="n"/>
      <c r="P97" s="189" t="n"/>
      <c r="Q97" s="189" t="n"/>
      <c r="R97" s="189" t="n"/>
      <c r="S97" s="189" t="n"/>
      <c r="T97" s="189" t="n"/>
      <c r="U97" s="189" t="n"/>
      <c r="V97" s="189" t="n"/>
      <c r="W97" s="189" t="n"/>
      <c r="X97" s="189" t="n"/>
      <c r="Y97" s="189" t="n"/>
      <c r="Z97" s="189" t="n"/>
      <c r="AA97" s="189" t="n"/>
      <c r="AB97" s="189" t="n"/>
      <c r="AC97" s="189" t="n"/>
      <c r="AD97" s="189" t="n"/>
      <c r="AE97" s="189" t="n"/>
      <c r="AF97" s="189" t="n"/>
      <c r="AG97" s="189" t="n"/>
      <c r="AH97" s="189" t="n"/>
      <c r="AI97" s="51" t="inlineStr">
        <is>
          <t>U4θ</t>
        </is>
      </c>
    </row>
    <row r="98">
      <c r="B98" s="189" t="n"/>
      <c r="C98" s="189" t="n"/>
      <c r="D98" s="189" t="n"/>
      <c r="E98" s="189" t="n"/>
      <c r="F98" s="189" t="n"/>
      <c r="G98" s="189" t="n"/>
      <c r="H98" s="189" t="n"/>
      <c r="I98" s="189" t="n"/>
      <c r="J98" s="189" t="n"/>
      <c r="K98" s="189" t="n"/>
      <c r="L98" s="189" t="n"/>
      <c r="M98" s="189" t="n"/>
      <c r="N98" s="189" t="n"/>
      <c r="O98" s="189" t="n"/>
      <c r="P98" s="189" t="n"/>
      <c r="Q98" s="189" t="n"/>
      <c r="R98" s="189" t="n"/>
      <c r="S98" s="189" t="n"/>
      <c r="T98" s="189" t="n"/>
      <c r="U98" s="189" t="n"/>
      <c r="V98" s="189" t="n"/>
      <c r="W98" s="189" t="n"/>
      <c r="X98" s="189" t="n"/>
      <c r="Y98" s="189" t="n"/>
      <c r="Z98" s="189" t="n"/>
      <c r="AA98" s="189" t="n"/>
      <c r="AB98" s="189" t="n"/>
      <c r="AC98" s="189" t="n"/>
      <c r="AD98" s="189" t="n"/>
      <c r="AE98" s="189" t="n"/>
      <c r="AF98" s="189" t="n"/>
      <c r="AG98" s="189" t="n"/>
      <c r="AH98" s="189" t="n"/>
      <c r="AI98" s="51" t="inlineStr">
        <is>
          <t>U5X</t>
        </is>
      </c>
    </row>
    <row r="99">
      <c r="B99" s="189" t="n"/>
      <c r="C99" s="189" t="n"/>
      <c r="D99" s="189" t="n"/>
      <c r="E99" s="189" t="n"/>
      <c r="F99" s="189" t="n"/>
      <c r="G99" s="189" t="n"/>
      <c r="H99" s="189" t="n"/>
      <c r="I99" s="189" t="n"/>
      <c r="J99" s="189" t="n"/>
      <c r="K99" s="189" t="n"/>
      <c r="L99" s="189" t="n"/>
      <c r="M99" s="189" t="n"/>
      <c r="N99" s="189" t="n"/>
      <c r="O99" s="189" t="n"/>
      <c r="P99" s="189" t="n"/>
      <c r="Q99" s="189" t="n"/>
      <c r="R99" s="189" t="n"/>
      <c r="S99" s="189" t="n"/>
      <c r="T99" s="189" t="n"/>
      <c r="U99" s="189" t="n"/>
      <c r="V99" s="189" t="n"/>
      <c r="W99" s="189" t="n"/>
      <c r="X99" s="189" t="n"/>
      <c r="Y99" s="189" t="n"/>
      <c r="Z99" s="189" t="n"/>
      <c r="AA99" s="189" t="n"/>
      <c r="AB99" s="189" t="n"/>
      <c r="AC99" s="189" t="n"/>
      <c r="AD99" s="189" t="n"/>
      <c r="AE99" s="189" t="n"/>
      <c r="AF99" s="189" t="n"/>
      <c r="AG99" s="189" t="n"/>
      <c r="AH99" s="189" t="n"/>
      <c r="AI99" s="51" t="inlineStr">
        <is>
          <t>U5Y</t>
        </is>
      </c>
    </row>
    <row r="100">
      <c r="B100" s="189" t="n"/>
      <c r="C100" s="189" t="n"/>
      <c r="D100" s="189" t="n"/>
      <c r="E100" s="189" t="n"/>
      <c r="F100" s="189" t="n"/>
      <c r="G100" s="189" t="n"/>
      <c r="H100" s="189" t="n"/>
      <c r="I100" s="189" t="n"/>
      <c r="J100" s="189" t="n"/>
      <c r="K100" s="189" t="n"/>
      <c r="L100" s="189" t="n"/>
      <c r="M100" s="189" t="n"/>
      <c r="N100" s="189" t="n"/>
      <c r="O100" s="189" t="n"/>
      <c r="P100" s="189" t="n"/>
      <c r="Q100" s="189" t="n"/>
      <c r="R100" s="189" t="n"/>
      <c r="S100" s="189" t="n"/>
      <c r="T100" s="189" t="n"/>
      <c r="U100" s="189" t="n"/>
      <c r="V100" s="189" t="n"/>
      <c r="W100" s="189" t="n"/>
      <c r="X100" s="189" t="n"/>
      <c r="Y100" s="189" t="n"/>
      <c r="Z100" s="189" t="n"/>
      <c r="AA100" s="189" t="n"/>
      <c r="AB100" s="189" t="n"/>
      <c r="AC100" s="189" t="n"/>
      <c r="AD100" s="189" t="n"/>
      <c r="AE100" s="189" t="n"/>
      <c r="AF100" s="189" t="n"/>
      <c r="AG100" s="189" t="n"/>
      <c r="AH100" s="189" t="n"/>
      <c r="AI100" s="51" t="inlineStr">
        <is>
          <t>U5θ</t>
        </is>
      </c>
    </row>
    <row r="101">
      <c r="A101" s="118" t="inlineStr">
        <is>
          <t>K2 =</t>
        </is>
      </c>
      <c r="B101" s="189" t="n"/>
      <c r="C101" s="189" t="n"/>
      <c r="D101" s="189" t="n"/>
      <c r="E101" s="189" t="n"/>
      <c r="F101" s="189" t="n"/>
      <c r="G101" s="189" t="n"/>
      <c r="H101" s="189" t="n"/>
      <c r="I101" s="189" t="n"/>
      <c r="J101" s="189" t="n"/>
      <c r="K101" s="189" t="n"/>
      <c r="L101" s="189" t="n"/>
      <c r="M101" s="189" t="n"/>
      <c r="N101" s="189" t="n"/>
      <c r="O101" s="189" t="n"/>
      <c r="P101" s="189" t="n"/>
      <c r="Q101" s="189" t="n"/>
      <c r="R101" s="189" t="n"/>
      <c r="S101" s="189" t="n"/>
      <c r="T101" s="189" t="n"/>
      <c r="U101" s="189" t="n"/>
      <c r="V101" s="189" t="n"/>
      <c r="W101" s="189" t="n"/>
      <c r="X101" s="189" t="n"/>
      <c r="Y101" s="189" t="n"/>
      <c r="Z101" s="189" t="n"/>
      <c r="AA101" s="189" t="n"/>
      <c r="AB101" s="189" t="n"/>
      <c r="AC101" s="189" t="n"/>
      <c r="AD101" s="189" t="n"/>
      <c r="AE101" s="189" t="n"/>
      <c r="AF101" s="189" t="n"/>
      <c r="AG101" s="189" t="n"/>
      <c r="AH101" s="189" t="n"/>
      <c r="AI101" s="51" t="inlineStr">
        <is>
          <t>U6X</t>
        </is>
      </c>
    </row>
    <row r="102">
      <c r="B102" s="189" t="n"/>
      <c r="C102" s="189" t="n"/>
      <c r="D102" s="189" t="n"/>
      <c r="E102" s="189" t="n"/>
      <c r="F102" s="189" t="n"/>
      <c r="G102" s="189" t="n"/>
      <c r="H102" s="189" t="n"/>
      <c r="I102" s="189" t="n"/>
      <c r="J102" s="189" t="n"/>
      <c r="K102" s="189" t="n"/>
      <c r="L102" s="189" t="n"/>
      <c r="M102" s="189" t="n"/>
      <c r="N102" s="189" t="n"/>
      <c r="O102" s="189" t="n"/>
      <c r="P102" s="189" t="n"/>
      <c r="Q102" s="189" t="n"/>
      <c r="R102" s="189" t="n"/>
      <c r="S102" s="189" t="n"/>
      <c r="T102" s="189" t="n"/>
      <c r="U102" s="189" t="n"/>
      <c r="V102" s="189" t="n"/>
      <c r="W102" s="189" t="n"/>
      <c r="X102" s="189" t="n"/>
      <c r="Y102" s="189" t="n"/>
      <c r="Z102" s="189" t="n"/>
      <c r="AA102" s="189" t="n"/>
      <c r="AB102" s="189" t="n"/>
      <c r="AC102" s="189" t="n"/>
      <c r="AD102" s="189" t="n"/>
      <c r="AE102" s="189" t="n"/>
      <c r="AF102" s="189" t="n"/>
      <c r="AG102" s="189" t="n"/>
      <c r="AH102" s="189" t="n"/>
      <c r="AI102" s="51" t="inlineStr">
        <is>
          <t>U6Y</t>
        </is>
      </c>
    </row>
    <row r="103">
      <c r="B103" s="189" t="n"/>
      <c r="C103" s="189" t="n"/>
      <c r="D103" s="189" t="n"/>
      <c r="E103" s="189" t="n"/>
      <c r="F103" s="189" t="n"/>
      <c r="G103" s="189" t="n"/>
      <c r="H103" s="189" t="n"/>
      <c r="I103" s="189" t="n"/>
      <c r="J103" s="189" t="n"/>
      <c r="K103" s="189" t="n"/>
      <c r="L103" s="189" t="n"/>
      <c r="M103" s="189" t="n"/>
      <c r="N103" s="189" t="n"/>
      <c r="O103" s="189" t="n"/>
      <c r="P103" s="189" t="n"/>
      <c r="Q103" s="189" t="n"/>
      <c r="R103" s="189" t="n"/>
      <c r="S103" s="189" t="n"/>
      <c r="T103" s="189" t="n"/>
      <c r="U103" s="189" t="n"/>
      <c r="V103" s="189" t="n"/>
      <c r="W103" s="189" t="n"/>
      <c r="X103" s="189" t="n"/>
      <c r="Y103" s="189" t="n"/>
      <c r="Z103" s="189" t="n"/>
      <c r="AA103" s="189" t="n"/>
      <c r="AB103" s="189" t="n"/>
      <c r="AC103" s="189" t="n"/>
      <c r="AD103" s="189" t="n"/>
      <c r="AE103" s="189" t="n"/>
      <c r="AF103" s="189" t="n"/>
      <c r="AG103" s="189" t="n"/>
      <c r="AH103" s="189" t="n"/>
      <c r="AI103" s="51" t="inlineStr">
        <is>
          <t>U6θ</t>
        </is>
      </c>
    </row>
    <row r="104">
      <c r="B104" s="189" t="n"/>
      <c r="C104" s="189" t="n"/>
      <c r="D104" s="189" t="n"/>
      <c r="E104" s="189" t="n"/>
      <c r="F104" s="189" t="n"/>
      <c r="G104" s="189" t="n"/>
      <c r="H104" s="189" t="n"/>
      <c r="I104" s="189" t="n"/>
      <c r="J104" s="189" t="n"/>
      <c r="K104" s="189" t="n"/>
      <c r="L104" s="189" t="n"/>
      <c r="M104" s="189" t="n"/>
      <c r="N104" s="189" t="n"/>
      <c r="O104" s="189" t="n"/>
      <c r="P104" s="189" t="n"/>
      <c r="Q104" s="189" t="n"/>
      <c r="R104" s="189" t="n"/>
      <c r="S104" s="189" t="n"/>
      <c r="T104" s="189" t="n"/>
      <c r="U104" s="189" t="n"/>
      <c r="V104" s="189" t="n"/>
      <c r="W104" s="189" t="n"/>
      <c r="X104" s="189" t="n"/>
      <c r="Y104" s="189" t="n"/>
      <c r="Z104" s="189" t="n"/>
      <c r="AA104" s="189" t="n"/>
      <c r="AB104" s="189" t="n"/>
      <c r="AC104" s="189" t="n"/>
      <c r="AD104" s="189" t="n"/>
      <c r="AE104" s="189" t="n"/>
      <c r="AF104" s="189" t="n"/>
      <c r="AG104" s="189" t="n"/>
      <c r="AH104" s="189" t="n"/>
      <c r="AI104" s="51" t="inlineStr">
        <is>
          <t>U7X</t>
        </is>
      </c>
    </row>
    <row r="105">
      <c r="B105" s="189" t="n"/>
      <c r="C105" s="189" t="n"/>
      <c r="D105" s="189" t="n"/>
      <c r="E105" s="189" t="n"/>
      <c r="F105" s="189" t="n"/>
      <c r="G105" s="189" t="n"/>
      <c r="H105" s="189" t="n"/>
      <c r="I105" s="189" t="n"/>
      <c r="J105" s="189" t="n"/>
      <c r="K105" s="189" t="n"/>
      <c r="L105" s="189" t="n"/>
      <c r="M105" s="189" t="n"/>
      <c r="N105" s="189" t="n"/>
      <c r="O105" s="189" t="n"/>
      <c r="P105" s="189" t="n"/>
      <c r="Q105" s="189" t="n"/>
      <c r="R105" s="189" t="n"/>
      <c r="S105" s="189" t="n"/>
      <c r="T105" s="189" t="n"/>
      <c r="U105" s="189" t="n"/>
      <c r="V105" s="189" t="n"/>
      <c r="W105" s="189" t="n"/>
      <c r="X105" s="189" t="n"/>
      <c r="Y105" s="189" t="n"/>
      <c r="Z105" s="189" t="n"/>
      <c r="AA105" s="189" t="n"/>
      <c r="AB105" s="189" t="n"/>
      <c r="AC105" s="189" t="n"/>
      <c r="AD105" s="189" t="n"/>
      <c r="AE105" s="189" t="n"/>
      <c r="AF105" s="189" t="n"/>
      <c r="AG105" s="189" t="n"/>
      <c r="AH105" s="189" t="n"/>
      <c r="AI105" s="51" t="inlineStr">
        <is>
          <t>U7Y</t>
        </is>
      </c>
    </row>
    <row r="106">
      <c r="B106" s="189" t="n"/>
      <c r="C106" s="189" t="n"/>
      <c r="D106" s="189" t="n"/>
      <c r="E106" s="189" t="n"/>
      <c r="F106" s="189" t="n"/>
      <c r="G106" s="189" t="n"/>
      <c r="H106" s="189" t="n"/>
      <c r="I106" s="189" t="n"/>
      <c r="J106" s="189" t="n"/>
      <c r="K106" s="189" t="n"/>
      <c r="L106" s="189" t="n"/>
      <c r="M106" s="189" t="n"/>
      <c r="N106" s="189" t="n"/>
      <c r="O106" s="189" t="n"/>
      <c r="P106" s="189" t="n"/>
      <c r="Q106" s="189" t="n"/>
      <c r="R106" s="189" t="n"/>
      <c r="S106" s="189" t="n"/>
      <c r="T106" s="189" t="n"/>
      <c r="U106" s="189" t="n"/>
      <c r="V106" s="189" t="n"/>
      <c r="W106" s="189" t="n"/>
      <c r="X106" s="189" t="n"/>
      <c r="Y106" s="189" t="n"/>
      <c r="Z106" s="189" t="n"/>
      <c r="AA106" s="189" t="n"/>
      <c r="AB106" s="189" t="n"/>
      <c r="AC106" s="189" t="n"/>
      <c r="AD106" s="189" t="n"/>
      <c r="AE106" s="189" t="n"/>
      <c r="AF106" s="189" t="n"/>
      <c r="AG106" s="189" t="n"/>
      <c r="AH106" s="189" t="n"/>
      <c r="AI106" s="51" t="inlineStr">
        <is>
          <t>U7θ</t>
        </is>
      </c>
    </row>
    <row r="107">
      <c r="B107" s="189" t="n"/>
      <c r="C107" s="189" t="n"/>
      <c r="D107" s="189" t="n"/>
      <c r="E107" s="189" t="n"/>
      <c r="F107" s="189" t="n"/>
      <c r="G107" s="189" t="n"/>
      <c r="H107" s="189" t="n"/>
      <c r="I107" s="189" t="n"/>
      <c r="J107" s="189" t="n"/>
      <c r="K107" s="189" t="n"/>
      <c r="L107" s="189" t="n"/>
      <c r="M107" s="189" t="n"/>
      <c r="N107" s="189" t="n"/>
      <c r="O107" s="189" t="n"/>
      <c r="P107" s="189" t="n"/>
      <c r="Q107" s="189" t="n"/>
      <c r="R107" s="189" t="n"/>
      <c r="S107" s="189" t="n"/>
      <c r="T107" s="189" t="n"/>
      <c r="U107" s="189" t="n"/>
      <c r="V107" s="189" t="n"/>
      <c r="W107" s="189" t="n"/>
      <c r="X107" s="189" t="n"/>
      <c r="Y107" s="189" t="n"/>
      <c r="Z107" s="189" t="n"/>
      <c r="AA107" s="189" t="n"/>
      <c r="AB107" s="189" t="n"/>
      <c r="AC107" s="189" t="n"/>
      <c r="AD107" s="189" t="n"/>
      <c r="AE107" s="189" t="n"/>
      <c r="AF107" s="189" t="n"/>
      <c r="AG107" s="189" t="n"/>
      <c r="AH107" s="189" t="n"/>
      <c r="AI107" s="51" t="inlineStr">
        <is>
          <t>U8X</t>
        </is>
      </c>
    </row>
    <row r="108">
      <c r="B108" s="189" t="n"/>
      <c r="C108" s="189" t="n"/>
      <c r="D108" s="189" t="n"/>
      <c r="E108" s="189" t="n"/>
      <c r="F108" s="189" t="n"/>
      <c r="G108" s="189" t="n"/>
      <c r="H108" s="189" t="n"/>
      <c r="I108" s="189" t="n"/>
      <c r="J108" s="189" t="n"/>
      <c r="K108" s="189" t="n"/>
      <c r="L108" s="189" t="n"/>
      <c r="M108" s="189" t="n"/>
      <c r="N108" s="189" t="n"/>
      <c r="O108" s="189" t="n"/>
      <c r="P108" s="189" t="n"/>
      <c r="Q108" s="189" t="n"/>
      <c r="R108" s="189" t="n"/>
      <c r="S108" s="189" t="n"/>
      <c r="T108" s="189" t="n"/>
      <c r="U108" s="189" t="n"/>
      <c r="V108" s="189" t="n"/>
      <c r="W108" s="189" t="n"/>
      <c r="X108" s="189" t="n"/>
      <c r="Y108" s="189" t="n"/>
      <c r="Z108" s="189" t="n"/>
      <c r="AA108" s="189" t="n"/>
      <c r="AB108" s="189" t="n"/>
      <c r="AC108" s="189" t="n"/>
      <c r="AD108" s="189" t="n"/>
      <c r="AE108" s="189" t="n"/>
      <c r="AF108" s="189" t="n"/>
      <c r="AG108" s="189" t="n"/>
      <c r="AH108" s="189" t="n"/>
      <c r="AI108" s="51" t="inlineStr">
        <is>
          <t>U8Y</t>
        </is>
      </c>
    </row>
    <row r="109">
      <c r="B109" s="189" t="n"/>
      <c r="C109" s="189" t="n"/>
      <c r="D109" s="189" t="n"/>
      <c r="E109" s="189" t="n"/>
      <c r="F109" s="189" t="n"/>
      <c r="G109" s="189" t="n"/>
      <c r="H109" s="189" t="n"/>
      <c r="I109" s="189" t="n"/>
      <c r="J109" s="189" t="n"/>
      <c r="K109" s="189" t="n"/>
      <c r="L109" s="189" t="n"/>
      <c r="M109" s="189" t="n"/>
      <c r="N109" s="189" t="n"/>
      <c r="O109" s="189" t="n"/>
      <c r="P109" s="189" t="n"/>
      <c r="Q109" s="189" t="n"/>
      <c r="R109" s="189" t="n"/>
      <c r="S109" s="189" t="n"/>
      <c r="T109" s="189" t="n"/>
      <c r="U109" s="189" t="n"/>
      <c r="V109" s="189" t="n"/>
      <c r="W109" s="189" t="n"/>
      <c r="X109" s="189" t="n"/>
      <c r="Y109" s="189" t="n"/>
      <c r="Z109" s="189" t="n"/>
      <c r="AA109" s="189" t="n"/>
      <c r="AB109" s="189" t="n"/>
      <c r="AC109" s="189" t="n"/>
      <c r="AD109" s="189" t="n"/>
      <c r="AE109" s="189" t="n"/>
      <c r="AF109" s="189" t="n"/>
      <c r="AG109" s="189" t="n"/>
      <c r="AH109" s="189" t="n"/>
      <c r="AI109" s="51" t="inlineStr">
        <is>
          <t>U8θ</t>
        </is>
      </c>
    </row>
    <row r="110">
      <c r="B110" s="189" t="n"/>
      <c r="C110" s="189" t="n"/>
      <c r="D110" s="189" t="n"/>
      <c r="E110" s="189" t="n"/>
      <c r="F110" s="189" t="n"/>
      <c r="G110" s="189" t="n"/>
      <c r="H110" s="189" t="n"/>
      <c r="I110" s="189" t="n"/>
      <c r="J110" s="189" t="n"/>
      <c r="K110" s="189" t="n"/>
      <c r="L110" s="189" t="n"/>
      <c r="M110" s="189" t="n"/>
      <c r="N110" s="189" t="n"/>
      <c r="O110" s="189" t="n"/>
      <c r="P110" s="189" t="n"/>
      <c r="Q110" s="189" t="n"/>
      <c r="R110" s="189" t="n"/>
      <c r="S110" s="189" t="n"/>
      <c r="T110" s="189" t="n"/>
      <c r="U110" s="189" t="n"/>
      <c r="V110" s="189" t="n"/>
      <c r="W110" s="189" t="n"/>
      <c r="X110" s="189" t="n"/>
      <c r="Y110" s="189" t="n"/>
      <c r="Z110" s="189" t="n"/>
      <c r="AA110" s="189" t="n"/>
      <c r="AB110" s="189" t="n"/>
      <c r="AC110" s="189" t="n"/>
      <c r="AD110" s="189" t="n"/>
      <c r="AE110" s="189" t="n"/>
      <c r="AF110" s="189" t="n"/>
      <c r="AG110" s="189" t="n"/>
      <c r="AH110" s="189" t="n"/>
      <c r="AI110" s="51" t="inlineStr">
        <is>
          <t>U9X</t>
        </is>
      </c>
    </row>
    <row r="111">
      <c r="B111" s="189" t="n"/>
      <c r="C111" s="189" t="n"/>
      <c r="D111" s="189" t="n"/>
      <c r="E111" s="189" t="n"/>
      <c r="F111" s="189" t="n"/>
      <c r="G111" s="189" t="n"/>
      <c r="H111" s="189" t="n"/>
      <c r="I111" s="189" t="n"/>
      <c r="J111" s="189" t="n"/>
      <c r="K111" s="189" t="n"/>
      <c r="L111" s="189" t="n"/>
      <c r="M111" s="189" t="n"/>
      <c r="N111" s="189" t="n"/>
      <c r="O111" s="189" t="n"/>
      <c r="P111" s="189" t="n"/>
      <c r="Q111" s="189" t="n"/>
      <c r="R111" s="189" t="n"/>
      <c r="S111" s="189" t="n"/>
      <c r="T111" s="189" t="n"/>
      <c r="U111" s="189" t="n"/>
      <c r="V111" s="189" t="n"/>
      <c r="W111" s="189" t="n"/>
      <c r="X111" s="189" t="n"/>
      <c r="Y111" s="189" t="n"/>
      <c r="Z111" s="189" t="n"/>
      <c r="AA111" s="189" t="n"/>
      <c r="AB111" s="189" t="n"/>
      <c r="AC111" s="189" t="n"/>
      <c r="AD111" s="189" t="n"/>
      <c r="AE111" s="189" t="n"/>
      <c r="AF111" s="189" t="n"/>
      <c r="AG111" s="189" t="n"/>
      <c r="AH111" s="189" t="n"/>
      <c r="AI111" s="51" t="inlineStr">
        <is>
          <t>U9Y</t>
        </is>
      </c>
    </row>
    <row r="112">
      <c r="B112" s="189" t="n"/>
      <c r="C112" s="189" t="n"/>
      <c r="D112" s="189" t="n"/>
      <c r="E112" s="189" t="n"/>
      <c r="F112" s="189" t="n"/>
      <c r="G112" s="189" t="n"/>
      <c r="H112" s="189" t="n"/>
      <c r="I112" s="189" t="n"/>
      <c r="J112" s="189" t="n"/>
      <c r="K112" s="189" t="n"/>
      <c r="L112" s="189" t="n"/>
      <c r="M112" s="189" t="n"/>
      <c r="N112" s="189" t="n"/>
      <c r="O112" s="189" t="n"/>
      <c r="P112" s="189" t="n"/>
      <c r="Q112" s="189" t="n"/>
      <c r="R112" s="189" t="n"/>
      <c r="S112" s="189" t="n"/>
      <c r="T112" s="189" t="n"/>
      <c r="U112" s="189" t="n"/>
      <c r="V112" s="189" t="n"/>
      <c r="W112" s="189" t="n"/>
      <c r="X112" s="189" t="n"/>
      <c r="Y112" s="189" t="n"/>
      <c r="Z112" s="189" t="n"/>
      <c r="AA112" s="189" t="n"/>
      <c r="AB112" s="189" t="n"/>
      <c r="AC112" s="189" t="n"/>
      <c r="AD112" s="189" t="n"/>
      <c r="AE112" s="189" t="n"/>
      <c r="AF112" s="189" t="n"/>
      <c r="AG112" s="189" t="n"/>
      <c r="AH112" s="189" t="n"/>
      <c r="AI112" s="51" t="inlineStr">
        <is>
          <t>U9θ</t>
        </is>
      </c>
    </row>
    <row r="113">
      <c r="B113" s="189" t="n"/>
      <c r="C113" s="189" t="n"/>
      <c r="D113" s="189" t="n"/>
      <c r="E113" s="189" t="n"/>
      <c r="F113" s="189" t="n"/>
      <c r="G113" s="189" t="n"/>
      <c r="H113" s="189" t="n"/>
      <c r="I113" s="189" t="n"/>
      <c r="J113" s="189" t="n"/>
      <c r="K113" s="189" t="n"/>
      <c r="L113" s="189" t="n"/>
      <c r="M113" s="189" t="n"/>
      <c r="N113" s="189" t="n"/>
      <c r="O113" s="189" t="n"/>
      <c r="P113" s="189" t="n"/>
      <c r="Q113" s="189" t="n"/>
      <c r="R113" s="189" t="n"/>
      <c r="S113" s="189" t="n"/>
      <c r="T113" s="189" t="n"/>
      <c r="U113" s="189" t="n"/>
      <c r="V113" s="189" t="n"/>
      <c r="W113" s="189" t="n"/>
      <c r="X113" s="189" t="n"/>
      <c r="Y113" s="189" t="n"/>
      <c r="Z113" s="189" t="n"/>
      <c r="AA113" s="189" t="n"/>
      <c r="AB113" s="189" t="n"/>
      <c r="AC113" s="189" t="n"/>
      <c r="AD113" s="189" t="n"/>
      <c r="AE113" s="189" t="n"/>
      <c r="AF113" s="189" t="n"/>
      <c r="AG113" s="189" t="n"/>
      <c r="AH113" s="189" t="n"/>
      <c r="AI113" s="51" t="inlineStr">
        <is>
          <t>U10X</t>
        </is>
      </c>
    </row>
    <row r="114">
      <c r="B114" s="189" t="n"/>
      <c r="C114" s="189" t="n"/>
      <c r="D114" s="189" t="n"/>
      <c r="E114" s="189" t="n"/>
      <c r="F114" s="189" t="n"/>
      <c r="G114" s="189" t="n"/>
      <c r="H114" s="189" t="n"/>
      <c r="I114" s="189" t="n"/>
      <c r="J114" s="189" t="n"/>
      <c r="K114" s="189" t="n"/>
      <c r="L114" s="189" t="n"/>
      <c r="M114" s="189" t="n"/>
      <c r="N114" s="189" t="n"/>
      <c r="O114" s="189" t="n"/>
      <c r="P114" s="189" t="n"/>
      <c r="Q114" s="189" t="n"/>
      <c r="R114" s="189" t="n"/>
      <c r="S114" s="189" t="n"/>
      <c r="T114" s="189" t="n"/>
      <c r="U114" s="189" t="n"/>
      <c r="V114" s="189" t="n"/>
      <c r="W114" s="189" t="n"/>
      <c r="X114" s="189" t="n"/>
      <c r="Y114" s="189" t="n"/>
      <c r="Z114" s="189" t="n"/>
      <c r="AA114" s="189" t="n"/>
      <c r="AB114" s="189" t="n"/>
      <c r="AC114" s="189" t="n"/>
      <c r="AD114" s="189" t="n"/>
      <c r="AE114" s="189" t="n"/>
      <c r="AF114" s="189" t="n"/>
      <c r="AG114" s="189" t="n"/>
      <c r="AH114" s="189" t="n"/>
      <c r="AI114" s="51" t="inlineStr">
        <is>
          <t>U10Y</t>
        </is>
      </c>
    </row>
    <row r="115">
      <c r="B115" s="189" t="n"/>
      <c r="C115" s="189" t="n"/>
      <c r="D115" s="189" t="n"/>
      <c r="E115" s="189" t="n"/>
      <c r="F115" s="189" t="n"/>
      <c r="G115" s="189" t="n"/>
      <c r="H115" s="189" t="n"/>
      <c r="I115" s="189" t="n"/>
      <c r="J115" s="189" t="n"/>
      <c r="K115" s="189" t="n"/>
      <c r="L115" s="189" t="n"/>
      <c r="M115" s="189" t="n"/>
      <c r="N115" s="189" t="n"/>
      <c r="O115" s="189" t="n"/>
      <c r="P115" s="189" t="n"/>
      <c r="Q115" s="189" t="n"/>
      <c r="R115" s="189" t="n"/>
      <c r="S115" s="189" t="n"/>
      <c r="T115" s="189" t="n"/>
      <c r="U115" s="189" t="n"/>
      <c r="V115" s="189" t="n"/>
      <c r="W115" s="189" t="n"/>
      <c r="X115" s="189" t="n"/>
      <c r="Y115" s="189" t="n"/>
      <c r="Z115" s="189" t="n"/>
      <c r="AA115" s="189" t="n"/>
      <c r="AB115" s="189" t="n"/>
      <c r="AC115" s="189" t="n"/>
      <c r="AD115" s="189" t="n"/>
      <c r="AE115" s="189" t="n"/>
      <c r="AF115" s="189" t="n"/>
      <c r="AG115" s="189" t="n"/>
      <c r="AH115" s="189" t="n"/>
      <c r="AI115" s="51" t="inlineStr">
        <is>
          <t>U10θ</t>
        </is>
      </c>
    </row>
    <row r="116">
      <c r="B116" s="189" t="n"/>
      <c r="C116" s="189" t="n"/>
      <c r="D116" s="189" t="n"/>
      <c r="E116" s="189" t="n"/>
      <c r="F116" s="189" t="n"/>
      <c r="G116" s="189" t="n"/>
      <c r="H116" s="189" t="n"/>
      <c r="I116" s="189" t="n"/>
      <c r="J116" s="189" t="n"/>
      <c r="K116" s="189" t="n"/>
      <c r="L116" s="189" t="n"/>
      <c r="M116" s="189" t="n"/>
      <c r="N116" s="189" t="n"/>
      <c r="O116" s="189" t="n"/>
      <c r="P116" s="189" t="n"/>
      <c r="Q116" s="189" t="n"/>
      <c r="R116" s="189" t="n"/>
      <c r="S116" s="189" t="n"/>
      <c r="T116" s="189" t="n"/>
      <c r="U116" s="189" t="n"/>
      <c r="V116" s="189" t="n"/>
      <c r="W116" s="189" t="n"/>
      <c r="X116" s="189" t="n"/>
      <c r="Y116" s="189" t="n"/>
      <c r="Z116" s="189" t="n"/>
      <c r="AA116" s="189" t="n"/>
      <c r="AB116" s="189" t="n"/>
      <c r="AC116" s="189" t="n"/>
      <c r="AD116" s="189" t="n"/>
      <c r="AE116" s="189" t="n"/>
      <c r="AF116" s="189" t="n"/>
      <c r="AG116" s="189" t="n"/>
      <c r="AH116" s="189" t="n"/>
      <c r="AI116" s="51" t="inlineStr">
        <is>
          <t>U11X</t>
        </is>
      </c>
    </row>
    <row r="117">
      <c r="B117" s="189" t="n"/>
      <c r="C117" s="189" t="n"/>
      <c r="D117" s="189" t="n"/>
      <c r="E117" s="189" t="n"/>
      <c r="F117" s="189" t="n"/>
      <c r="G117" s="189" t="n"/>
      <c r="H117" s="189" t="n"/>
      <c r="I117" s="189" t="n"/>
      <c r="J117" s="189" t="n"/>
      <c r="K117" s="189" t="n"/>
      <c r="L117" s="189" t="n"/>
      <c r="M117" s="189" t="n"/>
      <c r="N117" s="189" t="n"/>
      <c r="O117" s="189" t="n"/>
      <c r="P117" s="189" t="n"/>
      <c r="Q117" s="189" t="n"/>
      <c r="R117" s="189" t="n"/>
      <c r="S117" s="189" t="n"/>
      <c r="T117" s="189" t="n"/>
      <c r="U117" s="189" t="n"/>
      <c r="V117" s="189" t="n"/>
      <c r="W117" s="189" t="n"/>
      <c r="X117" s="189" t="n"/>
      <c r="Y117" s="189" t="n"/>
      <c r="Z117" s="189" t="n"/>
      <c r="AA117" s="189" t="n"/>
      <c r="AB117" s="189" t="n"/>
      <c r="AC117" s="189" t="n"/>
      <c r="AD117" s="189" t="n"/>
      <c r="AE117" s="189" t="n"/>
      <c r="AF117" s="189" t="n"/>
      <c r="AG117" s="189" t="n"/>
      <c r="AH117" s="189" t="n"/>
      <c r="AI117" s="51" t="inlineStr">
        <is>
          <t>U11Y</t>
        </is>
      </c>
    </row>
    <row r="118">
      <c r="B118" s="189" t="n"/>
      <c r="C118" s="189" t="n"/>
      <c r="D118" s="189" t="n"/>
      <c r="E118" s="189" t="n"/>
      <c r="F118" s="189" t="n"/>
      <c r="G118" s="189" t="n"/>
      <c r="H118" s="189" t="n"/>
      <c r="I118" s="189" t="n"/>
      <c r="J118" s="189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51" t="inlineStr">
        <is>
          <t>U11θ</t>
        </is>
      </c>
    </row>
    <row r="120">
      <c r="B120" s="51">
        <f>IF(C24="","", CONCATENATE("U",C24,C$21))</f>
        <v/>
      </c>
      <c r="C120" s="51">
        <f>IF(D24="","", CONCATENATE("U",D24,D$21))</f>
        <v/>
      </c>
      <c r="D120" s="51">
        <f>IF(E24="","", CONCATENATE("U",E24,E$21))</f>
        <v/>
      </c>
      <c r="E120" s="51">
        <f>IF(F24="","", CONCATENATE("U",F24,F$21))</f>
        <v/>
      </c>
      <c r="F120" s="51">
        <f>IF(G24="","", CONCATENATE("U",G24,G$21))</f>
        <v/>
      </c>
      <c r="G120" s="51">
        <f>IF(H24="","", CONCATENATE("U",H24,H$21))</f>
        <v/>
      </c>
    </row>
    <row r="121">
      <c r="B121" s="8">
        <f>IF(I11="", 0, O11*J11*J11+P11*K11*K11)</f>
        <v/>
      </c>
      <c r="C121" s="189">
        <f>IF(I11="", 0, (O11-P11)*(J11*K11))</f>
        <v/>
      </c>
      <c r="D121" s="189">
        <f>IF(I11="", 0, -Q11*K11)</f>
        <v/>
      </c>
      <c r="E121" s="189">
        <f>-B121</f>
        <v/>
      </c>
      <c r="F121" s="189">
        <f>-C121</f>
        <v/>
      </c>
      <c r="G121" s="189">
        <f>D121</f>
        <v/>
      </c>
      <c r="H121" s="51">
        <f>B120</f>
        <v/>
      </c>
    </row>
    <row r="122">
      <c r="B122" s="189">
        <f>C121</f>
        <v/>
      </c>
      <c r="C122" s="8">
        <f>IF(I11="", 0, O11*K11*K11+P11*J11*J11)</f>
        <v/>
      </c>
      <c r="D122" s="189">
        <f>IF(I11="", 0, Q11*J11)</f>
        <v/>
      </c>
      <c r="E122" s="189">
        <f>-B122</f>
        <v/>
      </c>
      <c r="F122" s="189">
        <f>-C122</f>
        <v/>
      </c>
      <c r="G122" s="189">
        <f>D122</f>
        <v/>
      </c>
      <c r="H122" s="51">
        <f>C120</f>
        <v/>
      </c>
    </row>
    <row r="123">
      <c r="A123" s="118" t="inlineStr">
        <is>
          <t>K3 =</t>
        </is>
      </c>
      <c r="B123" s="189">
        <f>D121</f>
        <v/>
      </c>
      <c r="C123" s="189">
        <f>D122</f>
        <v/>
      </c>
      <c r="D123" s="8">
        <f>IF(I11="", 0, R11)</f>
        <v/>
      </c>
      <c r="E123" s="189">
        <f>-B123</f>
        <v/>
      </c>
      <c r="F123" s="189">
        <f>-C123</f>
        <v/>
      </c>
      <c r="G123" s="189">
        <f>IF(I11="", 0, S11)</f>
        <v/>
      </c>
      <c r="H123" s="51">
        <f>D120</f>
        <v/>
      </c>
    </row>
    <row r="124">
      <c r="B124" s="189">
        <f>E121</f>
        <v/>
      </c>
      <c r="C124" s="189">
        <f>E122</f>
        <v/>
      </c>
      <c r="D124" s="189">
        <f>E123</f>
        <v/>
      </c>
      <c r="E124" s="8">
        <f>B121</f>
        <v/>
      </c>
      <c r="F124" s="189">
        <f>C121</f>
        <v/>
      </c>
      <c r="G124" s="189">
        <f>-D121</f>
        <v/>
      </c>
      <c r="H124" s="51">
        <f>E120</f>
        <v/>
      </c>
    </row>
    <row r="125">
      <c r="B125" s="189">
        <f>F121</f>
        <v/>
      </c>
      <c r="C125" s="189">
        <f>F122</f>
        <v/>
      </c>
      <c r="D125" s="189">
        <f>F123</f>
        <v/>
      </c>
      <c r="E125" s="189">
        <f>F124</f>
        <v/>
      </c>
      <c r="F125" s="8">
        <f>C122</f>
        <v/>
      </c>
      <c r="G125" s="189">
        <f>-D122</f>
        <v/>
      </c>
      <c r="H125" s="51">
        <f>F120</f>
        <v/>
      </c>
    </row>
    <row r="126">
      <c r="B126" s="189">
        <f>G121</f>
        <v/>
      </c>
      <c r="C126" s="189">
        <f>G122</f>
        <v/>
      </c>
      <c r="D126" s="189">
        <f>G123</f>
        <v/>
      </c>
      <c r="E126" s="189">
        <f>G124</f>
        <v/>
      </c>
      <c r="F126" s="189">
        <f>G125</f>
        <v/>
      </c>
      <c r="G126" s="8">
        <f>D123</f>
        <v/>
      </c>
      <c r="H126" s="51">
        <f>G120</f>
        <v/>
      </c>
    </row>
    <row r="128">
      <c r="B128" s="51" t="inlineStr">
        <is>
          <t>U1X</t>
        </is>
      </c>
      <c r="C128" s="51" t="inlineStr">
        <is>
          <t>U1Y</t>
        </is>
      </c>
      <c r="D128" s="51" t="inlineStr">
        <is>
          <t>U1θ</t>
        </is>
      </c>
      <c r="E128" s="51" t="inlineStr">
        <is>
          <t>U2X</t>
        </is>
      </c>
      <c r="F128" s="51" t="inlineStr">
        <is>
          <t>U2Y</t>
        </is>
      </c>
      <c r="G128" s="51" t="inlineStr">
        <is>
          <t>U2θ</t>
        </is>
      </c>
      <c r="H128" s="51" t="inlineStr">
        <is>
          <t>U3X</t>
        </is>
      </c>
      <c r="I128" s="51" t="inlineStr">
        <is>
          <t>U3Y</t>
        </is>
      </c>
      <c r="J128" s="51" t="inlineStr">
        <is>
          <t>U3θ</t>
        </is>
      </c>
      <c r="K128" s="51" t="inlineStr">
        <is>
          <t>U4X</t>
        </is>
      </c>
      <c r="L128" s="51" t="inlineStr">
        <is>
          <t>U4Y</t>
        </is>
      </c>
      <c r="M128" s="51" t="inlineStr">
        <is>
          <t>U4θ</t>
        </is>
      </c>
      <c r="N128" s="51" t="inlineStr">
        <is>
          <t>U5X</t>
        </is>
      </c>
      <c r="O128" s="51" t="inlineStr">
        <is>
          <t>U5Y</t>
        </is>
      </c>
      <c r="P128" s="51" t="inlineStr">
        <is>
          <t>U5θ</t>
        </is>
      </c>
      <c r="Q128" s="51" t="inlineStr">
        <is>
          <t>U6X</t>
        </is>
      </c>
      <c r="R128" s="51" t="inlineStr">
        <is>
          <t>U6Y</t>
        </is>
      </c>
      <c r="S128" s="51" t="inlineStr">
        <is>
          <t>U6θ</t>
        </is>
      </c>
      <c r="T128" s="51" t="inlineStr">
        <is>
          <t>U7X</t>
        </is>
      </c>
      <c r="U128" s="51" t="inlineStr">
        <is>
          <t>U7Y</t>
        </is>
      </c>
      <c r="V128" s="51" t="inlineStr">
        <is>
          <t>U7θ</t>
        </is>
      </c>
      <c r="W128" s="51" t="inlineStr">
        <is>
          <t>U8X</t>
        </is>
      </c>
      <c r="X128" s="51" t="inlineStr">
        <is>
          <t>U8Y</t>
        </is>
      </c>
      <c r="Y128" s="51" t="inlineStr">
        <is>
          <t>U8θ</t>
        </is>
      </c>
      <c r="Z128" s="51" t="inlineStr">
        <is>
          <t>U9X</t>
        </is>
      </c>
      <c r="AA128" s="51" t="inlineStr">
        <is>
          <t>U9Y</t>
        </is>
      </c>
      <c r="AB128" s="51" t="inlineStr">
        <is>
          <t>U9θ</t>
        </is>
      </c>
      <c r="AC128" s="51" t="inlineStr">
        <is>
          <t>U10X</t>
        </is>
      </c>
      <c r="AD128" s="51" t="inlineStr">
        <is>
          <t>U10Y</t>
        </is>
      </c>
      <c r="AE128" s="51" t="inlineStr">
        <is>
          <t>U10θ</t>
        </is>
      </c>
      <c r="AF128" s="51" t="inlineStr">
        <is>
          <t>U11X</t>
        </is>
      </c>
      <c r="AG128" s="51" t="inlineStr">
        <is>
          <t>U11Y</t>
        </is>
      </c>
      <c r="AH128" s="51" t="inlineStr">
        <is>
          <t>U11θ</t>
        </is>
      </c>
    </row>
    <row r="129">
      <c r="B129" s="189" t="n"/>
      <c r="C129" s="189" t="n"/>
      <c r="D129" s="189" t="n"/>
      <c r="E129" s="189" t="n"/>
      <c r="F129" s="189" t="n"/>
      <c r="G129" s="189" t="n"/>
      <c r="H129" s="189" t="n"/>
      <c r="I129" s="189" t="n"/>
      <c r="J129" s="189" t="n"/>
      <c r="K129" s="189" t="n"/>
      <c r="L129" s="189" t="n"/>
      <c r="M129" s="189" t="n"/>
      <c r="N129" s="189" t="n"/>
      <c r="O129" s="189" t="n"/>
      <c r="P129" s="189" t="n"/>
      <c r="Q129" s="189" t="n"/>
      <c r="R129" s="189" t="n"/>
      <c r="S129" s="189" t="n"/>
      <c r="T129" s="189" t="n"/>
      <c r="U129" s="189" t="n"/>
      <c r="V129" s="189" t="n"/>
      <c r="W129" s="189" t="n"/>
      <c r="X129" s="189" t="n"/>
      <c r="Y129" s="189" t="n"/>
      <c r="Z129" s="189" t="n"/>
      <c r="AA129" s="189" t="n"/>
      <c r="AB129" s="189" t="n"/>
      <c r="AC129" s="189" t="n"/>
      <c r="AD129" s="189" t="n"/>
      <c r="AE129" s="189" t="n"/>
      <c r="AF129" s="189" t="n"/>
      <c r="AG129" s="189" t="n"/>
      <c r="AH129" s="189" t="n"/>
      <c r="AI129" s="51" t="inlineStr">
        <is>
          <t>U1X</t>
        </is>
      </c>
    </row>
    <row r="130">
      <c r="B130" s="189" t="n"/>
      <c r="C130" s="189" t="n"/>
      <c r="D130" s="189" t="n"/>
      <c r="E130" s="189" t="n"/>
      <c r="F130" s="189" t="n"/>
      <c r="G130" s="189" t="n"/>
      <c r="H130" s="189" t="n"/>
      <c r="I130" s="189" t="n"/>
      <c r="J130" s="189" t="n"/>
      <c r="K130" s="189" t="n"/>
      <c r="L130" s="189" t="n"/>
      <c r="M130" s="189" t="n"/>
      <c r="N130" s="189" t="n"/>
      <c r="O130" s="189" t="n"/>
      <c r="P130" s="189" t="n"/>
      <c r="Q130" s="189" t="n"/>
      <c r="R130" s="189" t="n"/>
      <c r="S130" s="189" t="n"/>
      <c r="T130" s="189" t="n"/>
      <c r="U130" s="189" t="n"/>
      <c r="V130" s="189" t="n"/>
      <c r="W130" s="189" t="n"/>
      <c r="X130" s="189" t="n"/>
      <c r="Y130" s="189" t="n"/>
      <c r="Z130" s="189" t="n"/>
      <c r="AA130" s="189" t="n"/>
      <c r="AB130" s="189" t="n"/>
      <c r="AC130" s="189" t="n"/>
      <c r="AD130" s="189" t="n"/>
      <c r="AE130" s="189" t="n"/>
      <c r="AF130" s="189" t="n"/>
      <c r="AG130" s="189" t="n"/>
      <c r="AH130" s="189" t="n"/>
      <c r="AI130" s="51" t="inlineStr">
        <is>
          <t>U1Y</t>
        </is>
      </c>
    </row>
    <row r="131">
      <c r="B131" s="189" t="n"/>
      <c r="C131" s="189" t="n"/>
      <c r="D131" s="189" t="n"/>
      <c r="E131" s="189" t="n"/>
      <c r="F131" s="189" t="n"/>
      <c r="G131" s="189" t="n"/>
      <c r="H131" s="189" t="n"/>
      <c r="I131" s="189" t="n"/>
      <c r="J131" s="189" t="n"/>
      <c r="K131" s="189" t="n"/>
      <c r="L131" s="189" t="n"/>
      <c r="M131" s="189" t="n"/>
      <c r="N131" s="189" t="n"/>
      <c r="O131" s="189" t="n"/>
      <c r="P131" s="189" t="n"/>
      <c r="Q131" s="189" t="n"/>
      <c r="R131" s="189" t="n"/>
      <c r="S131" s="189" t="n"/>
      <c r="T131" s="189" t="n"/>
      <c r="U131" s="189" t="n"/>
      <c r="V131" s="189" t="n"/>
      <c r="W131" s="189" t="n"/>
      <c r="X131" s="189" t="n"/>
      <c r="Y131" s="189" t="n"/>
      <c r="Z131" s="189" t="n"/>
      <c r="AA131" s="189" t="n"/>
      <c r="AB131" s="189" t="n"/>
      <c r="AC131" s="189" t="n"/>
      <c r="AD131" s="189" t="n"/>
      <c r="AE131" s="189" t="n"/>
      <c r="AF131" s="189" t="n"/>
      <c r="AG131" s="189" t="n"/>
      <c r="AH131" s="189" t="n"/>
      <c r="AI131" s="51" t="inlineStr">
        <is>
          <t>U1θ</t>
        </is>
      </c>
    </row>
    <row r="132">
      <c r="B132" s="189" t="n"/>
      <c r="C132" s="189" t="n"/>
      <c r="D132" s="189" t="n"/>
      <c r="E132" s="189" t="n"/>
      <c r="F132" s="189" t="n"/>
      <c r="G132" s="189" t="n"/>
      <c r="H132" s="189" t="n"/>
      <c r="I132" s="189" t="n"/>
      <c r="J132" s="189" t="n"/>
      <c r="K132" s="189" t="n"/>
      <c r="L132" s="189" t="n"/>
      <c r="M132" s="189" t="n"/>
      <c r="N132" s="189" t="n"/>
      <c r="O132" s="189" t="n"/>
      <c r="P132" s="189" t="n"/>
      <c r="Q132" s="189" t="n"/>
      <c r="R132" s="189" t="n"/>
      <c r="S132" s="189" t="n"/>
      <c r="T132" s="189" t="n"/>
      <c r="U132" s="189" t="n"/>
      <c r="V132" s="189" t="n"/>
      <c r="W132" s="189" t="n"/>
      <c r="X132" s="189" t="n"/>
      <c r="Y132" s="189" t="n"/>
      <c r="Z132" s="189" t="n"/>
      <c r="AA132" s="189" t="n"/>
      <c r="AB132" s="189" t="n"/>
      <c r="AC132" s="189" t="n"/>
      <c r="AD132" s="189" t="n"/>
      <c r="AE132" s="189" t="n"/>
      <c r="AF132" s="189" t="n"/>
      <c r="AG132" s="189" t="n"/>
      <c r="AH132" s="189" t="n"/>
      <c r="AI132" s="51" t="inlineStr">
        <is>
          <t>U2X</t>
        </is>
      </c>
    </row>
    <row r="133">
      <c r="B133" s="189" t="n"/>
      <c r="C133" s="189" t="n"/>
      <c r="D133" s="189" t="n"/>
      <c r="E133" s="189" t="n"/>
      <c r="F133" s="189" t="n"/>
      <c r="G133" s="189" t="n"/>
      <c r="H133" s="189" t="n"/>
      <c r="I133" s="189" t="n"/>
      <c r="J133" s="189" t="n"/>
      <c r="K133" s="189" t="n"/>
      <c r="L133" s="189" t="n"/>
      <c r="M133" s="189" t="n"/>
      <c r="N133" s="189" t="n"/>
      <c r="O133" s="189" t="n"/>
      <c r="P133" s="189" t="n"/>
      <c r="Q133" s="189" t="n"/>
      <c r="R133" s="189" t="n"/>
      <c r="S133" s="189" t="n"/>
      <c r="T133" s="189" t="n"/>
      <c r="U133" s="189" t="n"/>
      <c r="V133" s="189" t="n"/>
      <c r="W133" s="189" t="n"/>
      <c r="X133" s="189" t="n"/>
      <c r="Y133" s="189" t="n"/>
      <c r="Z133" s="189" t="n"/>
      <c r="AA133" s="189" t="n"/>
      <c r="AB133" s="189" t="n"/>
      <c r="AC133" s="189" t="n"/>
      <c r="AD133" s="189" t="n"/>
      <c r="AE133" s="189" t="n"/>
      <c r="AF133" s="189" t="n"/>
      <c r="AG133" s="189" t="n"/>
      <c r="AH133" s="189" t="n"/>
      <c r="AI133" s="51" t="inlineStr">
        <is>
          <t>U2Y</t>
        </is>
      </c>
    </row>
    <row r="134">
      <c r="B134" s="189" t="n"/>
      <c r="C134" s="189" t="n"/>
      <c r="D134" s="189" t="n"/>
      <c r="E134" s="189" t="n"/>
      <c r="F134" s="189" t="n"/>
      <c r="G134" s="189" t="n"/>
      <c r="H134" s="189" t="n"/>
      <c r="I134" s="189" t="n"/>
      <c r="J134" s="189" t="n"/>
      <c r="K134" s="189" t="n"/>
      <c r="L134" s="189" t="n"/>
      <c r="M134" s="189" t="n"/>
      <c r="N134" s="189" t="n"/>
      <c r="O134" s="189" t="n"/>
      <c r="P134" s="189" t="n"/>
      <c r="Q134" s="189" t="n"/>
      <c r="R134" s="189" t="n"/>
      <c r="S134" s="189" t="n"/>
      <c r="T134" s="189" t="n"/>
      <c r="U134" s="189" t="n"/>
      <c r="V134" s="189" t="n"/>
      <c r="W134" s="189" t="n"/>
      <c r="X134" s="189" t="n"/>
      <c r="Y134" s="189" t="n"/>
      <c r="Z134" s="189" t="n"/>
      <c r="AA134" s="189" t="n"/>
      <c r="AB134" s="189" t="n"/>
      <c r="AC134" s="189" t="n"/>
      <c r="AD134" s="189" t="n"/>
      <c r="AE134" s="189" t="n"/>
      <c r="AF134" s="189" t="n"/>
      <c r="AG134" s="189" t="n"/>
      <c r="AH134" s="189" t="n"/>
      <c r="AI134" s="51" t="inlineStr">
        <is>
          <t>U2θ</t>
        </is>
      </c>
    </row>
    <row r="135">
      <c r="B135" s="189" t="n"/>
      <c r="C135" s="189" t="n"/>
      <c r="D135" s="189" t="n"/>
      <c r="E135" s="189" t="n"/>
      <c r="F135" s="189" t="n"/>
      <c r="G135" s="189" t="n"/>
      <c r="H135" s="189">
        <f>B121</f>
        <v/>
      </c>
      <c r="I135" s="189">
        <f>C121</f>
        <v/>
      </c>
      <c r="J135" s="189">
        <f>D121</f>
        <v/>
      </c>
      <c r="K135" s="189">
        <f>E121</f>
        <v/>
      </c>
      <c r="L135" s="189">
        <f>F121</f>
        <v/>
      </c>
      <c r="M135" s="189">
        <f>G121</f>
        <v/>
      </c>
      <c r="N135" s="189" t="n"/>
      <c r="O135" s="189" t="n"/>
      <c r="P135" s="189" t="n"/>
      <c r="Q135" s="189" t="n"/>
      <c r="R135" s="189" t="n"/>
      <c r="S135" s="189" t="n"/>
      <c r="T135" s="189" t="n"/>
      <c r="U135" s="189" t="n"/>
      <c r="V135" s="189" t="n"/>
      <c r="W135" s="189" t="n"/>
      <c r="X135" s="189" t="n"/>
      <c r="Y135" s="189" t="n"/>
      <c r="Z135" s="189" t="n"/>
      <c r="AA135" s="189" t="n"/>
      <c r="AB135" s="189" t="n"/>
      <c r="AC135" s="189" t="n"/>
      <c r="AD135" s="189" t="n"/>
      <c r="AE135" s="189" t="n"/>
      <c r="AF135" s="189" t="n"/>
      <c r="AG135" s="189" t="n"/>
      <c r="AH135" s="189" t="n"/>
      <c r="AI135" s="51" t="inlineStr">
        <is>
          <t>U3X</t>
        </is>
      </c>
    </row>
    <row r="136">
      <c r="B136" s="189" t="n"/>
      <c r="C136" s="189" t="n"/>
      <c r="D136" s="189" t="n"/>
      <c r="E136" s="189" t="n"/>
      <c r="F136" s="189" t="n"/>
      <c r="G136" s="189" t="n"/>
      <c r="H136" s="189">
        <f>B122</f>
        <v/>
      </c>
      <c r="I136" s="189">
        <f>C122</f>
        <v/>
      </c>
      <c r="J136" s="189">
        <f>D122</f>
        <v/>
      </c>
      <c r="K136" s="189">
        <f>E122</f>
        <v/>
      </c>
      <c r="L136" s="189">
        <f>F122</f>
        <v/>
      </c>
      <c r="M136" s="189">
        <f>G122</f>
        <v/>
      </c>
      <c r="N136" s="189" t="n"/>
      <c r="O136" s="189" t="n"/>
      <c r="P136" s="189" t="n"/>
      <c r="Q136" s="189" t="n"/>
      <c r="R136" s="189" t="n"/>
      <c r="S136" s="189" t="n"/>
      <c r="T136" s="189" t="n"/>
      <c r="U136" s="189" t="n"/>
      <c r="V136" s="189" t="n"/>
      <c r="W136" s="189" t="n"/>
      <c r="X136" s="189" t="n"/>
      <c r="Y136" s="189" t="n"/>
      <c r="Z136" s="189" t="n"/>
      <c r="AA136" s="189" t="n"/>
      <c r="AB136" s="189" t="n"/>
      <c r="AC136" s="189" t="n"/>
      <c r="AD136" s="189" t="n"/>
      <c r="AE136" s="189" t="n"/>
      <c r="AF136" s="189" t="n"/>
      <c r="AG136" s="189" t="n"/>
      <c r="AH136" s="189" t="n"/>
      <c r="AI136" s="51" t="inlineStr">
        <is>
          <t>U3Y</t>
        </is>
      </c>
    </row>
    <row r="137">
      <c r="B137" s="189" t="n"/>
      <c r="C137" s="189" t="n"/>
      <c r="D137" s="189" t="n"/>
      <c r="E137" s="189" t="n"/>
      <c r="F137" s="189" t="n"/>
      <c r="G137" s="189" t="n"/>
      <c r="H137" s="189">
        <f>B123</f>
        <v/>
      </c>
      <c r="I137" s="189">
        <f>C123</f>
        <v/>
      </c>
      <c r="J137" s="189">
        <f>D123</f>
        <v/>
      </c>
      <c r="K137" s="189">
        <f>E123</f>
        <v/>
      </c>
      <c r="L137" s="189">
        <f>F123</f>
        <v/>
      </c>
      <c r="M137" s="189">
        <f>G123</f>
        <v/>
      </c>
      <c r="N137" s="189" t="n"/>
      <c r="O137" s="189" t="n"/>
      <c r="P137" s="189" t="n"/>
      <c r="Q137" s="189" t="n"/>
      <c r="R137" s="189" t="n"/>
      <c r="S137" s="189" t="n"/>
      <c r="T137" s="189" t="n"/>
      <c r="U137" s="189" t="n"/>
      <c r="V137" s="189" t="n"/>
      <c r="W137" s="189" t="n"/>
      <c r="X137" s="189" t="n"/>
      <c r="Y137" s="189" t="n"/>
      <c r="Z137" s="189" t="n"/>
      <c r="AA137" s="189" t="n"/>
      <c r="AB137" s="189" t="n"/>
      <c r="AC137" s="189" t="n"/>
      <c r="AD137" s="189" t="n"/>
      <c r="AE137" s="189" t="n"/>
      <c r="AF137" s="189" t="n"/>
      <c r="AG137" s="189" t="n"/>
      <c r="AH137" s="189" t="n"/>
      <c r="AI137" s="51" t="inlineStr">
        <is>
          <t>U3θ</t>
        </is>
      </c>
    </row>
    <row r="138">
      <c r="B138" s="189" t="n"/>
      <c r="C138" s="189" t="n"/>
      <c r="D138" s="189" t="n"/>
      <c r="E138" s="189" t="n"/>
      <c r="F138" s="189" t="n"/>
      <c r="G138" s="189" t="n"/>
      <c r="H138" s="189">
        <f>B124</f>
        <v/>
      </c>
      <c r="I138" s="189">
        <f>C124</f>
        <v/>
      </c>
      <c r="J138" s="189">
        <f>D124</f>
        <v/>
      </c>
      <c r="K138" s="189">
        <f>E124</f>
        <v/>
      </c>
      <c r="L138" s="189">
        <f>F124</f>
        <v/>
      </c>
      <c r="M138" s="189">
        <f>G124</f>
        <v/>
      </c>
      <c r="N138" s="189" t="n"/>
      <c r="O138" s="189" t="n"/>
      <c r="P138" s="189" t="n"/>
      <c r="Q138" s="189" t="n"/>
      <c r="R138" s="189" t="n"/>
      <c r="S138" s="189" t="n"/>
      <c r="T138" s="189" t="n"/>
      <c r="U138" s="189" t="n"/>
      <c r="V138" s="189" t="n"/>
      <c r="W138" s="189" t="n"/>
      <c r="X138" s="189" t="n"/>
      <c r="Y138" s="189" t="n"/>
      <c r="Z138" s="189" t="n"/>
      <c r="AA138" s="189" t="n"/>
      <c r="AB138" s="189" t="n"/>
      <c r="AC138" s="189" t="n"/>
      <c r="AD138" s="189" t="n"/>
      <c r="AE138" s="189" t="n"/>
      <c r="AF138" s="189" t="n"/>
      <c r="AG138" s="189" t="n"/>
      <c r="AH138" s="189" t="n"/>
      <c r="AI138" s="51" t="inlineStr">
        <is>
          <t>U4X</t>
        </is>
      </c>
    </row>
    <row r="139">
      <c r="B139" s="189" t="n"/>
      <c r="C139" s="189" t="n"/>
      <c r="D139" s="189" t="n"/>
      <c r="E139" s="189" t="n"/>
      <c r="F139" s="189" t="n"/>
      <c r="G139" s="189" t="n"/>
      <c r="H139" s="189">
        <f>B125</f>
        <v/>
      </c>
      <c r="I139" s="189">
        <f>C125</f>
        <v/>
      </c>
      <c r="J139" s="189">
        <f>D125</f>
        <v/>
      </c>
      <c r="K139" s="189">
        <f>E125</f>
        <v/>
      </c>
      <c r="L139" s="189">
        <f>F125</f>
        <v/>
      </c>
      <c r="M139" s="189">
        <f>G125</f>
        <v/>
      </c>
      <c r="N139" s="189" t="n"/>
      <c r="O139" s="189" t="n"/>
      <c r="P139" s="189" t="n"/>
      <c r="Q139" s="189" t="n"/>
      <c r="R139" s="189" t="n"/>
      <c r="S139" s="189" t="n"/>
      <c r="T139" s="189" t="n"/>
      <c r="U139" s="189" t="n"/>
      <c r="V139" s="189" t="n"/>
      <c r="W139" s="189" t="n"/>
      <c r="X139" s="189" t="n"/>
      <c r="Y139" s="189" t="n"/>
      <c r="Z139" s="189" t="n"/>
      <c r="AA139" s="189" t="n"/>
      <c r="AB139" s="189" t="n"/>
      <c r="AC139" s="189" t="n"/>
      <c r="AD139" s="189" t="n"/>
      <c r="AE139" s="189" t="n"/>
      <c r="AF139" s="189" t="n"/>
      <c r="AG139" s="189" t="n"/>
      <c r="AH139" s="189" t="n"/>
      <c r="AI139" s="51" t="inlineStr">
        <is>
          <t>U4Y</t>
        </is>
      </c>
    </row>
    <row r="140">
      <c r="B140" s="189" t="n"/>
      <c r="C140" s="189" t="n"/>
      <c r="D140" s="189" t="n"/>
      <c r="E140" s="189" t="n"/>
      <c r="F140" s="189" t="n"/>
      <c r="G140" s="189" t="n"/>
      <c r="H140" s="189">
        <f>B126</f>
        <v/>
      </c>
      <c r="I140" s="189">
        <f>C126</f>
        <v/>
      </c>
      <c r="J140" s="189">
        <f>D126</f>
        <v/>
      </c>
      <c r="K140" s="189">
        <f>E126</f>
        <v/>
      </c>
      <c r="L140" s="189">
        <f>F126</f>
        <v/>
      </c>
      <c r="M140" s="189">
        <f>G126</f>
        <v/>
      </c>
      <c r="N140" s="189" t="n"/>
      <c r="O140" s="189" t="n"/>
      <c r="P140" s="189" t="n"/>
      <c r="Q140" s="189" t="n"/>
      <c r="R140" s="189" t="n"/>
      <c r="S140" s="189" t="n"/>
      <c r="T140" s="189" t="n"/>
      <c r="U140" s="189" t="n"/>
      <c r="V140" s="189" t="n"/>
      <c r="W140" s="189" t="n"/>
      <c r="X140" s="189" t="n"/>
      <c r="Y140" s="189" t="n"/>
      <c r="Z140" s="189" t="n"/>
      <c r="AA140" s="189" t="n"/>
      <c r="AB140" s="189" t="n"/>
      <c r="AC140" s="189" t="n"/>
      <c r="AD140" s="189" t="n"/>
      <c r="AE140" s="189" t="n"/>
      <c r="AF140" s="189" t="n"/>
      <c r="AG140" s="189" t="n"/>
      <c r="AH140" s="189" t="n"/>
      <c r="AI140" s="51" t="inlineStr">
        <is>
          <t>U4θ</t>
        </is>
      </c>
    </row>
    <row r="141">
      <c r="B141" s="189" t="n"/>
      <c r="C141" s="189" t="n"/>
      <c r="D141" s="189" t="n"/>
      <c r="E141" s="189" t="n"/>
      <c r="F141" s="189" t="n"/>
      <c r="G141" s="189" t="n"/>
      <c r="H141" s="189" t="n"/>
      <c r="I141" s="189" t="n"/>
      <c r="J141" s="189" t="n"/>
      <c r="K141" s="189" t="n"/>
      <c r="L141" s="189" t="n"/>
      <c r="M141" s="189" t="n"/>
      <c r="N141" s="189" t="n"/>
      <c r="O141" s="189" t="n"/>
      <c r="P141" s="189" t="n"/>
      <c r="Q141" s="189" t="n"/>
      <c r="R141" s="189" t="n"/>
      <c r="S141" s="189" t="n"/>
      <c r="T141" s="189" t="n"/>
      <c r="U141" s="189" t="n"/>
      <c r="V141" s="189" t="n"/>
      <c r="W141" s="189" t="n"/>
      <c r="X141" s="189" t="n"/>
      <c r="Y141" s="189" t="n"/>
      <c r="Z141" s="189" t="n"/>
      <c r="AA141" s="189" t="n"/>
      <c r="AB141" s="189" t="n"/>
      <c r="AC141" s="189" t="n"/>
      <c r="AD141" s="189" t="n"/>
      <c r="AE141" s="189" t="n"/>
      <c r="AF141" s="189" t="n"/>
      <c r="AG141" s="189" t="n"/>
      <c r="AH141" s="189" t="n"/>
      <c r="AI141" s="51" t="inlineStr">
        <is>
          <t>U5X</t>
        </is>
      </c>
    </row>
    <row r="142">
      <c r="B142" s="189" t="n"/>
      <c r="C142" s="189" t="n"/>
      <c r="D142" s="189" t="n"/>
      <c r="E142" s="189" t="n"/>
      <c r="F142" s="189" t="n"/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51" t="inlineStr">
        <is>
          <t>U5Y</t>
        </is>
      </c>
    </row>
    <row r="143">
      <c r="B143" s="189" t="n"/>
      <c r="C143" s="189" t="n"/>
      <c r="D143" s="189" t="n"/>
      <c r="E143" s="189" t="n"/>
      <c r="F143" s="189" t="n"/>
      <c r="G143" s="189" t="n"/>
      <c r="H143" s="189" t="n"/>
      <c r="I143" s="189" t="n"/>
      <c r="J143" s="189" t="n"/>
      <c r="K143" s="189" t="n"/>
      <c r="L143" s="189" t="n"/>
      <c r="M143" s="189" t="n"/>
      <c r="N143" s="189" t="n"/>
      <c r="O143" s="189" t="n"/>
      <c r="P143" s="189" t="n"/>
      <c r="Q143" s="189" t="n"/>
      <c r="R143" s="189" t="n"/>
      <c r="S143" s="189" t="n"/>
      <c r="T143" s="189" t="n"/>
      <c r="U143" s="189" t="n"/>
      <c r="V143" s="189" t="n"/>
      <c r="W143" s="189" t="n"/>
      <c r="X143" s="189" t="n"/>
      <c r="Y143" s="189" t="n"/>
      <c r="Z143" s="189" t="n"/>
      <c r="AA143" s="189" t="n"/>
      <c r="AB143" s="189" t="n"/>
      <c r="AC143" s="189" t="n"/>
      <c r="AD143" s="189" t="n"/>
      <c r="AE143" s="189" t="n"/>
      <c r="AF143" s="189" t="n"/>
      <c r="AG143" s="189" t="n"/>
      <c r="AH143" s="189" t="n"/>
      <c r="AI143" s="51" t="inlineStr">
        <is>
          <t>U5θ</t>
        </is>
      </c>
    </row>
    <row r="144">
      <c r="A144" s="118" t="inlineStr">
        <is>
          <t>K3 =</t>
        </is>
      </c>
      <c r="B144" s="189" t="n"/>
      <c r="C144" s="189" t="n"/>
      <c r="D144" s="189" t="n"/>
      <c r="E144" s="189" t="n"/>
      <c r="F144" s="189" t="n"/>
      <c r="G144" s="189" t="n"/>
      <c r="H144" s="189" t="n"/>
      <c r="I144" s="189" t="n"/>
      <c r="J144" s="189" t="n"/>
      <c r="K144" s="189" t="n"/>
      <c r="L144" s="189" t="n"/>
      <c r="M144" s="189" t="n"/>
      <c r="N144" s="189" t="n"/>
      <c r="O144" s="189" t="n"/>
      <c r="P144" s="189" t="n"/>
      <c r="Q144" s="189" t="n"/>
      <c r="R144" s="189" t="n"/>
      <c r="S144" s="189" t="n"/>
      <c r="T144" s="189" t="n"/>
      <c r="U144" s="189" t="n"/>
      <c r="V144" s="189" t="n"/>
      <c r="W144" s="189" t="n"/>
      <c r="X144" s="189" t="n"/>
      <c r="Y144" s="189" t="n"/>
      <c r="Z144" s="189" t="n"/>
      <c r="AA144" s="189" t="n"/>
      <c r="AB144" s="189" t="n"/>
      <c r="AC144" s="189" t="n"/>
      <c r="AD144" s="189" t="n"/>
      <c r="AE144" s="189" t="n"/>
      <c r="AF144" s="189" t="n"/>
      <c r="AG144" s="189" t="n"/>
      <c r="AH144" s="189" t="n"/>
      <c r="AI144" s="51" t="inlineStr">
        <is>
          <t>U6X</t>
        </is>
      </c>
    </row>
    <row r="145">
      <c r="B145" s="189" t="n"/>
      <c r="C145" s="189" t="n"/>
      <c r="D145" s="189" t="n"/>
      <c r="E145" s="189" t="n"/>
      <c r="F145" s="189" t="n"/>
      <c r="G145" s="189" t="n"/>
      <c r="H145" s="189" t="n"/>
      <c r="I145" s="189" t="n"/>
      <c r="J145" s="189" t="n"/>
      <c r="K145" s="189" t="n"/>
      <c r="L145" s="189" t="n"/>
      <c r="M145" s="189" t="n"/>
      <c r="N145" s="189" t="n"/>
      <c r="O145" s="189" t="n"/>
      <c r="P145" s="189" t="n"/>
      <c r="Q145" s="189" t="n"/>
      <c r="R145" s="189" t="n"/>
      <c r="S145" s="189" t="n"/>
      <c r="T145" s="189" t="n"/>
      <c r="U145" s="189" t="n"/>
      <c r="V145" s="189" t="n"/>
      <c r="W145" s="189" t="n"/>
      <c r="X145" s="189" t="n"/>
      <c r="Y145" s="189" t="n"/>
      <c r="Z145" s="189" t="n"/>
      <c r="AA145" s="189" t="n"/>
      <c r="AB145" s="189" t="n"/>
      <c r="AC145" s="189" t="n"/>
      <c r="AD145" s="189" t="n"/>
      <c r="AE145" s="189" t="n"/>
      <c r="AF145" s="189" t="n"/>
      <c r="AG145" s="189" t="n"/>
      <c r="AH145" s="189" t="n"/>
      <c r="AI145" s="51" t="inlineStr">
        <is>
          <t>U6Y</t>
        </is>
      </c>
    </row>
    <row r="146">
      <c r="B146" s="189" t="n"/>
      <c r="C146" s="189" t="n"/>
      <c r="D146" s="189" t="n"/>
      <c r="E146" s="189" t="n"/>
      <c r="F146" s="189" t="n"/>
      <c r="G146" s="189" t="n"/>
      <c r="H146" s="189" t="n"/>
      <c r="I146" s="189" t="n"/>
      <c r="J146" s="189" t="n"/>
      <c r="K146" s="189" t="n"/>
      <c r="L146" s="189" t="n"/>
      <c r="M146" s="189" t="n"/>
      <c r="N146" s="189" t="n"/>
      <c r="O146" s="189" t="n"/>
      <c r="P146" s="189" t="n"/>
      <c r="Q146" s="189" t="n"/>
      <c r="R146" s="189" t="n"/>
      <c r="S146" s="189" t="n"/>
      <c r="T146" s="189" t="n"/>
      <c r="U146" s="189" t="n"/>
      <c r="V146" s="189" t="n"/>
      <c r="W146" s="189" t="n"/>
      <c r="X146" s="189" t="n"/>
      <c r="Y146" s="189" t="n"/>
      <c r="Z146" s="189" t="n"/>
      <c r="AA146" s="189" t="n"/>
      <c r="AB146" s="189" t="n"/>
      <c r="AC146" s="189" t="n"/>
      <c r="AD146" s="189" t="n"/>
      <c r="AE146" s="189" t="n"/>
      <c r="AF146" s="189" t="n"/>
      <c r="AG146" s="189" t="n"/>
      <c r="AH146" s="189" t="n"/>
      <c r="AI146" s="51" t="inlineStr">
        <is>
          <t>U6θ</t>
        </is>
      </c>
    </row>
    <row r="147">
      <c r="B147" s="189" t="n"/>
      <c r="C147" s="189" t="n"/>
      <c r="D147" s="189" t="n"/>
      <c r="E147" s="189" t="n"/>
      <c r="F147" s="189" t="n"/>
      <c r="G147" s="189" t="n"/>
      <c r="H147" s="189" t="n"/>
      <c r="I147" s="189" t="n"/>
      <c r="J147" s="189" t="n"/>
      <c r="K147" s="189" t="n"/>
      <c r="L147" s="189" t="n"/>
      <c r="M147" s="189" t="n"/>
      <c r="N147" s="189" t="n"/>
      <c r="O147" s="189" t="n"/>
      <c r="P147" s="189" t="n"/>
      <c r="Q147" s="189" t="n"/>
      <c r="R147" s="189" t="n"/>
      <c r="S147" s="189" t="n"/>
      <c r="T147" s="189" t="n"/>
      <c r="U147" s="189" t="n"/>
      <c r="V147" s="189" t="n"/>
      <c r="W147" s="189" t="n"/>
      <c r="X147" s="189" t="n"/>
      <c r="Y147" s="189" t="n"/>
      <c r="Z147" s="189" t="n"/>
      <c r="AA147" s="189" t="n"/>
      <c r="AB147" s="189" t="n"/>
      <c r="AC147" s="189" t="n"/>
      <c r="AD147" s="189" t="n"/>
      <c r="AE147" s="189" t="n"/>
      <c r="AF147" s="189" t="n"/>
      <c r="AG147" s="189" t="n"/>
      <c r="AH147" s="189" t="n"/>
      <c r="AI147" s="51" t="inlineStr">
        <is>
          <t>U7X</t>
        </is>
      </c>
    </row>
    <row r="148">
      <c r="B148" s="189" t="n"/>
      <c r="C148" s="189" t="n"/>
      <c r="D148" s="189" t="n"/>
      <c r="E148" s="189" t="n"/>
      <c r="F148" s="189" t="n"/>
      <c r="G148" s="189" t="n"/>
      <c r="H148" s="189" t="n"/>
      <c r="I148" s="189" t="n"/>
      <c r="J148" s="189" t="n"/>
      <c r="K148" s="189" t="n"/>
      <c r="L148" s="189" t="n"/>
      <c r="M148" s="189" t="n"/>
      <c r="N148" s="189" t="n"/>
      <c r="O148" s="189" t="n"/>
      <c r="P148" s="189" t="n"/>
      <c r="Q148" s="189" t="n"/>
      <c r="R148" s="189" t="n"/>
      <c r="S148" s="189" t="n"/>
      <c r="T148" s="189" t="n"/>
      <c r="U148" s="189" t="n"/>
      <c r="V148" s="189" t="n"/>
      <c r="W148" s="189" t="n"/>
      <c r="X148" s="189" t="n"/>
      <c r="Y148" s="189" t="n"/>
      <c r="Z148" s="189" t="n"/>
      <c r="AA148" s="189" t="n"/>
      <c r="AB148" s="189" t="n"/>
      <c r="AC148" s="189" t="n"/>
      <c r="AD148" s="189" t="n"/>
      <c r="AE148" s="189" t="n"/>
      <c r="AF148" s="189" t="n"/>
      <c r="AG148" s="189" t="n"/>
      <c r="AH148" s="189" t="n"/>
      <c r="AI148" s="51" t="inlineStr">
        <is>
          <t>U7Y</t>
        </is>
      </c>
    </row>
    <row r="149">
      <c r="B149" s="189" t="n"/>
      <c r="C149" s="189" t="n"/>
      <c r="D149" s="189" t="n"/>
      <c r="E149" s="189" t="n"/>
      <c r="F149" s="189" t="n"/>
      <c r="G149" s="189" t="n"/>
      <c r="H149" s="189" t="n"/>
      <c r="I149" s="189" t="n"/>
      <c r="J149" s="189" t="n"/>
      <c r="K149" s="189" t="n"/>
      <c r="L149" s="189" t="n"/>
      <c r="M149" s="189" t="n"/>
      <c r="N149" s="189" t="n"/>
      <c r="O149" s="189" t="n"/>
      <c r="P149" s="189" t="n"/>
      <c r="Q149" s="189" t="n"/>
      <c r="R149" s="189" t="n"/>
      <c r="S149" s="189" t="n"/>
      <c r="T149" s="189" t="n"/>
      <c r="U149" s="189" t="n"/>
      <c r="V149" s="189" t="n"/>
      <c r="W149" s="189" t="n"/>
      <c r="X149" s="189" t="n"/>
      <c r="Y149" s="189" t="n"/>
      <c r="Z149" s="189" t="n"/>
      <c r="AA149" s="189" t="n"/>
      <c r="AB149" s="189" t="n"/>
      <c r="AC149" s="189" t="n"/>
      <c r="AD149" s="189" t="n"/>
      <c r="AE149" s="189" t="n"/>
      <c r="AF149" s="189" t="n"/>
      <c r="AG149" s="189" t="n"/>
      <c r="AH149" s="189" t="n"/>
      <c r="AI149" s="51" t="inlineStr">
        <is>
          <t>U7θ</t>
        </is>
      </c>
    </row>
    <row r="150">
      <c r="B150" s="189" t="n"/>
      <c r="C150" s="189" t="n"/>
      <c r="D150" s="189" t="n"/>
      <c r="E150" s="189" t="n"/>
      <c r="F150" s="189" t="n"/>
      <c r="G150" s="189" t="n"/>
      <c r="H150" s="189" t="n"/>
      <c r="I150" s="189" t="n"/>
      <c r="J150" s="189" t="n"/>
      <c r="K150" s="189" t="n"/>
      <c r="L150" s="189" t="n"/>
      <c r="M150" s="189" t="n"/>
      <c r="N150" s="189" t="n"/>
      <c r="O150" s="189" t="n"/>
      <c r="P150" s="189" t="n"/>
      <c r="Q150" s="189" t="n"/>
      <c r="R150" s="189" t="n"/>
      <c r="S150" s="189" t="n"/>
      <c r="T150" s="189" t="n"/>
      <c r="U150" s="189" t="n"/>
      <c r="V150" s="189" t="n"/>
      <c r="W150" s="189" t="n"/>
      <c r="X150" s="189" t="n"/>
      <c r="Y150" s="189" t="n"/>
      <c r="Z150" s="189" t="n"/>
      <c r="AA150" s="189" t="n"/>
      <c r="AB150" s="189" t="n"/>
      <c r="AC150" s="189" t="n"/>
      <c r="AD150" s="189" t="n"/>
      <c r="AE150" s="189" t="n"/>
      <c r="AF150" s="189" t="n"/>
      <c r="AG150" s="189" t="n"/>
      <c r="AH150" s="189" t="n"/>
      <c r="AI150" s="51" t="inlineStr">
        <is>
          <t>U8X</t>
        </is>
      </c>
    </row>
    <row r="151">
      <c r="B151" s="189" t="n"/>
      <c r="C151" s="189" t="n"/>
      <c r="D151" s="189" t="n"/>
      <c r="E151" s="189" t="n"/>
      <c r="F151" s="189" t="n"/>
      <c r="G151" s="189" t="n"/>
      <c r="H151" s="189" t="n"/>
      <c r="I151" s="189" t="n"/>
      <c r="J151" s="189" t="n"/>
      <c r="K151" s="189" t="n"/>
      <c r="L151" s="189" t="n"/>
      <c r="M151" s="189" t="n"/>
      <c r="N151" s="189" t="n"/>
      <c r="O151" s="189" t="n"/>
      <c r="P151" s="189" t="n"/>
      <c r="Q151" s="189" t="n"/>
      <c r="R151" s="189" t="n"/>
      <c r="S151" s="189" t="n"/>
      <c r="T151" s="189" t="n"/>
      <c r="U151" s="189" t="n"/>
      <c r="V151" s="189" t="n"/>
      <c r="W151" s="189" t="n"/>
      <c r="X151" s="189" t="n"/>
      <c r="Y151" s="189" t="n"/>
      <c r="Z151" s="189" t="n"/>
      <c r="AA151" s="189" t="n"/>
      <c r="AB151" s="189" t="n"/>
      <c r="AC151" s="189" t="n"/>
      <c r="AD151" s="189" t="n"/>
      <c r="AE151" s="189" t="n"/>
      <c r="AF151" s="189" t="n"/>
      <c r="AG151" s="189" t="n"/>
      <c r="AH151" s="189" t="n"/>
      <c r="AI151" s="51" t="inlineStr">
        <is>
          <t>U8Y</t>
        </is>
      </c>
    </row>
    <row r="152">
      <c r="B152" s="189" t="n"/>
      <c r="C152" s="189" t="n"/>
      <c r="D152" s="189" t="n"/>
      <c r="E152" s="189" t="n"/>
      <c r="F152" s="189" t="n"/>
      <c r="G152" s="189" t="n"/>
      <c r="H152" s="189" t="n"/>
      <c r="I152" s="189" t="n"/>
      <c r="J152" s="189" t="n"/>
      <c r="K152" s="189" t="n"/>
      <c r="L152" s="189" t="n"/>
      <c r="M152" s="189" t="n"/>
      <c r="N152" s="189" t="n"/>
      <c r="O152" s="189" t="n"/>
      <c r="P152" s="189" t="n"/>
      <c r="Q152" s="189" t="n"/>
      <c r="R152" s="189" t="n"/>
      <c r="S152" s="189" t="n"/>
      <c r="T152" s="189" t="n"/>
      <c r="U152" s="189" t="n"/>
      <c r="V152" s="189" t="n"/>
      <c r="W152" s="189" t="n"/>
      <c r="X152" s="189" t="n"/>
      <c r="Y152" s="189" t="n"/>
      <c r="Z152" s="189" t="n"/>
      <c r="AA152" s="189" t="n"/>
      <c r="AB152" s="189" t="n"/>
      <c r="AC152" s="189" t="n"/>
      <c r="AD152" s="189" t="n"/>
      <c r="AE152" s="189" t="n"/>
      <c r="AF152" s="189" t="n"/>
      <c r="AG152" s="189" t="n"/>
      <c r="AH152" s="189" t="n"/>
      <c r="AI152" s="51" t="inlineStr">
        <is>
          <t>U8θ</t>
        </is>
      </c>
    </row>
    <row r="153">
      <c r="B153" s="189" t="n"/>
      <c r="C153" s="189" t="n"/>
      <c r="D153" s="189" t="n"/>
      <c r="E153" s="189" t="n"/>
      <c r="F153" s="189" t="n"/>
      <c r="G153" s="189" t="n"/>
      <c r="H153" s="189" t="n"/>
      <c r="I153" s="189" t="n"/>
      <c r="J153" s="189" t="n"/>
      <c r="K153" s="189" t="n"/>
      <c r="L153" s="189" t="n"/>
      <c r="M153" s="189" t="n"/>
      <c r="N153" s="189" t="n"/>
      <c r="O153" s="189" t="n"/>
      <c r="P153" s="189" t="n"/>
      <c r="Q153" s="189" t="n"/>
      <c r="R153" s="189" t="n"/>
      <c r="S153" s="189" t="n"/>
      <c r="T153" s="189" t="n"/>
      <c r="U153" s="189" t="n"/>
      <c r="V153" s="189" t="n"/>
      <c r="W153" s="189" t="n"/>
      <c r="X153" s="189" t="n"/>
      <c r="Y153" s="189" t="n"/>
      <c r="Z153" s="189" t="n"/>
      <c r="AA153" s="189" t="n"/>
      <c r="AB153" s="189" t="n"/>
      <c r="AC153" s="189" t="n"/>
      <c r="AD153" s="189" t="n"/>
      <c r="AE153" s="189" t="n"/>
      <c r="AF153" s="189" t="n"/>
      <c r="AG153" s="189" t="n"/>
      <c r="AH153" s="189" t="n"/>
      <c r="AI153" s="51" t="inlineStr">
        <is>
          <t>U9X</t>
        </is>
      </c>
    </row>
    <row r="154">
      <c r="B154" s="189" t="n"/>
      <c r="C154" s="189" t="n"/>
      <c r="D154" s="189" t="n"/>
      <c r="E154" s="189" t="n"/>
      <c r="F154" s="189" t="n"/>
      <c r="G154" s="189" t="n"/>
      <c r="H154" s="189" t="n"/>
      <c r="I154" s="189" t="n"/>
      <c r="J154" s="189" t="n"/>
      <c r="K154" s="189" t="n"/>
      <c r="L154" s="189" t="n"/>
      <c r="M154" s="189" t="n"/>
      <c r="N154" s="189" t="n"/>
      <c r="O154" s="189" t="n"/>
      <c r="P154" s="189" t="n"/>
      <c r="Q154" s="189" t="n"/>
      <c r="R154" s="189" t="n"/>
      <c r="S154" s="189" t="n"/>
      <c r="T154" s="189" t="n"/>
      <c r="U154" s="189" t="n"/>
      <c r="V154" s="189" t="n"/>
      <c r="W154" s="189" t="n"/>
      <c r="X154" s="189" t="n"/>
      <c r="Y154" s="189" t="n"/>
      <c r="Z154" s="189" t="n"/>
      <c r="AA154" s="189" t="n"/>
      <c r="AB154" s="189" t="n"/>
      <c r="AC154" s="189" t="n"/>
      <c r="AD154" s="189" t="n"/>
      <c r="AE154" s="189" t="n"/>
      <c r="AF154" s="189" t="n"/>
      <c r="AG154" s="189" t="n"/>
      <c r="AH154" s="189" t="n"/>
      <c r="AI154" s="51" t="inlineStr">
        <is>
          <t>U9Y</t>
        </is>
      </c>
    </row>
    <row r="155">
      <c r="B155" s="189" t="n"/>
      <c r="C155" s="189" t="n"/>
      <c r="D155" s="189" t="n"/>
      <c r="E155" s="189" t="n"/>
      <c r="F155" s="189" t="n"/>
      <c r="G155" s="189" t="n"/>
      <c r="H155" s="189" t="n"/>
      <c r="I155" s="189" t="n"/>
      <c r="J155" s="189" t="n"/>
      <c r="K155" s="189" t="n"/>
      <c r="L155" s="189" t="n"/>
      <c r="M155" s="189" t="n"/>
      <c r="N155" s="189" t="n"/>
      <c r="O155" s="189" t="n"/>
      <c r="P155" s="189" t="n"/>
      <c r="Q155" s="189" t="n"/>
      <c r="R155" s="189" t="n"/>
      <c r="S155" s="189" t="n"/>
      <c r="T155" s="189" t="n"/>
      <c r="U155" s="189" t="n"/>
      <c r="V155" s="189" t="n"/>
      <c r="W155" s="189" t="n"/>
      <c r="X155" s="189" t="n"/>
      <c r="Y155" s="189" t="n"/>
      <c r="Z155" s="189" t="n"/>
      <c r="AA155" s="189" t="n"/>
      <c r="AB155" s="189" t="n"/>
      <c r="AC155" s="189" t="n"/>
      <c r="AD155" s="189" t="n"/>
      <c r="AE155" s="189" t="n"/>
      <c r="AF155" s="189" t="n"/>
      <c r="AG155" s="189" t="n"/>
      <c r="AH155" s="189" t="n"/>
      <c r="AI155" s="51" t="inlineStr">
        <is>
          <t>U9θ</t>
        </is>
      </c>
    </row>
    <row r="156">
      <c r="B156" s="189" t="n"/>
      <c r="C156" s="189" t="n"/>
      <c r="D156" s="189" t="n"/>
      <c r="E156" s="189" t="n"/>
      <c r="F156" s="189" t="n"/>
      <c r="G156" s="189" t="n"/>
      <c r="H156" s="189" t="n"/>
      <c r="I156" s="189" t="n"/>
      <c r="J156" s="189" t="n"/>
      <c r="K156" s="189" t="n"/>
      <c r="L156" s="189" t="n"/>
      <c r="M156" s="189" t="n"/>
      <c r="N156" s="189" t="n"/>
      <c r="O156" s="189" t="n"/>
      <c r="P156" s="189" t="n"/>
      <c r="Q156" s="189" t="n"/>
      <c r="R156" s="189" t="n"/>
      <c r="S156" s="189" t="n"/>
      <c r="T156" s="189" t="n"/>
      <c r="U156" s="189" t="n"/>
      <c r="V156" s="189" t="n"/>
      <c r="W156" s="189" t="n"/>
      <c r="X156" s="189" t="n"/>
      <c r="Y156" s="189" t="n"/>
      <c r="Z156" s="189" t="n"/>
      <c r="AA156" s="189" t="n"/>
      <c r="AB156" s="189" t="n"/>
      <c r="AC156" s="189" t="n"/>
      <c r="AD156" s="189" t="n"/>
      <c r="AE156" s="189" t="n"/>
      <c r="AF156" s="189" t="n"/>
      <c r="AG156" s="189" t="n"/>
      <c r="AH156" s="189" t="n"/>
      <c r="AI156" s="51" t="inlineStr">
        <is>
          <t>U10X</t>
        </is>
      </c>
    </row>
    <row r="157">
      <c r="B157" s="189" t="n"/>
      <c r="C157" s="189" t="n"/>
      <c r="D157" s="189" t="n"/>
      <c r="E157" s="189" t="n"/>
      <c r="F157" s="189" t="n"/>
      <c r="G157" s="189" t="n"/>
      <c r="H157" s="189" t="n"/>
      <c r="I157" s="189" t="n"/>
      <c r="J157" s="189" t="n"/>
      <c r="K157" s="189" t="n"/>
      <c r="L157" s="189" t="n"/>
      <c r="M157" s="189" t="n"/>
      <c r="N157" s="189" t="n"/>
      <c r="O157" s="189" t="n"/>
      <c r="P157" s="189" t="n"/>
      <c r="Q157" s="189" t="n"/>
      <c r="R157" s="189" t="n"/>
      <c r="S157" s="189" t="n"/>
      <c r="T157" s="189" t="n"/>
      <c r="U157" s="189" t="n"/>
      <c r="V157" s="189" t="n"/>
      <c r="W157" s="189" t="n"/>
      <c r="X157" s="189" t="n"/>
      <c r="Y157" s="189" t="n"/>
      <c r="Z157" s="189" t="n"/>
      <c r="AA157" s="189" t="n"/>
      <c r="AB157" s="189" t="n"/>
      <c r="AC157" s="189" t="n"/>
      <c r="AD157" s="189" t="n"/>
      <c r="AE157" s="189" t="n"/>
      <c r="AF157" s="189" t="n"/>
      <c r="AG157" s="189" t="n"/>
      <c r="AH157" s="189" t="n"/>
      <c r="AI157" s="51" t="inlineStr">
        <is>
          <t>U10Y</t>
        </is>
      </c>
    </row>
    <row r="158">
      <c r="B158" s="189" t="n"/>
      <c r="C158" s="189" t="n"/>
      <c r="D158" s="189" t="n"/>
      <c r="E158" s="189" t="n"/>
      <c r="F158" s="189" t="n"/>
      <c r="G158" s="189" t="n"/>
      <c r="H158" s="189" t="n"/>
      <c r="I158" s="189" t="n"/>
      <c r="J158" s="189" t="n"/>
      <c r="K158" s="189" t="n"/>
      <c r="L158" s="189" t="n"/>
      <c r="M158" s="189" t="n"/>
      <c r="N158" s="189" t="n"/>
      <c r="O158" s="189" t="n"/>
      <c r="P158" s="189" t="n"/>
      <c r="Q158" s="189" t="n"/>
      <c r="R158" s="189" t="n"/>
      <c r="S158" s="189" t="n"/>
      <c r="T158" s="189" t="n"/>
      <c r="U158" s="189" t="n"/>
      <c r="V158" s="189" t="n"/>
      <c r="W158" s="189" t="n"/>
      <c r="X158" s="189" t="n"/>
      <c r="Y158" s="189" t="n"/>
      <c r="Z158" s="189" t="n"/>
      <c r="AA158" s="189" t="n"/>
      <c r="AB158" s="189" t="n"/>
      <c r="AC158" s="189" t="n"/>
      <c r="AD158" s="189" t="n"/>
      <c r="AE158" s="189" t="n"/>
      <c r="AF158" s="189" t="n"/>
      <c r="AG158" s="189" t="n"/>
      <c r="AH158" s="189" t="n"/>
      <c r="AI158" s="51" t="inlineStr">
        <is>
          <t>U10θ</t>
        </is>
      </c>
    </row>
    <row r="159">
      <c r="B159" s="189" t="n"/>
      <c r="C159" s="189" t="n"/>
      <c r="D159" s="189" t="n"/>
      <c r="E159" s="189" t="n"/>
      <c r="F159" s="189" t="n"/>
      <c r="G159" s="189" t="n"/>
      <c r="H159" s="189" t="n"/>
      <c r="I159" s="189" t="n"/>
      <c r="J159" s="189" t="n"/>
      <c r="K159" s="189" t="n"/>
      <c r="L159" s="189" t="n"/>
      <c r="M159" s="189" t="n"/>
      <c r="N159" s="189" t="n"/>
      <c r="O159" s="189" t="n"/>
      <c r="P159" s="189" t="n"/>
      <c r="Q159" s="189" t="n"/>
      <c r="R159" s="189" t="n"/>
      <c r="S159" s="189" t="n"/>
      <c r="T159" s="189" t="n"/>
      <c r="U159" s="189" t="n"/>
      <c r="V159" s="189" t="n"/>
      <c r="W159" s="189" t="n"/>
      <c r="X159" s="189" t="n"/>
      <c r="Y159" s="189" t="n"/>
      <c r="Z159" s="189" t="n"/>
      <c r="AA159" s="189" t="n"/>
      <c r="AB159" s="189" t="n"/>
      <c r="AC159" s="189" t="n"/>
      <c r="AD159" s="189" t="n"/>
      <c r="AE159" s="189" t="n"/>
      <c r="AF159" s="189" t="n"/>
      <c r="AG159" s="189" t="n"/>
      <c r="AH159" s="189" t="n"/>
      <c r="AI159" s="51" t="inlineStr">
        <is>
          <t>U11X</t>
        </is>
      </c>
    </row>
    <row r="160">
      <c r="B160" s="189" t="n"/>
      <c r="C160" s="189" t="n"/>
      <c r="D160" s="189" t="n"/>
      <c r="E160" s="189" t="n"/>
      <c r="F160" s="189" t="n"/>
      <c r="G160" s="189" t="n"/>
      <c r="H160" s="189" t="n"/>
      <c r="I160" s="189" t="n"/>
      <c r="J160" s="189" t="n"/>
      <c r="K160" s="189" t="n"/>
      <c r="L160" s="189" t="n"/>
      <c r="M160" s="189" t="n"/>
      <c r="N160" s="189" t="n"/>
      <c r="O160" s="189" t="n"/>
      <c r="P160" s="189" t="n"/>
      <c r="Q160" s="189" t="n"/>
      <c r="R160" s="189" t="n"/>
      <c r="S160" s="189" t="n"/>
      <c r="T160" s="189" t="n"/>
      <c r="U160" s="189" t="n"/>
      <c r="V160" s="189" t="n"/>
      <c r="W160" s="189" t="n"/>
      <c r="X160" s="189" t="n"/>
      <c r="Y160" s="189" t="n"/>
      <c r="Z160" s="189" t="n"/>
      <c r="AA160" s="189" t="n"/>
      <c r="AB160" s="189" t="n"/>
      <c r="AC160" s="189" t="n"/>
      <c r="AD160" s="189" t="n"/>
      <c r="AE160" s="189" t="n"/>
      <c r="AF160" s="189" t="n"/>
      <c r="AG160" s="189" t="n"/>
      <c r="AH160" s="189" t="n"/>
      <c r="AI160" s="51" t="inlineStr">
        <is>
          <t>U11Y</t>
        </is>
      </c>
    </row>
    <row r="161">
      <c r="B161" s="189" t="n"/>
      <c r="C161" s="189" t="n"/>
      <c r="D161" s="189" t="n"/>
      <c r="E161" s="189" t="n"/>
      <c r="F161" s="189" t="n"/>
      <c r="G161" s="189" t="n"/>
      <c r="H161" s="189" t="n"/>
      <c r="I161" s="189" t="n"/>
      <c r="J161" s="189" t="n"/>
      <c r="K161" s="189" t="n"/>
      <c r="L161" s="189" t="n"/>
      <c r="M161" s="189" t="n"/>
      <c r="N161" s="189" t="n"/>
      <c r="O161" s="189" t="n"/>
      <c r="P161" s="189" t="n"/>
      <c r="Q161" s="189" t="n"/>
      <c r="R161" s="189" t="n"/>
      <c r="S161" s="189" t="n"/>
      <c r="T161" s="189" t="n"/>
      <c r="U161" s="189" t="n"/>
      <c r="V161" s="189" t="n"/>
      <c r="W161" s="189" t="n"/>
      <c r="X161" s="189" t="n"/>
      <c r="Y161" s="189" t="n"/>
      <c r="Z161" s="189" t="n"/>
      <c r="AA161" s="189" t="n"/>
      <c r="AB161" s="189" t="n"/>
      <c r="AC161" s="189" t="n"/>
      <c r="AD161" s="189" t="n"/>
      <c r="AE161" s="189" t="n"/>
      <c r="AF161" s="189" t="n"/>
      <c r="AG161" s="189" t="n"/>
      <c r="AH161" s="189" t="n"/>
      <c r="AI161" s="51" t="inlineStr">
        <is>
          <t>U11θ</t>
        </is>
      </c>
    </row>
    <row r="163">
      <c r="B163" s="51">
        <f>IF(C25="","", CONCATENATE("U",C25,C$21))</f>
        <v/>
      </c>
      <c r="C163" s="51">
        <f>IF(D25="","", CONCATENATE("U",D25,D$21))</f>
        <v/>
      </c>
      <c r="D163" s="51">
        <f>IF(E25="","", CONCATENATE("U",E25,E$21))</f>
        <v/>
      </c>
      <c r="E163" s="51">
        <f>IF(F25="","", CONCATENATE("U",F25,F$21))</f>
        <v/>
      </c>
      <c r="F163" s="51">
        <f>IF(G25="","", CONCATENATE("U",G25,G$21))</f>
        <v/>
      </c>
      <c r="G163" s="51">
        <f>IF(H25="","", CONCATENATE("U",H25,H$21))</f>
        <v/>
      </c>
    </row>
    <row r="164">
      <c r="B164" s="8">
        <f>IF(I12="", 0, O12*J12*J12+P12*K12*K12)</f>
        <v/>
      </c>
      <c r="C164" s="189">
        <f>IF(I12="", 0, (O12-P12)*(J12*K12))</f>
        <v/>
      </c>
      <c r="D164" s="189">
        <f>IF(I12="", 0, -Q12*K12)</f>
        <v/>
      </c>
      <c r="E164" s="189">
        <f>-B164</f>
        <v/>
      </c>
      <c r="F164" s="189">
        <f>-C164</f>
        <v/>
      </c>
      <c r="G164" s="189">
        <f>D164</f>
        <v/>
      </c>
      <c r="H164" s="51">
        <f>B163</f>
        <v/>
      </c>
    </row>
    <row r="165">
      <c r="B165" s="189">
        <f>C164</f>
        <v/>
      </c>
      <c r="C165" s="8">
        <f>IF(I12="", 0, O12*K12*K12+P12*J12*J12)</f>
        <v/>
      </c>
      <c r="D165" s="189">
        <f>IF(I12="", 0, Q12*J12)</f>
        <v/>
      </c>
      <c r="E165" s="189">
        <f>-B165</f>
        <v/>
      </c>
      <c r="F165" s="189">
        <f>-C165</f>
        <v/>
      </c>
      <c r="G165" s="189">
        <f>D165</f>
        <v/>
      </c>
      <c r="H165" s="51">
        <f>C163</f>
        <v/>
      </c>
    </row>
    <row r="166">
      <c r="A166" s="118" t="inlineStr">
        <is>
          <t>K4 =</t>
        </is>
      </c>
      <c r="B166" s="189">
        <f>D164</f>
        <v/>
      </c>
      <c r="C166" s="189">
        <f>D165</f>
        <v/>
      </c>
      <c r="D166" s="8">
        <f>IF(I12="", 0, R12)</f>
        <v/>
      </c>
      <c r="E166" s="189">
        <f>-B166</f>
        <v/>
      </c>
      <c r="F166" s="189">
        <f>-C166</f>
        <v/>
      </c>
      <c r="G166" s="189">
        <f>IF(I12="", 0, S12)</f>
        <v/>
      </c>
      <c r="H166" s="51">
        <f>D163</f>
        <v/>
      </c>
    </row>
    <row r="167">
      <c r="B167" s="189">
        <f>E164</f>
        <v/>
      </c>
      <c r="C167" s="189">
        <f>E165</f>
        <v/>
      </c>
      <c r="D167" s="189">
        <f>E166</f>
        <v/>
      </c>
      <c r="E167" s="8">
        <f>B164</f>
        <v/>
      </c>
      <c r="F167" s="189">
        <f>C164</f>
        <v/>
      </c>
      <c r="G167" s="189">
        <f>-D164</f>
        <v/>
      </c>
      <c r="H167" s="51">
        <f>E163</f>
        <v/>
      </c>
    </row>
    <row r="168">
      <c r="B168" s="189">
        <f>F164</f>
        <v/>
      </c>
      <c r="C168" s="189">
        <f>F165</f>
        <v/>
      </c>
      <c r="D168" s="189">
        <f>F166</f>
        <v/>
      </c>
      <c r="E168" s="189">
        <f>F167</f>
        <v/>
      </c>
      <c r="F168" s="8">
        <f>C165</f>
        <v/>
      </c>
      <c r="G168" s="189">
        <f>-D165</f>
        <v/>
      </c>
      <c r="H168" s="51">
        <f>F163</f>
        <v/>
      </c>
    </row>
    <row r="169">
      <c r="B169" s="189">
        <f>G164</f>
        <v/>
      </c>
      <c r="C169" s="189">
        <f>G165</f>
        <v/>
      </c>
      <c r="D169" s="189">
        <f>G166</f>
        <v/>
      </c>
      <c r="E169" s="189">
        <f>G167</f>
        <v/>
      </c>
      <c r="F169" s="189">
        <f>G168</f>
        <v/>
      </c>
      <c r="G169" s="8">
        <f>D166</f>
        <v/>
      </c>
      <c r="H169" s="51">
        <f>G163</f>
        <v/>
      </c>
    </row>
    <row r="171">
      <c r="B171" s="51" t="inlineStr">
        <is>
          <t>U1X</t>
        </is>
      </c>
      <c r="C171" s="51" t="inlineStr">
        <is>
          <t>U1Y</t>
        </is>
      </c>
      <c r="D171" s="51" t="inlineStr">
        <is>
          <t>U1θ</t>
        </is>
      </c>
      <c r="E171" s="51" t="inlineStr">
        <is>
          <t>U2X</t>
        </is>
      </c>
      <c r="F171" s="51" t="inlineStr">
        <is>
          <t>U2Y</t>
        </is>
      </c>
      <c r="G171" s="51" t="inlineStr">
        <is>
          <t>U2θ</t>
        </is>
      </c>
      <c r="H171" s="51" t="inlineStr">
        <is>
          <t>U3X</t>
        </is>
      </c>
      <c r="I171" s="51" t="inlineStr">
        <is>
          <t>U3Y</t>
        </is>
      </c>
      <c r="J171" s="51" t="inlineStr">
        <is>
          <t>U3θ</t>
        </is>
      </c>
      <c r="K171" s="51" t="inlineStr">
        <is>
          <t>U4X</t>
        </is>
      </c>
      <c r="L171" s="51" t="inlineStr">
        <is>
          <t>U4Y</t>
        </is>
      </c>
      <c r="M171" s="51" t="inlineStr">
        <is>
          <t>U4θ</t>
        </is>
      </c>
      <c r="N171" s="51" t="inlineStr">
        <is>
          <t>U5X</t>
        </is>
      </c>
      <c r="O171" s="51" t="inlineStr">
        <is>
          <t>U5Y</t>
        </is>
      </c>
      <c r="P171" s="51" t="inlineStr">
        <is>
          <t>U5θ</t>
        </is>
      </c>
      <c r="Q171" s="51" t="inlineStr">
        <is>
          <t>U6X</t>
        </is>
      </c>
      <c r="R171" s="51" t="inlineStr">
        <is>
          <t>U6Y</t>
        </is>
      </c>
      <c r="S171" s="51" t="inlineStr">
        <is>
          <t>U6θ</t>
        </is>
      </c>
      <c r="T171" s="51" t="inlineStr">
        <is>
          <t>U7X</t>
        </is>
      </c>
      <c r="U171" s="51" t="inlineStr">
        <is>
          <t>U7Y</t>
        </is>
      </c>
      <c r="V171" s="51" t="inlineStr">
        <is>
          <t>U7θ</t>
        </is>
      </c>
      <c r="W171" s="51" t="inlineStr">
        <is>
          <t>U8X</t>
        </is>
      </c>
      <c r="X171" s="51" t="inlineStr">
        <is>
          <t>U8Y</t>
        </is>
      </c>
      <c r="Y171" s="51" t="inlineStr">
        <is>
          <t>U8θ</t>
        </is>
      </c>
      <c r="Z171" s="51" t="inlineStr">
        <is>
          <t>U9X</t>
        </is>
      </c>
      <c r="AA171" s="51" t="inlineStr">
        <is>
          <t>U9Y</t>
        </is>
      </c>
      <c r="AB171" s="51" t="inlineStr">
        <is>
          <t>U9θ</t>
        </is>
      </c>
      <c r="AC171" s="51" t="inlineStr">
        <is>
          <t>U10X</t>
        </is>
      </c>
      <c r="AD171" s="51" t="inlineStr">
        <is>
          <t>U10Y</t>
        </is>
      </c>
      <c r="AE171" s="51" t="inlineStr">
        <is>
          <t>U10θ</t>
        </is>
      </c>
      <c r="AF171" s="51" t="inlineStr">
        <is>
          <t>U11X</t>
        </is>
      </c>
      <c r="AG171" s="51" t="inlineStr">
        <is>
          <t>U11Y</t>
        </is>
      </c>
      <c r="AH171" s="51" t="inlineStr">
        <is>
          <t>U11θ</t>
        </is>
      </c>
    </row>
    <row r="172">
      <c r="B172" s="189" t="n"/>
      <c r="C172" s="189" t="n"/>
      <c r="D172" s="189" t="n"/>
      <c r="E172" s="189" t="n"/>
      <c r="F172" s="189" t="n"/>
      <c r="G172" s="189" t="n"/>
      <c r="H172" s="189" t="n"/>
      <c r="I172" s="189" t="n"/>
      <c r="J172" s="189" t="n"/>
      <c r="K172" s="189" t="n"/>
      <c r="L172" s="189" t="n"/>
      <c r="M172" s="189" t="n"/>
      <c r="N172" s="189" t="n"/>
      <c r="O172" s="189" t="n"/>
      <c r="P172" s="189" t="n"/>
      <c r="Q172" s="189" t="n"/>
      <c r="R172" s="189" t="n"/>
      <c r="S172" s="189" t="n"/>
      <c r="T172" s="189" t="n"/>
      <c r="U172" s="189" t="n"/>
      <c r="V172" s="189" t="n"/>
      <c r="W172" s="189" t="n"/>
      <c r="X172" s="189" t="n"/>
      <c r="Y172" s="189" t="n"/>
      <c r="Z172" s="189" t="n"/>
      <c r="AA172" s="189" t="n"/>
      <c r="AB172" s="189" t="n"/>
      <c r="AC172" s="189" t="n"/>
      <c r="AD172" s="189" t="n"/>
      <c r="AE172" s="189" t="n"/>
      <c r="AF172" s="189" t="n"/>
      <c r="AG172" s="189" t="n"/>
      <c r="AH172" s="189" t="n"/>
      <c r="AI172" s="51" t="inlineStr">
        <is>
          <t>U1X</t>
        </is>
      </c>
    </row>
    <row r="173">
      <c r="B173" s="189" t="n"/>
      <c r="C173" s="189" t="n"/>
      <c r="D173" s="189" t="n"/>
      <c r="E173" s="189" t="n"/>
      <c r="F173" s="189" t="n"/>
      <c r="G173" s="189" t="n"/>
      <c r="H173" s="189" t="n"/>
      <c r="I173" s="189" t="n"/>
      <c r="J173" s="189" t="n"/>
      <c r="K173" s="189" t="n"/>
      <c r="L173" s="189" t="n"/>
      <c r="M173" s="189" t="n"/>
      <c r="N173" s="189" t="n"/>
      <c r="O173" s="189" t="n"/>
      <c r="P173" s="189" t="n"/>
      <c r="Q173" s="189" t="n"/>
      <c r="R173" s="189" t="n"/>
      <c r="S173" s="189" t="n"/>
      <c r="T173" s="189" t="n"/>
      <c r="U173" s="189" t="n"/>
      <c r="V173" s="189" t="n"/>
      <c r="W173" s="189" t="n"/>
      <c r="X173" s="189" t="n"/>
      <c r="Y173" s="189" t="n"/>
      <c r="Z173" s="189" t="n"/>
      <c r="AA173" s="189" t="n"/>
      <c r="AB173" s="189" t="n"/>
      <c r="AC173" s="189" t="n"/>
      <c r="AD173" s="189" t="n"/>
      <c r="AE173" s="189" t="n"/>
      <c r="AF173" s="189" t="n"/>
      <c r="AG173" s="189" t="n"/>
      <c r="AH173" s="189" t="n"/>
      <c r="AI173" s="51" t="inlineStr">
        <is>
          <t>U1Y</t>
        </is>
      </c>
    </row>
    <row r="174">
      <c r="B174" s="189" t="n"/>
      <c r="C174" s="189" t="n"/>
      <c r="D174" s="189" t="n"/>
      <c r="E174" s="189" t="n"/>
      <c r="F174" s="189" t="n"/>
      <c r="G174" s="189" t="n"/>
      <c r="H174" s="189" t="n"/>
      <c r="I174" s="189" t="n"/>
      <c r="J174" s="189" t="n"/>
      <c r="K174" s="189" t="n"/>
      <c r="L174" s="189" t="n"/>
      <c r="M174" s="189" t="n"/>
      <c r="N174" s="189" t="n"/>
      <c r="O174" s="189" t="n"/>
      <c r="P174" s="189" t="n"/>
      <c r="Q174" s="189" t="n"/>
      <c r="R174" s="189" t="n"/>
      <c r="S174" s="189" t="n"/>
      <c r="T174" s="189" t="n"/>
      <c r="U174" s="189" t="n"/>
      <c r="V174" s="189" t="n"/>
      <c r="W174" s="189" t="n"/>
      <c r="X174" s="189" t="n"/>
      <c r="Y174" s="189" t="n"/>
      <c r="Z174" s="189" t="n"/>
      <c r="AA174" s="189" t="n"/>
      <c r="AB174" s="189" t="n"/>
      <c r="AC174" s="189" t="n"/>
      <c r="AD174" s="189" t="n"/>
      <c r="AE174" s="189" t="n"/>
      <c r="AF174" s="189" t="n"/>
      <c r="AG174" s="189" t="n"/>
      <c r="AH174" s="189" t="n"/>
      <c r="AI174" s="51" t="inlineStr">
        <is>
          <t>U1θ</t>
        </is>
      </c>
    </row>
    <row r="175">
      <c r="B175" s="189" t="n"/>
      <c r="C175" s="189" t="n"/>
      <c r="D175" s="189" t="n"/>
      <c r="E175" s="189" t="n"/>
      <c r="F175" s="189" t="n"/>
      <c r="G175" s="189" t="n"/>
      <c r="H175" s="189" t="n"/>
      <c r="I175" s="189" t="n"/>
      <c r="J175" s="189" t="n"/>
      <c r="K175" s="189" t="n"/>
      <c r="L175" s="189" t="n"/>
      <c r="M175" s="189" t="n"/>
      <c r="N175" s="189" t="n"/>
      <c r="O175" s="189" t="n"/>
      <c r="P175" s="189" t="n"/>
      <c r="Q175" s="189" t="n"/>
      <c r="R175" s="189" t="n"/>
      <c r="S175" s="189" t="n"/>
      <c r="T175" s="189" t="n"/>
      <c r="U175" s="189" t="n"/>
      <c r="V175" s="189" t="n"/>
      <c r="W175" s="189" t="n"/>
      <c r="X175" s="189" t="n"/>
      <c r="Y175" s="189" t="n"/>
      <c r="Z175" s="189" t="n"/>
      <c r="AA175" s="189" t="n"/>
      <c r="AB175" s="189" t="n"/>
      <c r="AC175" s="189" t="n"/>
      <c r="AD175" s="189" t="n"/>
      <c r="AE175" s="189" t="n"/>
      <c r="AF175" s="189" t="n"/>
      <c r="AG175" s="189" t="n"/>
      <c r="AH175" s="189" t="n"/>
      <c r="AI175" s="51" t="inlineStr">
        <is>
          <t>U2X</t>
        </is>
      </c>
    </row>
    <row r="176">
      <c r="B176" s="189" t="n"/>
      <c r="C176" s="189" t="n"/>
      <c r="D176" s="189" t="n"/>
      <c r="E176" s="189" t="n"/>
      <c r="F176" s="189" t="n"/>
      <c r="G176" s="189" t="n"/>
      <c r="H176" s="189" t="n"/>
      <c r="I176" s="189" t="n"/>
      <c r="J176" s="189" t="n"/>
      <c r="K176" s="189" t="n"/>
      <c r="L176" s="189" t="n"/>
      <c r="M176" s="189" t="n"/>
      <c r="N176" s="189" t="n"/>
      <c r="O176" s="189" t="n"/>
      <c r="P176" s="189" t="n"/>
      <c r="Q176" s="189" t="n"/>
      <c r="R176" s="189" t="n"/>
      <c r="S176" s="189" t="n"/>
      <c r="T176" s="189" t="n"/>
      <c r="U176" s="189" t="n"/>
      <c r="V176" s="189" t="n"/>
      <c r="W176" s="189" t="n"/>
      <c r="X176" s="189" t="n"/>
      <c r="Y176" s="189" t="n"/>
      <c r="Z176" s="189" t="n"/>
      <c r="AA176" s="189" t="n"/>
      <c r="AB176" s="189" t="n"/>
      <c r="AC176" s="189" t="n"/>
      <c r="AD176" s="189" t="n"/>
      <c r="AE176" s="189" t="n"/>
      <c r="AF176" s="189" t="n"/>
      <c r="AG176" s="189" t="n"/>
      <c r="AH176" s="189" t="n"/>
      <c r="AI176" s="51" t="inlineStr">
        <is>
          <t>U2Y</t>
        </is>
      </c>
    </row>
    <row r="177">
      <c r="B177" s="189" t="n"/>
      <c r="C177" s="189" t="n"/>
      <c r="D177" s="189" t="n"/>
      <c r="E177" s="189" t="n"/>
      <c r="F177" s="189" t="n"/>
      <c r="G177" s="189" t="n"/>
      <c r="H177" s="189" t="n"/>
      <c r="I177" s="189" t="n"/>
      <c r="J177" s="189" t="n"/>
      <c r="K177" s="189" t="n"/>
      <c r="L177" s="189" t="n"/>
      <c r="M177" s="189" t="n"/>
      <c r="N177" s="189" t="n"/>
      <c r="O177" s="189" t="n"/>
      <c r="P177" s="189" t="n"/>
      <c r="Q177" s="189" t="n"/>
      <c r="R177" s="189" t="n"/>
      <c r="S177" s="189" t="n"/>
      <c r="T177" s="189" t="n"/>
      <c r="U177" s="189" t="n"/>
      <c r="V177" s="189" t="n"/>
      <c r="W177" s="189" t="n"/>
      <c r="X177" s="189" t="n"/>
      <c r="Y177" s="189" t="n"/>
      <c r="Z177" s="189" t="n"/>
      <c r="AA177" s="189" t="n"/>
      <c r="AB177" s="189" t="n"/>
      <c r="AC177" s="189" t="n"/>
      <c r="AD177" s="189" t="n"/>
      <c r="AE177" s="189" t="n"/>
      <c r="AF177" s="189" t="n"/>
      <c r="AG177" s="189" t="n"/>
      <c r="AH177" s="189" t="n"/>
      <c r="AI177" s="51" t="inlineStr">
        <is>
          <t>U2θ</t>
        </is>
      </c>
    </row>
    <row r="178">
      <c r="B178" s="189" t="n"/>
      <c r="C178" s="189" t="n"/>
      <c r="D178" s="189" t="n"/>
      <c r="E178" s="189" t="n"/>
      <c r="F178" s="189" t="n"/>
      <c r="G178" s="189" t="n"/>
      <c r="H178" s="189" t="n"/>
      <c r="I178" s="189" t="n"/>
      <c r="J178" s="189" t="n"/>
      <c r="K178" s="189" t="n"/>
      <c r="L178" s="189" t="n"/>
      <c r="M178" s="189" t="n"/>
      <c r="N178" s="189" t="n"/>
      <c r="O178" s="189" t="n"/>
      <c r="P178" s="189" t="n"/>
      <c r="Q178" s="189" t="n"/>
      <c r="R178" s="189" t="n"/>
      <c r="S178" s="189" t="n"/>
      <c r="T178" s="189" t="n"/>
      <c r="U178" s="189" t="n"/>
      <c r="V178" s="189" t="n"/>
      <c r="W178" s="189" t="n"/>
      <c r="X178" s="189" t="n"/>
      <c r="Y178" s="189" t="n"/>
      <c r="Z178" s="189" t="n"/>
      <c r="AA178" s="189" t="n"/>
      <c r="AB178" s="189" t="n"/>
      <c r="AC178" s="189" t="n"/>
      <c r="AD178" s="189" t="n"/>
      <c r="AE178" s="189" t="n"/>
      <c r="AF178" s="189" t="n"/>
      <c r="AG178" s="189" t="n"/>
      <c r="AH178" s="189" t="n"/>
      <c r="AI178" s="51" t="inlineStr">
        <is>
          <t>U3X</t>
        </is>
      </c>
    </row>
    <row r="179">
      <c r="B179" s="189" t="n"/>
      <c r="C179" s="189" t="n"/>
      <c r="D179" s="189" t="n"/>
      <c r="E179" s="189" t="n"/>
      <c r="F179" s="189" t="n"/>
      <c r="G179" s="189" t="n"/>
      <c r="H179" s="189" t="n"/>
      <c r="I179" s="189" t="n"/>
      <c r="J179" s="189" t="n"/>
      <c r="K179" s="189" t="n"/>
      <c r="L179" s="189" t="n"/>
      <c r="M179" s="189" t="n"/>
      <c r="N179" s="189" t="n"/>
      <c r="O179" s="189" t="n"/>
      <c r="P179" s="189" t="n"/>
      <c r="Q179" s="189" t="n"/>
      <c r="R179" s="189" t="n"/>
      <c r="S179" s="189" t="n"/>
      <c r="T179" s="189" t="n"/>
      <c r="U179" s="189" t="n"/>
      <c r="V179" s="189" t="n"/>
      <c r="W179" s="189" t="n"/>
      <c r="X179" s="189" t="n"/>
      <c r="Y179" s="189" t="n"/>
      <c r="Z179" s="189" t="n"/>
      <c r="AA179" s="189" t="n"/>
      <c r="AB179" s="189" t="n"/>
      <c r="AC179" s="189" t="n"/>
      <c r="AD179" s="189" t="n"/>
      <c r="AE179" s="189" t="n"/>
      <c r="AF179" s="189" t="n"/>
      <c r="AG179" s="189" t="n"/>
      <c r="AH179" s="189" t="n"/>
      <c r="AI179" s="51" t="inlineStr">
        <is>
          <t>U3Y</t>
        </is>
      </c>
    </row>
    <row r="180">
      <c r="B180" s="189" t="n"/>
      <c r="C180" s="189" t="n"/>
      <c r="D180" s="189" t="n"/>
      <c r="E180" s="189" t="n"/>
      <c r="F180" s="189" t="n"/>
      <c r="G180" s="189" t="n"/>
      <c r="H180" s="189" t="n"/>
      <c r="I180" s="189" t="n"/>
      <c r="J180" s="189" t="n"/>
      <c r="K180" s="189" t="n"/>
      <c r="L180" s="189" t="n"/>
      <c r="M180" s="189" t="n"/>
      <c r="N180" s="189" t="n"/>
      <c r="O180" s="189" t="n"/>
      <c r="P180" s="189" t="n"/>
      <c r="Q180" s="189" t="n"/>
      <c r="R180" s="189" t="n"/>
      <c r="S180" s="189" t="n"/>
      <c r="T180" s="189" t="n"/>
      <c r="U180" s="189" t="n"/>
      <c r="V180" s="189" t="n"/>
      <c r="W180" s="189" t="n"/>
      <c r="X180" s="189" t="n"/>
      <c r="Y180" s="189" t="n"/>
      <c r="Z180" s="189" t="n"/>
      <c r="AA180" s="189" t="n"/>
      <c r="AB180" s="189" t="n"/>
      <c r="AC180" s="189" t="n"/>
      <c r="AD180" s="189" t="n"/>
      <c r="AE180" s="189" t="n"/>
      <c r="AF180" s="189" t="n"/>
      <c r="AG180" s="189" t="n"/>
      <c r="AH180" s="189" t="n"/>
      <c r="AI180" s="51" t="inlineStr">
        <is>
          <t>U3θ</t>
        </is>
      </c>
    </row>
    <row r="181">
      <c r="B181" s="189" t="n"/>
      <c r="C181" s="189" t="n"/>
      <c r="D181" s="189" t="n"/>
      <c r="E181" s="189" t="n"/>
      <c r="F181" s="189" t="n"/>
      <c r="G181" s="189" t="n"/>
      <c r="H181" s="189" t="n"/>
      <c r="I181" s="189" t="n"/>
      <c r="J181" s="189" t="n"/>
      <c r="K181" s="189">
        <f>B164</f>
        <v/>
      </c>
      <c r="L181" s="189">
        <f>C164</f>
        <v/>
      </c>
      <c r="M181" s="189">
        <f>D164</f>
        <v/>
      </c>
      <c r="N181" s="189">
        <f>E164</f>
        <v/>
      </c>
      <c r="O181" s="189">
        <f>F164</f>
        <v/>
      </c>
      <c r="P181" s="189">
        <f>G164</f>
        <v/>
      </c>
      <c r="Q181" s="189" t="n"/>
      <c r="R181" s="189" t="n"/>
      <c r="S181" s="189" t="n"/>
      <c r="T181" s="189" t="n"/>
      <c r="U181" s="189" t="n"/>
      <c r="V181" s="189" t="n"/>
      <c r="W181" s="189" t="n"/>
      <c r="X181" s="189" t="n"/>
      <c r="Y181" s="189" t="n"/>
      <c r="Z181" s="189" t="n"/>
      <c r="AA181" s="189" t="n"/>
      <c r="AB181" s="189" t="n"/>
      <c r="AC181" s="189" t="n"/>
      <c r="AD181" s="189" t="n"/>
      <c r="AE181" s="189" t="n"/>
      <c r="AF181" s="189" t="n"/>
      <c r="AG181" s="189" t="n"/>
      <c r="AH181" s="189" t="n"/>
      <c r="AI181" s="51" t="inlineStr">
        <is>
          <t>U4X</t>
        </is>
      </c>
    </row>
    <row r="182">
      <c r="B182" s="189" t="n"/>
      <c r="C182" s="189" t="n"/>
      <c r="D182" s="189" t="n"/>
      <c r="E182" s="189" t="n"/>
      <c r="F182" s="189" t="n"/>
      <c r="G182" s="189" t="n"/>
      <c r="H182" s="189" t="n"/>
      <c r="I182" s="189" t="n"/>
      <c r="J182" s="189" t="n"/>
      <c r="K182" s="189">
        <f>B165</f>
        <v/>
      </c>
      <c r="L182" s="189">
        <f>C165</f>
        <v/>
      </c>
      <c r="M182" s="189">
        <f>D165</f>
        <v/>
      </c>
      <c r="N182" s="189">
        <f>E165</f>
        <v/>
      </c>
      <c r="O182" s="189">
        <f>F165</f>
        <v/>
      </c>
      <c r="P182" s="189">
        <f>G165</f>
        <v/>
      </c>
      <c r="Q182" s="189" t="n"/>
      <c r="R182" s="189" t="n"/>
      <c r="S182" s="189" t="n"/>
      <c r="T182" s="189" t="n"/>
      <c r="U182" s="189" t="n"/>
      <c r="V182" s="189" t="n"/>
      <c r="W182" s="189" t="n"/>
      <c r="X182" s="189" t="n"/>
      <c r="Y182" s="189" t="n"/>
      <c r="Z182" s="189" t="n"/>
      <c r="AA182" s="189" t="n"/>
      <c r="AB182" s="189" t="n"/>
      <c r="AC182" s="189" t="n"/>
      <c r="AD182" s="189" t="n"/>
      <c r="AE182" s="189" t="n"/>
      <c r="AF182" s="189" t="n"/>
      <c r="AG182" s="189" t="n"/>
      <c r="AH182" s="189" t="n"/>
      <c r="AI182" s="51" t="inlineStr">
        <is>
          <t>U4Y</t>
        </is>
      </c>
    </row>
    <row r="183">
      <c r="B183" s="189" t="n"/>
      <c r="C183" s="189" t="n"/>
      <c r="D183" s="189" t="n"/>
      <c r="E183" s="189" t="n"/>
      <c r="F183" s="189" t="n"/>
      <c r="G183" s="189" t="n"/>
      <c r="H183" s="189" t="n"/>
      <c r="I183" s="189" t="n"/>
      <c r="J183" s="189" t="n"/>
      <c r="K183" s="189">
        <f>B166</f>
        <v/>
      </c>
      <c r="L183" s="189">
        <f>C166</f>
        <v/>
      </c>
      <c r="M183" s="189">
        <f>D166</f>
        <v/>
      </c>
      <c r="N183" s="189">
        <f>E166</f>
        <v/>
      </c>
      <c r="O183" s="189">
        <f>F166</f>
        <v/>
      </c>
      <c r="P183" s="189">
        <f>G166</f>
        <v/>
      </c>
      <c r="Q183" s="189" t="n"/>
      <c r="R183" s="189" t="n"/>
      <c r="S183" s="189" t="n"/>
      <c r="T183" s="189" t="n"/>
      <c r="U183" s="189" t="n"/>
      <c r="V183" s="189" t="n"/>
      <c r="W183" s="189" t="n"/>
      <c r="X183" s="189" t="n"/>
      <c r="Y183" s="189" t="n"/>
      <c r="Z183" s="189" t="n"/>
      <c r="AA183" s="189" t="n"/>
      <c r="AB183" s="189" t="n"/>
      <c r="AC183" s="189" t="n"/>
      <c r="AD183" s="189" t="n"/>
      <c r="AE183" s="189" t="n"/>
      <c r="AF183" s="189" t="n"/>
      <c r="AG183" s="189" t="n"/>
      <c r="AH183" s="189" t="n"/>
      <c r="AI183" s="51" t="inlineStr">
        <is>
          <t>U4θ</t>
        </is>
      </c>
    </row>
    <row r="184">
      <c r="B184" s="189" t="n"/>
      <c r="C184" s="189" t="n"/>
      <c r="D184" s="189" t="n"/>
      <c r="E184" s="189" t="n"/>
      <c r="F184" s="189" t="n"/>
      <c r="G184" s="189" t="n"/>
      <c r="H184" s="189" t="n"/>
      <c r="I184" s="189" t="n"/>
      <c r="J184" s="189" t="n"/>
      <c r="K184" s="189">
        <f>B167</f>
        <v/>
      </c>
      <c r="L184" s="189">
        <f>C167</f>
        <v/>
      </c>
      <c r="M184" s="189">
        <f>D167</f>
        <v/>
      </c>
      <c r="N184" s="189">
        <f>E167</f>
        <v/>
      </c>
      <c r="O184" s="189">
        <f>F167</f>
        <v/>
      </c>
      <c r="P184" s="189">
        <f>G167</f>
        <v/>
      </c>
      <c r="Q184" s="189" t="n"/>
      <c r="R184" s="189" t="n"/>
      <c r="S184" s="189" t="n"/>
      <c r="T184" s="189" t="n"/>
      <c r="U184" s="189" t="n"/>
      <c r="V184" s="189" t="n"/>
      <c r="W184" s="189" t="n"/>
      <c r="X184" s="189" t="n"/>
      <c r="Y184" s="189" t="n"/>
      <c r="Z184" s="189" t="n"/>
      <c r="AA184" s="189" t="n"/>
      <c r="AB184" s="189" t="n"/>
      <c r="AC184" s="189" t="n"/>
      <c r="AD184" s="189" t="n"/>
      <c r="AE184" s="189" t="n"/>
      <c r="AF184" s="189" t="n"/>
      <c r="AG184" s="189" t="n"/>
      <c r="AH184" s="189" t="n"/>
      <c r="AI184" s="51" t="inlineStr">
        <is>
          <t>U5X</t>
        </is>
      </c>
    </row>
    <row r="185">
      <c r="B185" s="189" t="n"/>
      <c r="C185" s="189" t="n"/>
      <c r="D185" s="189" t="n"/>
      <c r="E185" s="189" t="n"/>
      <c r="F185" s="189" t="n"/>
      <c r="G185" s="189" t="n"/>
      <c r="H185" s="189" t="n"/>
      <c r="I185" s="189" t="n"/>
      <c r="J185" s="189" t="n"/>
      <c r="K185" s="189">
        <f>B168</f>
        <v/>
      </c>
      <c r="L185" s="189">
        <f>C168</f>
        <v/>
      </c>
      <c r="M185" s="189">
        <f>D168</f>
        <v/>
      </c>
      <c r="N185" s="189">
        <f>E168</f>
        <v/>
      </c>
      <c r="O185" s="189">
        <f>F168</f>
        <v/>
      </c>
      <c r="P185" s="189">
        <f>G168</f>
        <v/>
      </c>
      <c r="Q185" s="189" t="n"/>
      <c r="R185" s="189" t="n"/>
      <c r="S185" s="189" t="n"/>
      <c r="T185" s="189" t="n"/>
      <c r="U185" s="189" t="n"/>
      <c r="V185" s="189" t="n"/>
      <c r="W185" s="189" t="n"/>
      <c r="X185" s="189" t="n"/>
      <c r="Y185" s="189" t="n"/>
      <c r="Z185" s="189" t="n"/>
      <c r="AA185" s="189" t="n"/>
      <c r="AB185" s="189" t="n"/>
      <c r="AC185" s="189" t="n"/>
      <c r="AD185" s="189" t="n"/>
      <c r="AE185" s="189" t="n"/>
      <c r="AF185" s="189" t="n"/>
      <c r="AG185" s="189" t="n"/>
      <c r="AH185" s="189" t="n"/>
      <c r="AI185" s="51" t="inlineStr">
        <is>
          <t>U5Y</t>
        </is>
      </c>
    </row>
    <row r="186">
      <c r="B186" s="189" t="n"/>
      <c r="C186" s="189" t="n"/>
      <c r="D186" s="189" t="n"/>
      <c r="E186" s="189" t="n"/>
      <c r="F186" s="189" t="n"/>
      <c r="G186" s="189" t="n"/>
      <c r="H186" s="189" t="n"/>
      <c r="I186" s="189" t="n"/>
      <c r="J186" s="189" t="n"/>
      <c r="K186" s="189">
        <f>B169</f>
        <v/>
      </c>
      <c r="L186" s="189">
        <f>C169</f>
        <v/>
      </c>
      <c r="M186" s="189">
        <f>D169</f>
        <v/>
      </c>
      <c r="N186" s="189">
        <f>E169</f>
        <v/>
      </c>
      <c r="O186" s="189">
        <f>F169</f>
        <v/>
      </c>
      <c r="P186" s="189">
        <f>G169</f>
        <v/>
      </c>
      <c r="Q186" s="189" t="n"/>
      <c r="R186" s="189" t="n"/>
      <c r="S186" s="189" t="n"/>
      <c r="T186" s="189" t="n"/>
      <c r="U186" s="189" t="n"/>
      <c r="V186" s="189" t="n"/>
      <c r="W186" s="189" t="n"/>
      <c r="X186" s="189" t="n"/>
      <c r="Y186" s="189" t="n"/>
      <c r="Z186" s="189" t="n"/>
      <c r="AA186" s="189" t="n"/>
      <c r="AB186" s="189" t="n"/>
      <c r="AC186" s="189" t="n"/>
      <c r="AD186" s="189" t="n"/>
      <c r="AE186" s="189" t="n"/>
      <c r="AF186" s="189" t="n"/>
      <c r="AG186" s="189" t="n"/>
      <c r="AH186" s="189" t="n"/>
      <c r="AI186" s="51" t="inlineStr">
        <is>
          <t>U5θ</t>
        </is>
      </c>
    </row>
    <row r="187">
      <c r="A187" s="118" t="inlineStr">
        <is>
          <t>K4 =</t>
        </is>
      </c>
      <c r="B187" s="189" t="n"/>
      <c r="C187" s="189" t="n"/>
      <c r="D187" s="189" t="n"/>
      <c r="E187" s="189" t="n"/>
      <c r="F187" s="189" t="n"/>
      <c r="G187" s="189" t="n"/>
      <c r="H187" s="189" t="n"/>
      <c r="I187" s="189" t="n"/>
      <c r="J187" s="189" t="n"/>
      <c r="K187" s="189" t="n"/>
      <c r="L187" s="189" t="n"/>
      <c r="M187" s="189" t="n"/>
      <c r="N187" s="189" t="n"/>
      <c r="O187" s="189" t="n"/>
      <c r="P187" s="189" t="n"/>
      <c r="Q187" s="189" t="n"/>
      <c r="R187" s="189" t="n"/>
      <c r="S187" s="189" t="n"/>
      <c r="T187" s="189" t="n"/>
      <c r="U187" s="189" t="n"/>
      <c r="V187" s="189" t="n"/>
      <c r="W187" s="189" t="n"/>
      <c r="X187" s="189" t="n"/>
      <c r="Y187" s="189" t="n"/>
      <c r="Z187" s="189" t="n"/>
      <c r="AA187" s="189" t="n"/>
      <c r="AB187" s="189" t="n"/>
      <c r="AC187" s="189" t="n"/>
      <c r="AD187" s="189" t="n"/>
      <c r="AE187" s="189" t="n"/>
      <c r="AF187" s="189" t="n"/>
      <c r="AG187" s="189" t="n"/>
      <c r="AH187" s="189" t="n"/>
      <c r="AI187" s="51" t="inlineStr">
        <is>
          <t>U6X</t>
        </is>
      </c>
    </row>
    <row r="188">
      <c r="B188" s="189" t="n"/>
      <c r="C188" s="189" t="n"/>
      <c r="D188" s="189" t="n"/>
      <c r="E188" s="189" t="n"/>
      <c r="F188" s="189" t="n"/>
      <c r="G188" s="189" t="n"/>
      <c r="H188" s="189" t="n"/>
      <c r="I188" s="189" t="n"/>
      <c r="J188" s="189" t="n"/>
      <c r="K188" s="189" t="n"/>
      <c r="L188" s="189" t="n"/>
      <c r="M188" s="189" t="n"/>
      <c r="N188" s="189" t="n"/>
      <c r="O188" s="189" t="n"/>
      <c r="P188" s="189" t="n"/>
      <c r="Q188" s="189" t="n"/>
      <c r="R188" s="189" t="n"/>
      <c r="S188" s="189" t="n"/>
      <c r="T188" s="189" t="n"/>
      <c r="U188" s="189" t="n"/>
      <c r="V188" s="189" t="n"/>
      <c r="W188" s="189" t="n"/>
      <c r="X188" s="189" t="n"/>
      <c r="Y188" s="189" t="n"/>
      <c r="Z188" s="189" t="n"/>
      <c r="AA188" s="189" t="n"/>
      <c r="AB188" s="189" t="n"/>
      <c r="AC188" s="189" t="n"/>
      <c r="AD188" s="189" t="n"/>
      <c r="AE188" s="189" t="n"/>
      <c r="AF188" s="189" t="n"/>
      <c r="AG188" s="189" t="n"/>
      <c r="AH188" s="189" t="n"/>
      <c r="AI188" s="51" t="inlineStr">
        <is>
          <t>U6Y</t>
        </is>
      </c>
    </row>
    <row r="189">
      <c r="B189" s="189" t="n"/>
      <c r="C189" s="189" t="n"/>
      <c r="D189" s="189" t="n"/>
      <c r="E189" s="189" t="n"/>
      <c r="F189" s="189" t="n"/>
      <c r="G189" s="189" t="n"/>
      <c r="H189" s="189" t="n"/>
      <c r="I189" s="189" t="n"/>
      <c r="J189" s="189" t="n"/>
      <c r="K189" s="189" t="n"/>
      <c r="L189" s="189" t="n"/>
      <c r="M189" s="189" t="n"/>
      <c r="N189" s="189" t="n"/>
      <c r="O189" s="189" t="n"/>
      <c r="P189" s="189" t="n"/>
      <c r="Q189" s="189" t="n"/>
      <c r="R189" s="189" t="n"/>
      <c r="S189" s="189" t="n"/>
      <c r="T189" s="189" t="n"/>
      <c r="U189" s="189" t="n"/>
      <c r="V189" s="189" t="n"/>
      <c r="W189" s="189" t="n"/>
      <c r="X189" s="189" t="n"/>
      <c r="Y189" s="189" t="n"/>
      <c r="Z189" s="189" t="n"/>
      <c r="AA189" s="189" t="n"/>
      <c r="AB189" s="189" t="n"/>
      <c r="AC189" s="189" t="n"/>
      <c r="AD189" s="189" t="n"/>
      <c r="AE189" s="189" t="n"/>
      <c r="AF189" s="189" t="n"/>
      <c r="AG189" s="189" t="n"/>
      <c r="AH189" s="189" t="n"/>
      <c r="AI189" s="51" t="inlineStr">
        <is>
          <t>U6θ</t>
        </is>
      </c>
    </row>
    <row r="190">
      <c r="B190" s="189" t="n"/>
      <c r="C190" s="189" t="n"/>
      <c r="D190" s="189" t="n"/>
      <c r="E190" s="189" t="n"/>
      <c r="F190" s="189" t="n"/>
      <c r="G190" s="189" t="n"/>
      <c r="H190" s="189" t="n"/>
      <c r="I190" s="189" t="n"/>
      <c r="J190" s="189" t="n"/>
      <c r="K190" s="189" t="n"/>
      <c r="L190" s="189" t="n"/>
      <c r="M190" s="189" t="n"/>
      <c r="N190" s="189" t="n"/>
      <c r="O190" s="189" t="n"/>
      <c r="P190" s="189" t="n"/>
      <c r="Q190" s="189" t="n"/>
      <c r="R190" s="189" t="n"/>
      <c r="S190" s="189" t="n"/>
      <c r="T190" s="189" t="n"/>
      <c r="U190" s="189" t="n"/>
      <c r="V190" s="189" t="n"/>
      <c r="W190" s="189" t="n"/>
      <c r="X190" s="189" t="n"/>
      <c r="Y190" s="189" t="n"/>
      <c r="Z190" s="189" t="n"/>
      <c r="AA190" s="189" t="n"/>
      <c r="AB190" s="189" t="n"/>
      <c r="AC190" s="189" t="n"/>
      <c r="AD190" s="189" t="n"/>
      <c r="AE190" s="189" t="n"/>
      <c r="AF190" s="189" t="n"/>
      <c r="AG190" s="189" t="n"/>
      <c r="AH190" s="189" t="n"/>
      <c r="AI190" s="51" t="inlineStr">
        <is>
          <t>U7X</t>
        </is>
      </c>
    </row>
    <row r="191">
      <c r="B191" s="189" t="n"/>
      <c r="C191" s="189" t="n"/>
      <c r="D191" s="189" t="n"/>
      <c r="E191" s="189" t="n"/>
      <c r="F191" s="189" t="n"/>
      <c r="G191" s="189" t="n"/>
      <c r="H191" s="189" t="n"/>
      <c r="I191" s="189" t="n"/>
      <c r="J191" s="189" t="n"/>
      <c r="K191" s="189" t="n"/>
      <c r="L191" s="189" t="n"/>
      <c r="M191" s="189" t="n"/>
      <c r="N191" s="189" t="n"/>
      <c r="O191" s="189" t="n"/>
      <c r="P191" s="189" t="n"/>
      <c r="Q191" s="189" t="n"/>
      <c r="R191" s="189" t="n"/>
      <c r="S191" s="189" t="n"/>
      <c r="T191" s="189" t="n"/>
      <c r="U191" s="189" t="n"/>
      <c r="V191" s="189" t="n"/>
      <c r="W191" s="189" t="n"/>
      <c r="X191" s="189" t="n"/>
      <c r="Y191" s="189" t="n"/>
      <c r="Z191" s="189" t="n"/>
      <c r="AA191" s="189" t="n"/>
      <c r="AB191" s="189" t="n"/>
      <c r="AC191" s="189" t="n"/>
      <c r="AD191" s="189" t="n"/>
      <c r="AE191" s="189" t="n"/>
      <c r="AF191" s="189" t="n"/>
      <c r="AG191" s="189" t="n"/>
      <c r="AH191" s="189" t="n"/>
      <c r="AI191" s="51" t="inlineStr">
        <is>
          <t>U7Y</t>
        </is>
      </c>
    </row>
    <row r="192">
      <c r="B192" s="189" t="n"/>
      <c r="C192" s="189" t="n"/>
      <c r="D192" s="189" t="n"/>
      <c r="E192" s="189" t="n"/>
      <c r="F192" s="189" t="n"/>
      <c r="G192" s="189" t="n"/>
      <c r="H192" s="189" t="n"/>
      <c r="I192" s="189" t="n"/>
      <c r="J192" s="189" t="n"/>
      <c r="K192" s="189" t="n"/>
      <c r="L192" s="189" t="n"/>
      <c r="M192" s="189" t="n"/>
      <c r="N192" s="189" t="n"/>
      <c r="O192" s="189" t="n"/>
      <c r="P192" s="189" t="n"/>
      <c r="Q192" s="189" t="n"/>
      <c r="R192" s="189" t="n"/>
      <c r="S192" s="189" t="n"/>
      <c r="T192" s="189" t="n"/>
      <c r="U192" s="189" t="n"/>
      <c r="V192" s="189" t="n"/>
      <c r="W192" s="189" t="n"/>
      <c r="X192" s="189" t="n"/>
      <c r="Y192" s="189" t="n"/>
      <c r="Z192" s="189" t="n"/>
      <c r="AA192" s="189" t="n"/>
      <c r="AB192" s="189" t="n"/>
      <c r="AC192" s="189" t="n"/>
      <c r="AD192" s="189" t="n"/>
      <c r="AE192" s="189" t="n"/>
      <c r="AF192" s="189" t="n"/>
      <c r="AG192" s="189" t="n"/>
      <c r="AH192" s="189" t="n"/>
      <c r="AI192" s="51" t="inlineStr">
        <is>
          <t>U7θ</t>
        </is>
      </c>
    </row>
    <row r="193">
      <c r="B193" s="189" t="n"/>
      <c r="C193" s="189" t="n"/>
      <c r="D193" s="189" t="n"/>
      <c r="E193" s="189" t="n"/>
      <c r="F193" s="189" t="n"/>
      <c r="G193" s="189" t="n"/>
      <c r="H193" s="189" t="n"/>
      <c r="I193" s="189" t="n"/>
      <c r="J193" s="189" t="n"/>
      <c r="K193" s="189" t="n"/>
      <c r="L193" s="189" t="n"/>
      <c r="M193" s="189" t="n"/>
      <c r="N193" s="189" t="n"/>
      <c r="O193" s="189" t="n"/>
      <c r="P193" s="189" t="n"/>
      <c r="Q193" s="189" t="n"/>
      <c r="R193" s="189" t="n"/>
      <c r="S193" s="189" t="n"/>
      <c r="T193" s="189" t="n"/>
      <c r="U193" s="189" t="n"/>
      <c r="V193" s="189" t="n"/>
      <c r="W193" s="189" t="n"/>
      <c r="X193" s="189" t="n"/>
      <c r="Y193" s="189" t="n"/>
      <c r="Z193" s="189" t="n"/>
      <c r="AA193" s="189" t="n"/>
      <c r="AB193" s="189" t="n"/>
      <c r="AC193" s="189" t="n"/>
      <c r="AD193" s="189" t="n"/>
      <c r="AE193" s="189" t="n"/>
      <c r="AF193" s="189" t="n"/>
      <c r="AG193" s="189" t="n"/>
      <c r="AH193" s="189" t="n"/>
      <c r="AI193" s="51" t="inlineStr">
        <is>
          <t>U8X</t>
        </is>
      </c>
    </row>
    <row r="194">
      <c r="B194" s="189" t="n"/>
      <c r="C194" s="189" t="n"/>
      <c r="D194" s="189" t="n"/>
      <c r="E194" s="189" t="n"/>
      <c r="F194" s="189" t="n"/>
      <c r="G194" s="189" t="n"/>
      <c r="H194" s="189" t="n"/>
      <c r="I194" s="189" t="n"/>
      <c r="J194" s="189" t="n"/>
      <c r="K194" s="189" t="n"/>
      <c r="L194" s="189" t="n"/>
      <c r="M194" s="189" t="n"/>
      <c r="N194" s="189" t="n"/>
      <c r="O194" s="189" t="n"/>
      <c r="P194" s="189" t="n"/>
      <c r="Q194" s="189" t="n"/>
      <c r="R194" s="189" t="n"/>
      <c r="S194" s="189" t="n"/>
      <c r="T194" s="189" t="n"/>
      <c r="U194" s="189" t="n"/>
      <c r="V194" s="189" t="n"/>
      <c r="W194" s="189" t="n"/>
      <c r="X194" s="189" t="n"/>
      <c r="Y194" s="189" t="n"/>
      <c r="Z194" s="189" t="n"/>
      <c r="AA194" s="189" t="n"/>
      <c r="AB194" s="189" t="n"/>
      <c r="AC194" s="189" t="n"/>
      <c r="AD194" s="189" t="n"/>
      <c r="AE194" s="189" t="n"/>
      <c r="AF194" s="189" t="n"/>
      <c r="AG194" s="189" t="n"/>
      <c r="AH194" s="189" t="n"/>
      <c r="AI194" s="51" t="inlineStr">
        <is>
          <t>U8Y</t>
        </is>
      </c>
    </row>
    <row r="195">
      <c r="B195" s="189" t="n"/>
      <c r="C195" s="189" t="n"/>
      <c r="D195" s="189" t="n"/>
      <c r="E195" s="189" t="n"/>
      <c r="F195" s="189" t="n"/>
      <c r="G195" s="189" t="n"/>
      <c r="H195" s="189" t="n"/>
      <c r="I195" s="189" t="n"/>
      <c r="J195" s="189" t="n"/>
      <c r="K195" s="189" t="n"/>
      <c r="L195" s="189" t="n"/>
      <c r="M195" s="189" t="n"/>
      <c r="N195" s="189" t="n"/>
      <c r="O195" s="189" t="n"/>
      <c r="P195" s="189" t="n"/>
      <c r="Q195" s="189" t="n"/>
      <c r="R195" s="189" t="n"/>
      <c r="S195" s="189" t="n"/>
      <c r="T195" s="189" t="n"/>
      <c r="U195" s="189" t="n"/>
      <c r="V195" s="189" t="n"/>
      <c r="W195" s="189" t="n"/>
      <c r="X195" s="189" t="n"/>
      <c r="Y195" s="189" t="n"/>
      <c r="Z195" s="189" t="n"/>
      <c r="AA195" s="189" t="n"/>
      <c r="AB195" s="189" t="n"/>
      <c r="AC195" s="189" t="n"/>
      <c r="AD195" s="189" t="n"/>
      <c r="AE195" s="189" t="n"/>
      <c r="AF195" s="189" t="n"/>
      <c r="AG195" s="189" t="n"/>
      <c r="AH195" s="189" t="n"/>
      <c r="AI195" s="51" t="inlineStr">
        <is>
          <t>U8θ</t>
        </is>
      </c>
    </row>
    <row r="196">
      <c r="B196" s="189" t="n"/>
      <c r="C196" s="189" t="n"/>
      <c r="D196" s="189" t="n"/>
      <c r="E196" s="189" t="n"/>
      <c r="F196" s="189" t="n"/>
      <c r="G196" s="189" t="n"/>
      <c r="H196" s="189" t="n"/>
      <c r="I196" s="189" t="n"/>
      <c r="J196" s="189" t="n"/>
      <c r="K196" s="189" t="n"/>
      <c r="L196" s="189" t="n"/>
      <c r="M196" s="189" t="n"/>
      <c r="N196" s="189" t="n"/>
      <c r="O196" s="189" t="n"/>
      <c r="P196" s="189" t="n"/>
      <c r="Q196" s="189" t="n"/>
      <c r="R196" s="189" t="n"/>
      <c r="S196" s="189" t="n"/>
      <c r="T196" s="189" t="n"/>
      <c r="U196" s="189" t="n"/>
      <c r="V196" s="189" t="n"/>
      <c r="W196" s="189" t="n"/>
      <c r="X196" s="189" t="n"/>
      <c r="Y196" s="189" t="n"/>
      <c r="Z196" s="189" t="n"/>
      <c r="AA196" s="189" t="n"/>
      <c r="AB196" s="189" t="n"/>
      <c r="AC196" s="189" t="n"/>
      <c r="AD196" s="189" t="n"/>
      <c r="AE196" s="189" t="n"/>
      <c r="AF196" s="189" t="n"/>
      <c r="AG196" s="189" t="n"/>
      <c r="AH196" s="189" t="n"/>
      <c r="AI196" s="51" t="inlineStr">
        <is>
          <t>U9X</t>
        </is>
      </c>
    </row>
    <row r="197">
      <c r="B197" s="189" t="n"/>
      <c r="C197" s="189" t="n"/>
      <c r="D197" s="189" t="n"/>
      <c r="E197" s="189" t="n"/>
      <c r="F197" s="189" t="n"/>
      <c r="G197" s="189" t="n"/>
      <c r="H197" s="189" t="n"/>
      <c r="I197" s="189" t="n"/>
      <c r="J197" s="189" t="n"/>
      <c r="K197" s="189" t="n"/>
      <c r="L197" s="189" t="n"/>
      <c r="M197" s="189" t="n"/>
      <c r="N197" s="189" t="n"/>
      <c r="O197" s="189" t="n"/>
      <c r="P197" s="189" t="n"/>
      <c r="Q197" s="189" t="n"/>
      <c r="R197" s="189" t="n"/>
      <c r="S197" s="189" t="n"/>
      <c r="T197" s="189" t="n"/>
      <c r="U197" s="189" t="n"/>
      <c r="V197" s="189" t="n"/>
      <c r="W197" s="189" t="n"/>
      <c r="X197" s="189" t="n"/>
      <c r="Y197" s="189" t="n"/>
      <c r="Z197" s="189" t="n"/>
      <c r="AA197" s="189" t="n"/>
      <c r="AB197" s="189" t="n"/>
      <c r="AC197" s="189" t="n"/>
      <c r="AD197" s="189" t="n"/>
      <c r="AE197" s="189" t="n"/>
      <c r="AF197" s="189" t="n"/>
      <c r="AG197" s="189" t="n"/>
      <c r="AH197" s="189" t="n"/>
      <c r="AI197" s="51" t="inlineStr">
        <is>
          <t>U9Y</t>
        </is>
      </c>
    </row>
    <row r="198">
      <c r="B198" s="189" t="n"/>
      <c r="C198" s="189" t="n"/>
      <c r="D198" s="189" t="n"/>
      <c r="E198" s="189" t="n"/>
      <c r="F198" s="189" t="n"/>
      <c r="G198" s="189" t="n"/>
      <c r="H198" s="189" t="n"/>
      <c r="I198" s="189" t="n"/>
      <c r="J198" s="189" t="n"/>
      <c r="K198" s="189" t="n"/>
      <c r="L198" s="189" t="n"/>
      <c r="M198" s="189" t="n"/>
      <c r="N198" s="189" t="n"/>
      <c r="O198" s="189" t="n"/>
      <c r="P198" s="189" t="n"/>
      <c r="Q198" s="189" t="n"/>
      <c r="R198" s="189" t="n"/>
      <c r="S198" s="189" t="n"/>
      <c r="T198" s="189" t="n"/>
      <c r="U198" s="189" t="n"/>
      <c r="V198" s="189" t="n"/>
      <c r="W198" s="189" t="n"/>
      <c r="X198" s="189" t="n"/>
      <c r="Y198" s="189" t="n"/>
      <c r="Z198" s="189" t="n"/>
      <c r="AA198" s="189" t="n"/>
      <c r="AB198" s="189" t="n"/>
      <c r="AC198" s="189" t="n"/>
      <c r="AD198" s="189" t="n"/>
      <c r="AE198" s="189" t="n"/>
      <c r="AF198" s="189" t="n"/>
      <c r="AG198" s="189" t="n"/>
      <c r="AH198" s="189" t="n"/>
      <c r="AI198" s="51" t="inlineStr">
        <is>
          <t>U9θ</t>
        </is>
      </c>
    </row>
    <row r="199">
      <c r="B199" s="189" t="n"/>
      <c r="C199" s="189" t="n"/>
      <c r="D199" s="189" t="n"/>
      <c r="E199" s="189" t="n"/>
      <c r="F199" s="189" t="n"/>
      <c r="G199" s="189" t="n"/>
      <c r="H199" s="189" t="n"/>
      <c r="I199" s="189" t="n"/>
      <c r="J199" s="189" t="n"/>
      <c r="K199" s="189" t="n"/>
      <c r="L199" s="189" t="n"/>
      <c r="M199" s="189" t="n"/>
      <c r="N199" s="189" t="n"/>
      <c r="O199" s="189" t="n"/>
      <c r="P199" s="189" t="n"/>
      <c r="Q199" s="189" t="n"/>
      <c r="R199" s="189" t="n"/>
      <c r="S199" s="189" t="n"/>
      <c r="T199" s="189" t="n"/>
      <c r="U199" s="189" t="n"/>
      <c r="V199" s="189" t="n"/>
      <c r="W199" s="189" t="n"/>
      <c r="X199" s="189" t="n"/>
      <c r="Y199" s="189" t="n"/>
      <c r="Z199" s="189" t="n"/>
      <c r="AA199" s="189" t="n"/>
      <c r="AB199" s="189" t="n"/>
      <c r="AC199" s="189" t="n"/>
      <c r="AD199" s="189" t="n"/>
      <c r="AE199" s="189" t="n"/>
      <c r="AF199" s="189" t="n"/>
      <c r="AG199" s="189" t="n"/>
      <c r="AH199" s="189" t="n"/>
      <c r="AI199" s="51" t="inlineStr">
        <is>
          <t>U10X</t>
        </is>
      </c>
    </row>
    <row r="200">
      <c r="B200" s="189" t="n"/>
      <c r="C200" s="189" t="n"/>
      <c r="D200" s="189" t="n"/>
      <c r="E200" s="189" t="n"/>
      <c r="F200" s="189" t="n"/>
      <c r="G200" s="189" t="n"/>
      <c r="H200" s="189" t="n"/>
      <c r="I200" s="189" t="n"/>
      <c r="J200" s="189" t="n"/>
      <c r="K200" s="189" t="n"/>
      <c r="L200" s="189" t="n"/>
      <c r="M200" s="189" t="n"/>
      <c r="N200" s="189" t="n"/>
      <c r="O200" s="189" t="n"/>
      <c r="P200" s="189" t="n"/>
      <c r="Q200" s="189" t="n"/>
      <c r="R200" s="189" t="n"/>
      <c r="S200" s="189" t="n"/>
      <c r="T200" s="189" t="n"/>
      <c r="U200" s="189" t="n"/>
      <c r="V200" s="189" t="n"/>
      <c r="W200" s="189" t="n"/>
      <c r="X200" s="189" t="n"/>
      <c r="Y200" s="189" t="n"/>
      <c r="Z200" s="189" t="n"/>
      <c r="AA200" s="189" t="n"/>
      <c r="AB200" s="189" t="n"/>
      <c r="AC200" s="189" t="n"/>
      <c r="AD200" s="189" t="n"/>
      <c r="AE200" s="189" t="n"/>
      <c r="AF200" s="189" t="n"/>
      <c r="AG200" s="189" t="n"/>
      <c r="AH200" s="189" t="n"/>
      <c r="AI200" s="51" t="inlineStr">
        <is>
          <t>U10Y</t>
        </is>
      </c>
    </row>
    <row r="201">
      <c r="B201" s="189" t="n"/>
      <c r="C201" s="189" t="n"/>
      <c r="D201" s="189" t="n"/>
      <c r="E201" s="189" t="n"/>
      <c r="F201" s="189" t="n"/>
      <c r="G201" s="189" t="n"/>
      <c r="H201" s="189" t="n"/>
      <c r="I201" s="189" t="n"/>
      <c r="J201" s="189" t="n"/>
      <c r="K201" s="189" t="n"/>
      <c r="L201" s="189" t="n"/>
      <c r="M201" s="189" t="n"/>
      <c r="N201" s="189" t="n"/>
      <c r="O201" s="189" t="n"/>
      <c r="P201" s="189" t="n"/>
      <c r="Q201" s="189" t="n"/>
      <c r="R201" s="189" t="n"/>
      <c r="S201" s="189" t="n"/>
      <c r="T201" s="189" t="n"/>
      <c r="U201" s="189" t="n"/>
      <c r="V201" s="189" t="n"/>
      <c r="W201" s="189" t="n"/>
      <c r="X201" s="189" t="n"/>
      <c r="Y201" s="189" t="n"/>
      <c r="Z201" s="189" t="n"/>
      <c r="AA201" s="189" t="n"/>
      <c r="AB201" s="189" t="n"/>
      <c r="AC201" s="189" t="n"/>
      <c r="AD201" s="189" t="n"/>
      <c r="AE201" s="189" t="n"/>
      <c r="AF201" s="189" t="n"/>
      <c r="AG201" s="189" t="n"/>
      <c r="AH201" s="189" t="n"/>
      <c r="AI201" s="51" t="inlineStr">
        <is>
          <t>U10θ</t>
        </is>
      </c>
    </row>
    <row r="202">
      <c r="B202" s="189" t="n"/>
      <c r="C202" s="189" t="n"/>
      <c r="D202" s="189" t="n"/>
      <c r="E202" s="189" t="n"/>
      <c r="F202" s="189" t="n"/>
      <c r="G202" s="189" t="n"/>
      <c r="H202" s="189" t="n"/>
      <c r="I202" s="189" t="n"/>
      <c r="J202" s="189" t="n"/>
      <c r="K202" s="189" t="n"/>
      <c r="L202" s="189" t="n"/>
      <c r="M202" s="189" t="n"/>
      <c r="N202" s="189" t="n"/>
      <c r="O202" s="189" t="n"/>
      <c r="P202" s="189" t="n"/>
      <c r="Q202" s="189" t="n"/>
      <c r="R202" s="189" t="n"/>
      <c r="S202" s="189" t="n"/>
      <c r="T202" s="189" t="n"/>
      <c r="U202" s="189" t="n"/>
      <c r="V202" s="189" t="n"/>
      <c r="W202" s="189" t="n"/>
      <c r="X202" s="189" t="n"/>
      <c r="Y202" s="189" t="n"/>
      <c r="Z202" s="189" t="n"/>
      <c r="AA202" s="189" t="n"/>
      <c r="AB202" s="189" t="n"/>
      <c r="AC202" s="189" t="n"/>
      <c r="AD202" s="189" t="n"/>
      <c r="AE202" s="189" t="n"/>
      <c r="AF202" s="189" t="n"/>
      <c r="AG202" s="189" t="n"/>
      <c r="AH202" s="189" t="n"/>
      <c r="AI202" s="51" t="inlineStr">
        <is>
          <t>U11X</t>
        </is>
      </c>
    </row>
    <row r="203">
      <c r="B203" s="189" t="n"/>
      <c r="C203" s="189" t="n"/>
      <c r="D203" s="189" t="n"/>
      <c r="E203" s="189" t="n"/>
      <c r="F203" s="189" t="n"/>
      <c r="G203" s="189" t="n"/>
      <c r="H203" s="189" t="n"/>
      <c r="I203" s="189" t="n"/>
      <c r="J203" s="189" t="n"/>
      <c r="K203" s="189" t="n"/>
      <c r="L203" s="189" t="n"/>
      <c r="M203" s="189" t="n"/>
      <c r="N203" s="189" t="n"/>
      <c r="O203" s="189" t="n"/>
      <c r="P203" s="189" t="n"/>
      <c r="Q203" s="189" t="n"/>
      <c r="R203" s="189" t="n"/>
      <c r="S203" s="189" t="n"/>
      <c r="T203" s="189" t="n"/>
      <c r="U203" s="189" t="n"/>
      <c r="V203" s="189" t="n"/>
      <c r="W203" s="189" t="n"/>
      <c r="X203" s="189" t="n"/>
      <c r="Y203" s="189" t="n"/>
      <c r="Z203" s="189" t="n"/>
      <c r="AA203" s="189" t="n"/>
      <c r="AB203" s="189" t="n"/>
      <c r="AC203" s="189" t="n"/>
      <c r="AD203" s="189" t="n"/>
      <c r="AE203" s="189" t="n"/>
      <c r="AF203" s="189" t="n"/>
      <c r="AG203" s="189" t="n"/>
      <c r="AH203" s="189" t="n"/>
      <c r="AI203" s="51" t="inlineStr">
        <is>
          <t>U11Y</t>
        </is>
      </c>
    </row>
    <row r="204">
      <c r="B204" s="189" t="n"/>
      <c r="C204" s="189" t="n"/>
      <c r="D204" s="189" t="n"/>
      <c r="E204" s="189" t="n"/>
      <c r="F204" s="189" t="n"/>
      <c r="G204" s="189" t="n"/>
      <c r="H204" s="189" t="n"/>
      <c r="I204" s="189" t="n"/>
      <c r="J204" s="189" t="n"/>
      <c r="K204" s="189" t="n"/>
      <c r="L204" s="189" t="n"/>
      <c r="M204" s="189" t="n"/>
      <c r="N204" s="189" t="n"/>
      <c r="O204" s="189" t="n"/>
      <c r="P204" s="189" t="n"/>
      <c r="Q204" s="189" t="n"/>
      <c r="R204" s="189" t="n"/>
      <c r="S204" s="189" t="n"/>
      <c r="T204" s="189" t="n"/>
      <c r="U204" s="189" t="n"/>
      <c r="V204" s="189" t="n"/>
      <c r="W204" s="189" t="n"/>
      <c r="X204" s="189" t="n"/>
      <c r="Y204" s="189" t="n"/>
      <c r="Z204" s="189" t="n"/>
      <c r="AA204" s="189" t="n"/>
      <c r="AB204" s="189" t="n"/>
      <c r="AC204" s="189" t="n"/>
      <c r="AD204" s="189" t="n"/>
      <c r="AE204" s="189" t="n"/>
      <c r="AF204" s="189" t="n"/>
      <c r="AG204" s="189" t="n"/>
      <c r="AH204" s="189" t="n"/>
      <c r="AI204" s="51" t="inlineStr">
        <is>
          <t>U11θ</t>
        </is>
      </c>
    </row>
    <row r="206">
      <c r="B206" s="51">
        <f>IF(C26="","", CONCATENATE("U",C26,C$21))</f>
        <v/>
      </c>
      <c r="C206" s="51">
        <f>IF(D26="","", CONCATENATE("U",D26,D$21))</f>
        <v/>
      </c>
      <c r="D206" s="51">
        <f>IF(E26="","", CONCATENATE("U",E26,E$21))</f>
        <v/>
      </c>
      <c r="E206" s="51">
        <f>IF(F26="","", CONCATENATE("U",F26,F$21))</f>
        <v/>
      </c>
      <c r="F206" s="51">
        <f>IF(G26="","", CONCATENATE("U",G26,G$21))</f>
        <v/>
      </c>
      <c r="G206" s="51">
        <f>IF(H26="","", CONCATENATE("U",H26,H$21))</f>
        <v/>
      </c>
    </row>
    <row r="207">
      <c r="B207" s="8">
        <f>IF(I13="", 0, O13*J13*J13+P13*K13*K13)</f>
        <v/>
      </c>
      <c r="C207" s="189">
        <f>IF(I13="", 0, (O13-P13)*(J13*K13))</f>
        <v/>
      </c>
      <c r="D207" s="189">
        <f>IF(I13="", 0, -Q13*K13)</f>
        <v/>
      </c>
      <c r="E207" s="189">
        <f>-B207</f>
        <v/>
      </c>
      <c r="F207" s="189">
        <f>-C207</f>
        <v/>
      </c>
      <c r="G207" s="189">
        <f>D207</f>
        <v/>
      </c>
      <c r="H207" s="51">
        <f>B206</f>
        <v/>
      </c>
    </row>
    <row r="208">
      <c r="B208" s="189">
        <f>C207</f>
        <v/>
      </c>
      <c r="C208" s="8">
        <f>IF(I13="", 0, O13*K13*K13+P13*J13*J13)</f>
        <v/>
      </c>
      <c r="D208" s="189">
        <f>IF(I13="", 0, Q13*J13)</f>
        <v/>
      </c>
      <c r="E208" s="189">
        <f>-B208</f>
        <v/>
      </c>
      <c r="F208" s="189">
        <f>-C208</f>
        <v/>
      </c>
      <c r="G208" s="189">
        <f>D208</f>
        <v/>
      </c>
      <c r="H208" s="51">
        <f>C206</f>
        <v/>
      </c>
    </row>
    <row r="209">
      <c r="A209" s="118" t="inlineStr">
        <is>
          <t>K5 =</t>
        </is>
      </c>
      <c r="B209" s="189">
        <f>D207</f>
        <v/>
      </c>
      <c r="C209" s="189">
        <f>D208</f>
        <v/>
      </c>
      <c r="D209" s="8">
        <f>IF(I13="", 0, R13)</f>
        <v/>
      </c>
      <c r="E209" s="189">
        <f>-B209</f>
        <v/>
      </c>
      <c r="F209" s="189">
        <f>-C209</f>
        <v/>
      </c>
      <c r="G209" s="189">
        <f>IF(I13="", 0, S13)</f>
        <v/>
      </c>
      <c r="H209" s="51">
        <f>D206</f>
        <v/>
      </c>
    </row>
    <row r="210">
      <c r="B210" s="189">
        <f>E207</f>
        <v/>
      </c>
      <c r="C210" s="189">
        <f>E208</f>
        <v/>
      </c>
      <c r="D210" s="189">
        <f>E209</f>
        <v/>
      </c>
      <c r="E210" s="8">
        <f>B207</f>
        <v/>
      </c>
      <c r="F210" s="189">
        <f>C207</f>
        <v/>
      </c>
      <c r="G210" s="189">
        <f>-D207</f>
        <v/>
      </c>
      <c r="H210" s="51">
        <f>E206</f>
        <v/>
      </c>
    </row>
    <row r="211">
      <c r="B211" s="189">
        <f>F207</f>
        <v/>
      </c>
      <c r="C211" s="189">
        <f>F208</f>
        <v/>
      </c>
      <c r="D211" s="189">
        <f>F209</f>
        <v/>
      </c>
      <c r="E211" s="189">
        <f>F210</f>
        <v/>
      </c>
      <c r="F211" s="8">
        <f>C208</f>
        <v/>
      </c>
      <c r="G211" s="189">
        <f>-D208</f>
        <v/>
      </c>
      <c r="H211" s="51">
        <f>F206</f>
        <v/>
      </c>
    </row>
    <row r="212">
      <c r="B212" s="189">
        <f>G207</f>
        <v/>
      </c>
      <c r="C212" s="189">
        <f>G208</f>
        <v/>
      </c>
      <c r="D212" s="189">
        <f>G209</f>
        <v/>
      </c>
      <c r="E212" s="189">
        <f>G210</f>
        <v/>
      </c>
      <c r="F212" s="189">
        <f>G211</f>
        <v/>
      </c>
      <c r="G212" s="8">
        <f>D209</f>
        <v/>
      </c>
      <c r="H212" s="51">
        <f>G206</f>
        <v/>
      </c>
    </row>
    <row r="214">
      <c r="B214" s="51" t="inlineStr">
        <is>
          <t>U1X</t>
        </is>
      </c>
      <c r="C214" s="51" t="inlineStr">
        <is>
          <t>U1Y</t>
        </is>
      </c>
      <c r="D214" s="51" t="inlineStr">
        <is>
          <t>U1θ</t>
        </is>
      </c>
      <c r="E214" s="51" t="inlineStr">
        <is>
          <t>U2X</t>
        </is>
      </c>
      <c r="F214" s="51" t="inlineStr">
        <is>
          <t>U2Y</t>
        </is>
      </c>
      <c r="G214" s="51" t="inlineStr">
        <is>
          <t>U2θ</t>
        </is>
      </c>
      <c r="H214" s="51" t="inlineStr">
        <is>
          <t>U3X</t>
        </is>
      </c>
      <c r="I214" s="51" t="inlineStr">
        <is>
          <t>U3Y</t>
        </is>
      </c>
      <c r="J214" s="51" t="inlineStr">
        <is>
          <t>U3θ</t>
        </is>
      </c>
      <c r="K214" s="51" t="inlineStr">
        <is>
          <t>U4X</t>
        </is>
      </c>
      <c r="L214" s="51" t="inlineStr">
        <is>
          <t>U4Y</t>
        </is>
      </c>
      <c r="M214" s="51" t="inlineStr">
        <is>
          <t>U4θ</t>
        </is>
      </c>
      <c r="N214" s="51" t="inlineStr">
        <is>
          <t>U5X</t>
        </is>
      </c>
      <c r="O214" s="51" t="inlineStr">
        <is>
          <t>U5Y</t>
        </is>
      </c>
      <c r="P214" s="51" t="inlineStr">
        <is>
          <t>U5θ</t>
        </is>
      </c>
      <c r="Q214" s="51" t="inlineStr">
        <is>
          <t>U6X</t>
        </is>
      </c>
      <c r="R214" s="51" t="inlineStr">
        <is>
          <t>U6Y</t>
        </is>
      </c>
      <c r="S214" s="51" t="inlineStr">
        <is>
          <t>U6θ</t>
        </is>
      </c>
      <c r="T214" s="51" t="inlineStr">
        <is>
          <t>U7X</t>
        </is>
      </c>
      <c r="U214" s="51" t="inlineStr">
        <is>
          <t>U7Y</t>
        </is>
      </c>
      <c r="V214" s="51" t="inlineStr">
        <is>
          <t>U7θ</t>
        </is>
      </c>
      <c r="W214" s="51" t="inlineStr">
        <is>
          <t>U8X</t>
        </is>
      </c>
      <c r="X214" s="51" t="inlineStr">
        <is>
          <t>U8Y</t>
        </is>
      </c>
      <c r="Y214" s="51" t="inlineStr">
        <is>
          <t>U8θ</t>
        </is>
      </c>
      <c r="Z214" s="51" t="inlineStr">
        <is>
          <t>U9X</t>
        </is>
      </c>
      <c r="AA214" s="51" t="inlineStr">
        <is>
          <t>U9Y</t>
        </is>
      </c>
      <c r="AB214" s="51" t="inlineStr">
        <is>
          <t>U9θ</t>
        </is>
      </c>
      <c r="AC214" s="51" t="inlineStr">
        <is>
          <t>U10X</t>
        </is>
      </c>
      <c r="AD214" s="51" t="inlineStr">
        <is>
          <t>U10Y</t>
        </is>
      </c>
      <c r="AE214" s="51" t="inlineStr">
        <is>
          <t>U10θ</t>
        </is>
      </c>
      <c r="AF214" s="51" t="inlineStr">
        <is>
          <t>U11X</t>
        </is>
      </c>
      <c r="AG214" s="51" t="inlineStr">
        <is>
          <t>U11Y</t>
        </is>
      </c>
      <c r="AH214" s="51" t="inlineStr">
        <is>
          <t>U11θ</t>
        </is>
      </c>
    </row>
    <row r="215">
      <c r="B215" s="189" t="n"/>
      <c r="C215" s="189" t="n"/>
      <c r="D215" s="189" t="n"/>
      <c r="E215" s="189" t="n"/>
      <c r="F215" s="189" t="n"/>
      <c r="G215" s="189" t="n"/>
      <c r="H215" s="189" t="n"/>
      <c r="I215" s="189" t="n"/>
      <c r="J215" s="189" t="n"/>
      <c r="K215" s="189" t="n"/>
      <c r="L215" s="189" t="n"/>
      <c r="M215" s="189" t="n"/>
      <c r="N215" s="189" t="n"/>
      <c r="O215" s="189" t="n"/>
      <c r="P215" s="189" t="n"/>
      <c r="Q215" s="189" t="n"/>
      <c r="R215" s="189" t="n"/>
      <c r="S215" s="189" t="n"/>
      <c r="T215" s="189" t="n"/>
      <c r="U215" s="189" t="n"/>
      <c r="V215" s="189" t="n"/>
      <c r="W215" s="189" t="n"/>
      <c r="X215" s="189" t="n"/>
      <c r="Y215" s="189" t="n"/>
      <c r="Z215" s="189" t="n"/>
      <c r="AA215" s="189" t="n"/>
      <c r="AB215" s="189" t="n"/>
      <c r="AC215" s="189" t="n"/>
      <c r="AD215" s="189" t="n"/>
      <c r="AE215" s="189" t="n"/>
      <c r="AF215" s="189" t="n"/>
      <c r="AG215" s="189" t="n"/>
      <c r="AH215" s="189" t="n"/>
      <c r="AI215" s="51" t="inlineStr">
        <is>
          <t>U1X</t>
        </is>
      </c>
    </row>
    <row r="216">
      <c r="B216" s="189" t="n"/>
      <c r="C216" s="189" t="n"/>
      <c r="D216" s="189" t="n"/>
      <c r="E216" s="189" t="n"/>
      <c r="F216" s="189" t="n"/>
      <c r="G216" s="189" t="n"/>
      <c r="H216" s="189" t="n"/>
      <c r="I216" s="189" t="n"/>
      <c r="J216" s="189" t="n"/>
      <c r="K216" s="189" t="n"/>
      <c r="L216" s="189" t="n"/>
      <c r="M216" s="189" t="n"/>
      <c r="N216" s="189" t="n"/>
      <c r="O216" s="189" t="n"/>
      <c r="P216" s="189" t="n"/>
      <c r="Q216" s="189" t="n"/>
      <c r="R216" s="189" t="n"/>
      <c r="S216" s="189" t="n"/>
      <c r="T216" s="189" t="n"/>
      <c r="U216" s="189" t="n"/>
      <c r="V216" s="189" t="n"/>
      <c r="W216" s="189" t="n"/>
      <c r="X216" s="189" t="n"/>
      <c r="Y216" s="189" t="n"/>
      <c r="Z216" s="189" t="n"/>
      <c r="AA216" s="189" t="n"/>
      <c r="AB216" s="189" t="n"/>
      <c r="AC216" s="189" t="n"/>
      <c r="AD216" s="189" t="n"/>
      <c r="AE216" s="189" t="n"/>
      <c r="AF216" s="189" t="n"/>
      <c r="AG216" s="189" t="n"/>
      <c r="AH216" s="189" t="n"/>
      <c r="AI216" s="51" t="inlineStr">
        <is>
          <t>U1Y</t>
        </is>
      </c>
    </row>
    <row r="217">
      <c r="B217" s="189" t="n"/>
      <c r="C217" s="189" t="n"/>
      <c r="D217" s="189" t="n"/>
      <c r="E217" s="189" t="n"/>
      <c r="F217" s="189" t="n"/>
      <c r="G217" s="189" t="n"/>
      <c r="H217" s="189" t="n"/>
      <c r="I217" s="189" t="n"/>
      <c r="J217" s="189" t="n"/>
      <c r="K217" s="189" t="n"/>
      <c r="L217" s="189" t="n"/>
      <c r="M217" s="189" t="n"/>
      <c r="N217" s="189" t="n"/>
      <c r="O217" s="189" t="n"/>
      <c r="P217" s="189" t="n"/>
      <c r="Q217" s="189" t="n"/>
      <c r="R217" s="189" t="n"/>
      <c r="S217" s="189" t="n"/>
      <c r="T217" s="189" t="n"/>
      <c r="U217" s="189" t="n"/>
      <c r="V217" s="189" t="n"/>
      <c r="W217" s="189" t="n"/>
      <c r="X217" s="189" t="n"/>
      <c r="Y217" s="189" t="n"/>
      <c r="Z217" s="189" t="n"/>
      <c r="AA217" s="189" t="n"/>
      <c r="AB217" s="189" t="n"/>
      <c r="AC217" s="189" t="n"/>
      <c r="AD217" s="189" t="n"/>
      <c r="AE217" s="189" t="n"/>
      <c r="AF217" s="189" t="n"/>
      <c r="AG217" s="189" t="n"/>
      <c r="AH217" s="189" t="n"/>
      <c r="AI217" s="51" t="inlineStr">
        <is>
          <t>U1θ</t>
        </is>
      </c>
    </row>
    <row r="218">
      <c r="B218" s="189" t="n"/>
      <c r="C218" s="189" t="n"/>
      <c r="D218" s="189" t="n"/>
      <c r="E218" s="189" t="n"/>
      <c r="F218" s="189" t="n"/>
      <c r="G218" s="189" t="n"/>
      <c r="H218" s="189" t="n"/>
      <c r="I218" s="189" t="n"/>
      <c r="J218" s="189" t="n"/>
      <c r="K218" s="189" t="n"/>
      <c r="L218" s="189" t="n"/>
      <c r="M218" s="189" t="n"/>
      <c r="N218" s="189" t="n"/>
      <c r="O218" s="189" t="n"/>
      <c r="P218" s="189" t="n"/>
      <c r="Q218" s="189" t="n"/>
      <c r="R218" s="189" t="n"/>
      <c r="S218" s="189" t="n"/>
      <c r="T218" s="189" t="n"/>
      <c r="U218" s="189" t="n"/>
      <c r="V218" s="189" t="n"/>
      <c r="W218" s="189" t="n"/>
      <c r="X218" s="189" t="n"/>
      <c r="Y218" s="189" t="n"/>
      <c r="Z218" s="189" t="n"/>
      <c r="AA218" s="189" t="n"/>
      <c r="AB218" s="189" t="n"/>
      <c r="AC218" s="189" t="n"/>
      <c r="AD218" s="189" t="n"/>
      <c r="AE218" s="189" t="n"/>
      <c r="AF218" s="189" t="n"/>
      <c r="AG218" s="189" t="n"/>
      <c r="AH218" s="189" t="n"/>
      <c r="AI218" s="51" t="inlineStr">
        <is>
          <t>U2X</t>
        </is>
      </c>
    </row>
    <row r="219">
      <c r="B219" s="189" t="n"/>
      <c r="C219" s="189" t="n"/>
      <c r="D219" s="189" t="n"/>
      <c r="E219" s="189" t="n"/>
      <c r="F219" s="189" t="n"/>
      <c r="G219" s="189" t="n"/>
      <c r="H219" s="189" t="n"/>
      <c r="I219" s="189" t="n"/>
      <c r="J219" s="189" t="n"/>
      <c r="K219" s="189" t="n"/>
      <c r="L219" s="189" t="n"/>
      <c r="M219" s="189" t="n"/>
      <c r="N219" s="189" t="n"/>
      <c r="O219" s="189" t="n"/>
      <c r="P219" s="189" t="n"/>
      <c r="Q219" s="189" t="n"/>
      <c r="R219" s="189" t="n"/>
      <c r="S219" s="189" t="n"/>
      <c r="T219" s="189" t="n"/>
      <c r="U219" s="189" t="n"/>
      <c r="V219" s="189" t="n"/>
      <c r="W219" s="189" t="n"/>
      <c r="X219" s="189" t="n"/>
      <c r="Y219" s="189" t="n"/>
      <c r="Z219" s="189" t="n"/>
      <c r="AA219" s="189" t="n"/>
      <c r="AB219" s="189" t="n"/>
      <c r="AC219" s="189" t="n"/>
      <c r="AD219" s="189" t="n"/>
      <c r="AE219" s="189" t="n"/>
      <c r="AF219" s="189" t="n"/>
      <c r="AG219" s="189" t="n"/>
      <c r="AH219" s="189" t="n"/>
      <c r="AI219" s="51" t="inlineStr">
        <is>
          <t>U2Y</t>
        </is>
      </c>
    </row>
    <row r="220">
      <c r="B220" s="189" t="n"/>
      <c r="C220" s="189" t="n"/>
      <c r="D220" s="189" t="n"/>
      <c r="E220" s="189" t="n"/>
      <c r="F220" s="189" t="n"/>
      <c r="G220" s="189" t="n"/>
      <c r="H220" s="189" t="n"/>
      <c r="I220" s="189" t="n"/>
      <c r="J220" s="189" t="n"/>
      <c r="K220" s="189" t="n"/>
      <c r="L220" s="189" t="n"/>
      <c r="M220" s="189" t="n"/>
      <c r="N220" s="189" t="n"/>
      <c r="O220" s="189" t="n"/>
      <c r="P220" s="189" t="n"/>
      <c r="Q220" s="189" t="n"/>
      <c r="R220" s="189" t="n"/>
      <c r="S220" s="189" t="n"/>
      <c r="T220" s="189" t="n"/>
      <c r="U220" s="189" t="n"/>
      <c r="V220" s="189" t="n"/>
      <c r="W220" s="189" t="n"/>
      <c r="X220" s="189" t="n"/>
      <c r="Y220" s="189" t="n"/>
      <c r="Z220" s="189" t="n"/>
      <c r="AA220" s="189" t="n"/>
      <c r="AB220" s="189" t="n"/>
      <c r="AC220" s="189" t="n"/>
      <c r="AD220" s="189" t="n"/>
      <c r="AE220" s="189" t="n"/>
      <c r="AF220" s="189" t="n"/>
      <c r="AG220" s="189" t="n"/>
      <c r="AH220" s="189" t="n"/>
      <c r="AI220" s="51" t="inlineStr">
        <is>
          <t>U2θ</t>
        </is>
      </c>
    </row>
    <row r="221">
      <c r="B221" s="189" t="n"/>
      <c r="C221" s="189" t="n"/>
      <c r="D221" s="189" t="n"/>
      <c r="E221" s="189" t="n"/>
      <c r="F221" s="189" t="n"/>
      <c r="G221" s="189" t="n"/>
      <c r="H221" s="189" t="n"/>
      <c r="I221" s="189" t="n"/>
      <c r="J221" s="189" t="n"/>
      <c r="K221" s="189" t="n"/>
      <c r="L221" s="189" t="n"/>
      <c r="M221" s="189" t="n"/>
      <c r="N221" s="189" t="n"/>
      <c r="O221" s="189" t="n"/>
      <c r="P221" s="189" t="n"/>
      <c r="Q221" s="189" t="n"/>
      <c r="R221" s="189" t="n"/>
      <c r="S221" s="189" t="n"/>
      <c r="T221" s="189" t="n"/>
      <c r="U221" s="189" t="n"/>
      <c r="V221" s="189" t="n"/>
      <c r="W221" s="189" t="n"/>
      <c r="X221" s="189" t="n"/>
      <c r="Y221" s="189" t="n"/>
      <c r="Z221" s="189" t="n"/>
      <c r="AA221" s="189" t="n"/>
      <c r="AB221" s="189" t="n"/>
      <c r="AC221" s="189" t="n"/>
      <c r="AD221" s="189" t="n"/>
      <c r="AE221" s="189" t="n"/>
      <c r="AF221" s="189" t="n"/>
      <c r="AG221" s="189" t="n"/>
      <c r="AH221" s="189" t="n"/>
      <c r="AI221" s="51" t="inlineStr">
        <is>
          <t>U3X</t>
        </is>
      </c>
    </row>
    <row r="222">
      <c r="B222" s="189" t="n"/>
      <c r="C222" s="189" t="n"/>
      <c r="D222" s="189" t="n"/>
      <c r="E222" s="189" t="n"/>
      <c r="F222" s="189" t="n"/>
      <c r="G222" s="189" t="n"/>
      <c r="H222" s="189" t="n"/>
      <c r="I222" s="189" t="n"/>
      <c r="J222" s="189" t="n"/>
      <c r="K222" s="189" t="n"/>
      <c r="L222" s="189" t="n"/>
      <c r="M222" s="189" t="n"/>
      <c r="N222" s="189" t="n"/>
      <c r="O222" s="189" t="n"/>
      <c r="P222" s="189" t="n"/>
      <c r="Q222" s="189" t="n"/>
      <c r="R222" s="189" t="n"/>
      <c r="S222" s="189" t="n"/>
      <c r="T222" s="189" t="n"/>
      <c r="U222" s="189" t="n"/>
      <c r="V222" s="189" t="n"/>
      <c r="W222" s="189" t="n"/>
      <c r="X222" s="189" t="n"/>
      <c r="Y222" s="189" t="n"/>
      <c r="Z222" s="189" t="n"/>
      <c r="AA222" s="189" t="n"/>
      <c r="AB222" s="189" t="n"/>
      <c r="AC222" s="189" t="n"/>
      <c r="AD222" s="189" t="n"/>
      <c r="AE222" s="189" t="n"/>
      <c r="AF222" s="189" t="n"/>
      <c r="AG222" s="189" t="n"/>
      <c r="AH222" s="189" t="n"/>
      <c r="AI222" s="51" t="inlineStr">
        <is>
          <t>U3Y</t>
        </is>
      </c>
    </row>
    <row r="223">
      <c r="B223" s="189" t="n"/>
      <c r="C223" s="189" t="n"/>
      <c r="D223" s="189" t="n"/>
      <c r="E223" s="189" t="n"/>
      <c r="F223" s="189" t="n"/>
      <c r="G223" s="189" t="n"/>
      <c r="H223" s="189" t="n"/>
      <c r="I223" s="189" t="n"/>
      <c r="J223" s="189" t="n"/>
      <c r="K223" s="189" t="n"/>
      <c r="L223" s="189" t="n"/>
      <c r="M223" s="189" t="n"/>
      <c r="N223" s="189" t="n"/>
      <c r="O223" s="189" t="n"/>
      <c r="P223" s="189" t="n"/>
      <c r="Q223" s="189" t="n"/>
      <c r="R223" s="189" t="n"/>
      <c r="S223" s="189" t="n"/>
      <c r="T223" s="189" t="n"/>
      <c r="U223" s="189" t="n"/>
      <c r="V223" s="189" t="n"/>
      <c r="W223" s="189" t="n"/>
      <c r="X223" s="189" t="n"/>
      <c r="Y223" s="189" t="n"/>
      <c r="Z223" s="189" t="n"/>
      <c r="AA223" s="189" t="n"/>
      <c r="AB223" s="189" t="n"/>
      <c r="AC223" s="189" t="n"/>
      <c r="AD223" s="189" t="n"/>
      <c r="AE223" s="189" t="n"/>
      <c r="AF223" s="189" t="n"/>
      <c r="AG223" s="189" t="n"/>
      <c r="AH223" s="189" t="n"/>
      <c r="AI223" s="51" t="inlineStr">
        <is>
          <t>U3θ</t>
        </is>
      </c>
    </row>
    <row r="224">
      <c r="B224" s="189" t="n"/>
      <c r="C224" s="189" t="n"/>
      <c r="D224" s="189" t="n"/>
      <c r="E224" s="189" t="n"/>
      <c r="F224" s="189" t="n"/>
      <c r="G224" s="189" t="n"/>
      <c r="H224" s="189" t="n"/>
      <c r="I224" s="189" t="n"/>
      <c r="J224" s="189" t="n"/>
      <c r="K224" s="189" t="n"/>
      <c r="L224" s="189" t="n"/>
      <c r="M224" s="189" t="n"/>
      <c r="N224" s="189" t="n"/>
      <c r="O224" s="189" t="n"/>
      <c r="P224" s="189" t="n"/>
      <c r="Q224" s="189" t="n"/>
      <c r="R224" s="189" t="n"/>
      <c r="S224" s="189" t="n"/>
      <c r="T224" s="189" t="n"/>
      <c r="U224" s="189" t="n"/>
      <c r="V224" s="189" t="n"/>
      <c r="W224" s="189" t="n"/>
      <c r="X224" s="189" t="n"/>
      <c r="Y224" s="189" t="n"/>
      <c r="Z224" s="189" t="n"/>
      <c r="AA224" s="189" t="n"/>
      <c r="AB224" s="189" t="n"/>
      <c r="AC224" s="189" t="n"/>
      <c r="AD224" s="189" t="n"/>
      <c r="AE224" s="189" t="n"/>
      <c r="AF224" s="189" t="n"/>
      <c r="AG224" s="189" t="n"/>
      <c r="AH224" s="189" t="n"/>
      <c r="AI224" s="51" t="inlineStr">
        <is>
          <t>U4X</t>
        </is>
      </c>
    </row>
    <row r="225">
      <c r="B225" s="189" t="n"/>
      <c r="C225" s="189" t="n"/>
      <c r="D225" s="189" t="n"/>
      <c r="E225" s="189" t="n"/>
      <c r="F225" s="189" t="n"/>
      <c r="G225" s="189" t="n"/>
      <c r="H225" s="189" t="n"/>
      <c r="I225" s="189" t="n"/>
      <c r="J225" s="189" t="n"/>
      <c r="K225" s="189" t="n"/>
      <c r="L225" s="189" t="n"/>
      <c r="M225" s="189" t="n"/>
      <c r="N225" s="189" t="n"/>
      <c r="O225" s="189" t="n"/>
      <c r="P225" s="189" t="n"/>
      <c r="Q225" s="189" t="n"/>
      <c r="R225" s="189" t="n"/>
      <c r="S225" s="189" t="n"/>
      <c r="T225" s="189" t="n"/>
      <c r="U225" s="189" t="n"/>
      <c r="V225" s="189" t="n"/>
      <c r="W225" s="189" t="n"/>
      <c r="X225" s="189" t="n"/>
      <c r="Y225" s="189" t="n"/>
      <c r="Z225" s="189" t="n"/>
      <c r="AA225" s="189" t="n"/>
      <c r="AB225" s="189" t="n"/>
      <c r="AC225" s="189" t="n"/>
      <c r="AD225" s="189" t="n"/>
      <c r="AE225" s="189" t="n"/>
      <c r="AF225" s="189" t="n"/>
      <c r="AG225" s="189" t="n"/>
      <c r="AH225" s="189" t="n"/>
      <c r="AI225" s="51" t="inlineStr">
        <is>
          <t>U4Y</t>
        </is>
      </c>
    </row>
    <row r="226">
      <c r="B226" s="189" t="n"/>
      <c r="C226" s="189" t="n"/>
      <c r="D226" s="189" t="n"/>
      <c r="E226" s="189" t="n"/>
      <c r="F226" s="189" t="n"/>
      <c r="G226" s="189" t="n"/>
      <c r="H226" s="189" t="n"/>
      <c r="I226" s="189" t="n"/>
      <c r="J226" s="189" t="n"/>
      <c r="K226" s="189" t="n"/>
      <c r="L226" s="189" t="n"/>
      <c r="M226" s="189" t="n"/>
      <c r="N226" s="189" t="n"/>
      <c r="O226" s="189" t="n"/>
      <c r="P226" s="189" t="n"/>
      <c r="Q226" s="189" t="n"/>
      <c r="R226" s="189" t="n"/>
      <c r="S226" s="189" t="n"/>
      <c r="T226" s="189" t="n"/>
      <c r="U226" s="189" t="n"/>
      <c r="V226" s="189" t="n"/>
      <c r="W226" s="189" t="n"/>
      <c r="X226" s="189" t="n"/>
      <c r="Y226" s="189" t="n"/>
      <c r="Z226" s="189" t="n"/>
      <c r="AA226" s="189" t="n"/>
      <c r="AB226" s="189" t="n"/>
      <c r="AC226" s="189" t="n"/>
      <c r="AD226" s="189" t="n"/>
      <c r="AE226" s="189" t="n"/>
      <c r="AF226" s="189" t="n"/>
      <c r="AG226" s="189" t="n"/>
      <c r="AH226" s="189" t="n"/>
      <c r="AI226" s="51" t="inlineStr">
        <is>
          <t>U4θ</t>
        </is>
      </c>
    </row>
    <row r="227">
      <c r="B227" s="189" t="n"/>
      <c r="C227" s="189" t="n"/>
      <c r="D227" s="189" t="n"/>
      <c r="E227" s="189" t="n"/>
      <c r="F227" s="189" t="n"/>
      <c r="G227" s="189" t="n"/>
      <c r="H227" s="189" t="n"/>
      <c r="I227" s="189" t="n"/>
      <c r="J227" s="189" t="n"/>
      <c r="K227" s="189" t="n"/>
      <c r="L227" s="189" t="n"/>
      <c r="M227" s="189" t="n"/>
      <c r="N227" s="189">
        <f>B207</f>
        <v/>
      </c>
      <c r="O227" s="189">
        <f>C207</f>
        <v/>
      </c>
      <c r="P227" s="189">
        <f>D207</f>
        <v/>
      </c>
      <c r="Q227" s="189">
        <f>E207</f>
        <v/>
      </c>
      <c r="R227" s="189">
        <f>F207</f>
        <v/>
      </c>
      <c r="S227" s="189">
        <f>G207</f>
        <v/>
      </c>
      <c r="T227" s="189" t="n"/>
      <c r="U227" s="189" t="n"/>
      <c r="V227" s="189" t="n"/>
      <c r="W227" s="189" t="n"/>
      <c r="X227" s="189" t="n"/>
      <c r="Y227" s="189" t="n"/>
      <c r="Z227" s="189" t="n"/>
      <c r="AA227" s="189" t="n"/>
      <c r="AB227" s="189" t="n"/>
      <c r="AC227" s="189" t="n"/>
      <c r="AD227" s="189" t="n"/>
      <c r="AE227" s="189" t="n"/>
      <c r="AF227" s="189" t="n"/>
      <c r="AG227" s="189" t="n"/>
      <c r="AH227" s="189" t="n"/>
      <c r="AI227" s="51" t="inlineStr">
        <is>
          <t>U5X</t>
        </is>
      </c>
    </row>
    <row r="228">
      <c r="B228" s="189" t="n"/>
      <c r="C228" s="189" t="n"/>
      <c r="D228" s="189" t="n"/>
      <c r="E228" s="189" t="n"/>
      <c r="F228" s="189" t="n"/>
      <c r="G228" s="189" t="n"/>
      <c r="H228" s="189" t="n"/>
      <c r="I228" s="189" t="n"/>
      <c r="J228" s="189" t="n"/>
      <c r="K228" s="189" t="n"/>
      <c r="L228" s="189" t="n"/>
      <c r="M228" s="189" t="n"/>
      <c r="N228" s="189">
        <f>B208</f>
        <v/>
      </c>
      <c r="O228" s="189">
        <f>C208</f>
        <v/>
      </c>
      <c r="P228" s="189">
        <f>D208</f>
        <v/>
      </c>
      <c r="Q228" s="189">
        <f>E208</f>
        <v/>
      </c>
      <c r="R228" s="189">
        <f>F208</f>
        <v/>
      </c>
      <c r="S228" s="189">
        <f>G208</f>
        <v/>
      </c>
      <c r="T228" s="189" t="n"/>
      <c r="U228" s="189" t="n"/>
      <c r="V228" s="189" t="n"/>
      <c r="W228" s="189" t="n"/>
      <c r="X228" s="189" t="n"/>
      <c r="Y228" s="189" t="n"/>
      <c r="Z228" s="189" t="n"/>
      <c r="AA228" s="189" t="n"/>
      <c r="AB228" s="189" t="n"/>
      <c r="AC228" s="189" t="n"/>
      <c r="AD228" s="189" t="n"/>
      <c r="AE228" s="189" t="n"/>
      <c r="AF228" s="189" t="n"/>
      <c r="AG228" s="189" t="n"/>
      <c r="AH228" s="189" t="n"/>
      <c r="AI228" s="51" t="inlineStr">
        <is>
          <t>U5Y</t>
        </is>
      </c>
    </row>
    <row r="229">
      <c r="B229" s="189" t="n"/>
      <c r="C229" s="189" t="n"/>
      <c r="D229" s="189" t="n"/>
      <c r="E229" s="189" t="n"/>
      <c r="F229" s="189" t="n"/>
      <c r="G229" s="189" t="n"/>
      <c r="H229" s="189" t="n"/>
      <c r="I229" s="189" t="n"/>
      <c r="J229" s="189" t="n"/>
      <c r="K229" s="189" t="n"/>
      <c r="L229" s="189" t="n"/>
      <c r="M229" s="189" t="n"/>
      <c r="N229" s="189">
        <f>B209</f>
        <v/>
      </c>
      <c r="O229" s="189">
        <f>C209</f>
        <v/>
      </c>
      <c r="P229" s="189">
        <f>D209</f>
        <v/>
      </c>
      <c r="Q229" s="189">
        <f>E209</f>
        <v/>
      </c>
      <c r="R229" s="189">
        <f>F209</f>
        <v/>
      </c>
      <c r="S229" s="189">
        <f>G209</f>
        <v/>
      </c>
      <c r="T229" s="189" t="n"/>
      <c r="U229" s="189" t="n"/>
      <c r="V229" s="189" t="n"/>
      <c r="W229" s="189" t="n"/>
      <c r="X229" s="189" t="n"/>
      <c r="Y229" s="189" t="n"/>
      <c r="Z229" s="189" t="n"/>
      <c r="AA229" s="189" t="n"/>
      <c r="AB229" s="189" t="n"/>
      <c r="AC229" s="189" t="n"/>
      <c r="AD229" s="189" t="n"/>
      <c r="AE229" s="189" t="n"/>
      <c r="AF229" s="189" t="n"/>
      <c r="AG229" s="189" t="n"/>
      <c r="AH229" s="189" t="n"/>
      <c r="AI229" s="51" t="inlineStr">
        <is>
          <t>U5θ</t>
        </is>
      </c>
    </row>
    <row r="230">
      <c r="A230" s="118" t="inlineStr">
        <is>
          <t>K5 =</t>
        </is>
      </c>
      <c r="B230" s="189" t="n"/>
      <c r="C230" s="189" t="n"/>
      <c r="D230" s="189" t="n"/>
      <c r="E230" s="189" t="n"/>
      <c r="F230" s="189" t="n"/>
      <c r="G230" s="189" t="n"/>
      <c r="H230" s="189" t="n"/>
      <c r="I230" s="189" t="n"/>
      <c r="J230" s="189" t="n"/>
      <c r="K230" s="189" t="n"/>
      <c r="L230" s="189" t="n"/>
      <c r="M230" s="189" t="n"/>
      <c r="N230" s="189">
        <f>B210</f>
        <v/>
      </c>
      <c r="O230" s="189">
        <f>C210</f>
        <v/>
      </c>
      <c r="P230" s="189">
        <f>D210</f>
        <v/>
      </c>
      <c r="Q230" s="189">
        <f>E210</f>
        <v/>
      </c>
      <c r="R230" s="189">
        <f>F210</f>
        <v/>
      </c>
      <c r="S230" s="189">
        <f>G210</f>
        <v/>
      </c>
      <c r="T230" s="189" t="n"/>
      <c r="U230" s="189" t="n"/>
      <c r="V230" s="189" t="n"/>
      <c r="W230" s="189" t="n"/>
      <c r="X230" s="189" t="n"/>
      <c r="Y230" s="189" t="n"/>
      <c r="Z230" s="189" t="n"/>
      <c r="AA230" s="189" t="n"/>
      <c r="AB230" s="189" t="n"/>
      <c r="AC230" s="189" t="n"/>
      <c r="AD230" s="189" t="n"/>
      <c r="AE230" s="189" t="n"/>
      <c r="AF230" s="189" t="n"/>
      <c r="AG230" s="189" t="n"/>
      <c r="AH230" s="189" t="n"/>
      <c r="AI230" s="51" t="inlineStr">
        <is>
          <t>U6X</t>
        </is>
      </c>
    </row>
    <row r="231">
      <c r="B231" s="189" t="n"/>
      <c r="C231" s="189" t="n"/>
      <c r="D231" s="189" t="n"/>
      <c r="E231" s="189" t="n"/>
      <c r="F231" s="189" t="n"/>
      <c r="G231" s="189" t="n"/>
      <c r="H231" s="189" t="n"/>
      <c r="I231" s="189" t="n"/>
      <c r="J231" s="189" t="n"/>
      <c r="K231" s="189" t="n"/>
      <c r="L231" s="189" t="n"/>
      <c r="M231" s="189" t="n"/>
      <c r="N231" s="189">
        <f>B211</f>
        <v/>
      </c>
      <c r="O231" s="189">
        <f>C211</f>
        <v/>
      </c>
      <c r="P231" s="189">
        <f>D211</f>
        <v/>
      </c>
      <c r="Q231" s="189">
        <f>E211</f>
        <v/>
      </c>
      <c r="R231" s="189">
        <f>F211</f>
        <v/>
      </c>
      <c r="S231" s="189">
        <f>G211</f>
        <v/>
      </c>
      <c r="T231" s="189" t="n"/>
      <c r="U231" s="189" t="n"/>
      <c r="V231" s="189" t="n"/>
      <c r="W231" s="189" t="n"/>
      <c r="X231" s="189" t="n"/>
      <c r="Y231" s="189" t="n"/>
      <c r="Z231" s="189" t="n"/>
      <c r="AA231" s="189" t="n"/>
      <c r="AB231" s="189" t="n"/>
      <c r="AC231" s="189" t="n"/>
      <c r="AD231" s="189" t="n"/>
      <c r="AE231" s="189" t="n"/>
      <c r="AF231" s="189" t="n"/>
      <c r="AG231" s="189" t="n"/>
      <c r="AH231" s="189" t="n"/>
      <c r="AI231" s="51" t="inlineStr">
        <is>
          <t>U6Y</t>
        </is>
      </c>
    </row>
    <row r="232">
      <c r="B232" s="189" t="n"/>
      <c r="C232" s="189" t="n"/>
      <c r="D232" s="189" t="n"/>
      <c r="E232" s="189" t="n"/>
      <c r="F232" s="189" t="n"/>
      <c r="G232" s="189" t="n"/>
      <c r="H232" s="189" t="n"/>
      <c r="I232" s="189" t="n"/>
      <c r="J232" s="189" t="n"/>
      <c r="K232" s="189" t="n"/>
      <c r="L232" s="189" t="n"/>
      <c r="M232" s="189" t="n"/>
      <c r="N232" s="189">
        <f>B212</f>
        <v/>
      </c>
      <c r="O232" s="189">
        <f>C212</f>
        <v/>
      </c>
      <c r="P232" s="189">
        <f>D212</f>
        <v/>
      </c>
      <c r="Q232" s="189">
        <f>E212</f>
        <v/>
      </c>
      <c r="R232" s="189">
        <f>F212</f>
        <v/>
      </c>
      <c r="S232" s="189">
        <f>G212</f>
        <v/>
      </c>
      <c r="T232" s="189" t="n"/>
      <c r="U232" s="189" t="n"/>
      <c r="V232" s="189" t="n"/>
      <c r="W232" s="189" t="n"/>
      <c r="X232" s="189" t="n"/>
      <c r="Y232" s="189" t="n"/>
      <c r="Z232" s="189" t="n"/>
      <c r="AA232" s="189" t="n"/>
      <c r="AB232" s="189" t="n"/>
      <c r="AC232" s="189" t="n"/>
      <c r="AD232" s="189" t="n"/>
      <c r="AE232" s="189" t="n"/>
      <c r="AF232" s="189" t="n"/>
      <c r="AG232" s="189" t="n"/>
      <c r="AH232" s="189" t="n"/>
      <c r="AI232" s="51" t="inlineStr">
        <is>
          <t>U6θ</t>
        </is>
      </c>
    </row>
    <row r="233">
      <c r="B233" s="189" t="n"/>
      <c r="C233" s="189" t="n"/>
      <c r="D233" s="189" t="n"/>
      <c r="E233" s="189" t="n"/>
      <c r="F233" s="189" t="n"/>
      <c r="G233" s="189" t="n"/>
      <c r="H233" s="189" t="n"/>
      <c r="I233" s="189" t="n"/>
      <c r="J233" s="189" t="n"/>
      <c r="K233" s="189" t="n"/>
      <c r="L233" s="189" t="n"/>
      <c r="M233" s="189" t="n"/>
      <c r="N233" s="189" t="n"/>
      <c r="O233" s="189" t="n"/>
      <c r="P233" s="189" t="n"/>
      <c r="Q233" s="189" t="n"/>
      <c r="R233" s="189" t="n"/>
      <c r="S233" s="189" t="n"/>
      <c r="T233" s="189" t="n"/>
      <c r="U233" s="189" t="n"/>
      <c r="V233" s="189" t="n"/>
      <c r="W233" s="189" t="n"/>
      <c r="X233" s="189" t="n"/>
      <c r="Y233" s="189" t="n"/>
      <c r="Z233" s="189" t="n"/>
      <c r="AA233" s="189" t="n"/>
      <c r="AB233" s="189" t="n"/>
      <c r="AC233" s="189" t="n"/>
      <c r="AD233" s="189" t="n"/>
      <c r="AE233" s="189" t="n"/>
      <c r="AF233" s="189" t="n"/>
      <c r="AG233" s="189" t="n"/>
      <c r="AH233" s="189" t="n"/>
      <c r="AI233" s="51" t="inlineStr">
        <is>
          <t>U7X</t>
        </is>
      </c>
    </row>
    <row r="234">
      <c r="B234" s="189" t="n"/>
      <c r="C234" s="189" t="n"/>
      <c r="D234" s="189" t="n"/>
      <c r="E234" s="189" t="n"/>
      <c r="F234" s="189" t="n"/>
      <c r="G234" s="189" t="n"/>
      <c r="H234" s="189" t="n"/>
      <c r="I234" s="189" t="n"/>
      <c r="J234" s="189" t="n"/>
      <c r="K234" s="189" t="n"/>
      <c r="L234" s="189" t="n"/>
      <c r="M234" s="189" t="n"/>
      <c r="N234" s="189" t="n"/>
      <c r="O234" s="189" t="n"/>
      <c r="P234" s="189" t="n"/>
      <c r="Q234" s="189" t="n"/>
      <c r="R234" s="189" t="n"/>
      <c r="S234" s="189" t="n"/>
      <c r="T234" s="189" t="n"/>
      <c r="U234" s="189" t="n"/>
      <c r="V234" s="189" t="n"/>
      <c r="W234" s="189" t="n"/>
      <c r="X234" s="189" t="n"/>
      <c r="Y234" s="189" t="n"/>
      <c r="Z234" s="189" t="n"/>
      <c r="AA234" s="189" t="n"/>
      <c r="AB234" s="189" t="n"/>
      <c r="AC234" s="189" t="n"/>
      <c r="AD234" s="189" t="n"/>
      <c r="AE234" s="189" t="n"/>
      <c r="AF234" s="189" t="n"/>
      <c r="AG234" s="189" t="n"/>
      <c r="AH234" s="189" t="n"/>
      <c r="AI234" s="51" t="inlineStr">
        <is>
          <t>U7Y</t>
        </is>
      </c>
    </row>
    <row r="235">
      <c r="B235" s="189" t="n"/>
      <c r="C235" s="189" t="n"/>
      <c r="D235" s="189" t="n"/>
      <c r="E235" s="189" t="n"/>
      <c r="F235" s="189" t="n"/>
      <c r="G235" s="189" t="n"/>
      <c r="H235" s="189" t="n"/>
      <c r="I235" s="189" t="n"/>
      <c r="J235" s="189" t="n"/>
      <c r="K235" s="189" t="n"/>
      <c r="L235" s="189" t="n"/>
      <c r="M235" s="189" t="n"/>
      <c r="N235" s="189" t="n"/>
      <c r="O235" s="189" t="n"/>
      <c r="P235" s="189" t="n"/>
      <c r="Q235" s="189" t="n"/>
      <c r="R235" s="189" t="n"/>
      <c r="S235" s="189" t="n"/>
      <c r="T235" s="189" t="n"/>
      <c r="U235" s="189" t="n"/>
      <c r="V235" s="189" t="n"/>
      <c r="W235" s="189" t="n"/>
      <c r="X235" s="189" t="n"/>
      <c r="Y235" s="189" t="n"/>
      <c r="Z235" s="189" t="n"/>
      <c r="AA235" s="189" t="n"/>
      <c r="AB235" s="189" t="n"/>
      <c r="AC235" s="189" t="n"/>
      <c r="AD235" s="189" t="n"/>
      <c r="AE235" s="189" t="n"/>
      <c r="AF235" s="189" t="n"/>
      <c r="AG235" s="189" t="n"/>
      <c r="AH235" s="189" t="n"/>
      <c r="AI235" s="51" t="inlineStr">
        <is>
          <t>U7θ</t>
        </is>
      </c>
    </row>
    <row r="236">
      <c r="B236" s="189" t="n"/>
      <c r="C236" s="189" t="n"/>
      <c r="D236" s="189" t="n"/>
      <c r="E236" s="189" t="n"/>
      <c r="F236" s="189" t="n"/>
      <c r="G236" s="189" t="n"/>
      <c r="H236" s="189" t="n"/>
      <c r="I236" s="189" t="n"/>
      <c r="J236" s="189" t="n"/>
      <c r="K236" s="189" t="n"/>
      <c r="L236" s="189" t="n"/>
      <c r="M236" s="189" t="n"/>
      <c r="N236" s="189" t="n"/>
      <c r="O236" s="189" t="n"/>
      <c r="P236" s="189" t="n"/>
      <c r="Q236" s="189" t="n"/>
      <c r="R236" s="189" t="n"/>
      <c r="S236" s="189" t="n"/>
      <c r="T236" s="189" t="n"/>
      <c r="U236" s="189" t="n"/>
      <c r="V236" s="189" t="n"/>
      <c r="W236" s="189" t="n"/>
      <c r="X236" s="189" t="n"/>
      <c r="Y236" s="189" t="n"/>
      <c r="Z236" s="189" t="n"/>
      <c r="AA236" s="189" t="n"/>
      <c r="AB236" s="189" t="n"/>
      <c r="AC236" s="189" t="n"/>
      <c r="AD236" s="189" t="n"/>
      <c r="AE236" s="189" t="n"/>
      <c r="AF236" s="189" t="n"/>
      <c r="AG236" s="189" t="n"/>
      <c r="AH236" s="189" t="n"/>
      <c r="AI236" s="51" t="inlineStr">
        <is>
          <t>U8X</t>
        </is>
      </c>
    </row>
    <row r="237">
      <c r="B237" s="189" t="n"/>
      <c r="C237" s="189" t="n"/>
      <c r="D237" s="189" t="n"/>
      <c r="E237" s="189" t="n"/>
      <c r="F237" s="189" t="n"/>
      <c r="G237" s="189" t="n"/>
      <c r="H237" s="189" t="n"/>
      <c r="I237" s="189" t="n"/>
      <c r="J237" s="189" t="n"/>
      <c r="K237" s="189" t="n"/>
      <c r="L237" s="189" t="n"/>
      <c r="M237" s="189" t="n"/>
      <c r="N237" s="189" t="n"/>
      <c r="O237" s="189" t="n"/>
      <c r="P237" s="189" t="n"/>
      <c r="Q237" s="189" t="n"/>
      <c r="R237" s="189" t="n"/>
      <c r="S237" s="189" t="n"/>
      <c r="T237" s="189" t="n"/>
      <c r="U237" s="189" t="n"/>
      <c r="V237" s="189" t="n"/>
      <c r="W237" s="189" t="n"/>
      <c r="X237" s="189" t="n"/>
      <c r="Y237" s="189" t="n"/>
      <c r="Z237" s="189" t="n"/>
      <c r="AA237" s="189" t="n"/>
      <c r="AB237" s="189" t="n"/>
      <c r="AC237" s="189" t="n"/>
      <c r="AD237" s="189" t="n"/>
      <c r="AE237" s="189" t="n"/>
      <c r="AF237" s="189" t="n"/>
      <c r="AG237" s="189" t="n"/>
      <c r="AH237" s="189" t="n"/>
      <c r="AI237" s="51" t="inlineStr">
        <is>
          <t>U8Y</t>
        </is>
      </c>
    </row>
    <row r="238">
      <c r="B238" s="189" t="n"/>
      <c r="C238" s="189" t="n"/>
      <c r="D238" s="189" t="n"/>
      <c r="E238" s="189" t="n"/>
      <c r="F238" s="189" t="n"/>
      <c r="G238" s="189" t="n"/>
      <c r="H238" s="189" t="n"/>
      <c r="I238" s="189" t="n"/>
      <c r="J238" s="189" t="n"/>
      <c r="K238" s="189" t="n"/>
      <c r="L238" s="189" t="n"/>
      <c r="M238" s="189" t="n"/>
      <c r="N238" s="189" t="n"/>
      <c r="O238" s="189" t="n"/>
      <c r="P238" s="189" t="n"/>
      <c r="Q238" s="189" t="n"/>
      <c r="R238" s="189" t="n"/>
      <c r="S238" s="189" t="n"/>
      <c r="T238" s="189" t="n"/>
      <c r="U238" s="189" t="n"/>
      <c r="V238" s="189" t="n"/>
      <c r="W238" s="189" t="n"/>
      <c r="X238" s="189" t="n"/>
      <c r="Y238" s="189" t="n"/>
      <c r="Z238" s="189" t="n"/>
      <c r="AA238" s="189" t="n"/>
      <c r="AB238" s="189" t="n"/>
      <c r="AC238" s="189" t="n"/>
      <c r="AD238" s="189" t="n"/>
      <c r="AE238" s="189" t="n"/>
      <c r="AF238" s="189" t="n"/>
      <c r="AG238" s="189" t="n"/>
      <c r="AH238" s="189" t="n"/>
      <c r="AI238" s="51" t="inlineStr">
        <is>
          <t>U8θ</t>
        </is>
      </c>
    </row>
    <row r="239">
      <c r="B239" s="189" t="n"/>
      <c r="C239" s="189" t="n"/>
      <c r="D239" s="189" t="n"/>
      <c r="E239" s="189" t="n"/>
      <c r="F239" s="189" t="n"/>
      <c r="G239" s="189" t="n"/>
      <c r="H239" s="189" t="n"/>
      <c r="I239" s="189" t="n"/>
      <c r="J239" s="189" t="n"/>
      <c r="K239" s="189" t="n"/>
      <c r="L239" s="189" t="n"/>
      <c r="M239" s="189" t="n"/>
      <c r="N239" s="189" t="n"/>
      <c r="O239" s="189" t="n"/>
      <c r="P239" s="189" t="n"/>
      <c r="Q239" s="189" t="n"/>
      <c r="R239" s="189" t="n"/>
      <c r="S239" s="189" t="n"/>
      <c r="T239" s="189" t="n"/>
      <c r="U239" s="189" t="n"/>
      <c r="V239" s="189" t="n"/>
      <c r="W239" s="189" t="n"/>
      <c r="X239" s="189" t="n"/>
      <c r="Y239" s="189" t="n"/>
      <c r="Z239" s="189" t="n"/>
      <c r="AA239" s="189" t="n"/>
      <c r="AB239" s="189" t="n"/>
      <c r="AC239" s="189" t="n"/>
      <c r="AD239" s="189" t="n"/>
      <c r="AE239" s="189" t="n"/>
      <c r="AF239" s="189" t="n"/>
      <c r="AG239" s="189" t="n"/>
      <c r="AH239" s="189" t="n"/>
      <c r="AI239" s="51" t="inlineStr">
        <is>
          <t>U9X</t>
        </is>
      </c>
    </row>
    <row r="240">
      <c r="B240" s="189" t="n"/>
      <c r="C240" s="189" t="n"/>
      <c r="D240" s="189" t="n"/>
      <c r="E240" s="189" t="n"/>
      <c r="F240" s="189" t="n"/>
      <c r="G240" s="189" t="n"/>
      <c r="H240" s="189" t="n"/>
      <c r="I240" s="189" t="n"/>
      <c r="J240" s="189" t="n"/>
      <c r="K240" s="189" t="n"/>
      <c r="L240" s="189" t="n"/>
      <c r="M240" s="189" t="n"/>
      <c r="N240" s="189" t="n"/>
      <c r="O240" s="189" t="n"/>
      <c r="P240" s="189" t="n"/>
      <c r="Q240" s="189" t="n"/>
      <c r="R240" s="189" t="n"/>
      <c r="S240" s="189" t="n"/>
      <c r="T240" s="189" t="n"/>
      <c r="U240" s="189" t="n"/>
      <c r="V240" s="189" t="n"/>
      <c r="W240" s="189" t="n"/>
      <c r="X240" s="189" t="n"/>
      <c r="Y240" s="189" t="n"/>
      <c r="Z240" s="189" t="n"/>
      <c r="AA240" s="189" t="n"/>
      <c r="AB240" s="189" t="n"/>
      <c r="AC240" s="189" t="n"/>
      <c r="AD240" s="189" t="n"/>
      <c r="AE240" s="189" t="n"/>
      <c r="AF240" s="189" t="n"/>
      <c r="AG240" s="189" t="n"/>
      <c r="AH240" s="189" t="n"/>
      <c r="AI240" s="51" t="inlineStr">
        <is>
          <t>U9Y</t>
        </is>
      </c>
    </row>
    <row r="241">
      <c r="B241" s="189" t="n"/>
      <c r="C241" s="189" t="n"/>
      <c r="D241" s="189" t="n"/>
      <c r="E241" s="189" t="n"/>
      <c r="F241" s="189" t="n"/>
      <c r="G241" s="189" t="n"/>
      <c r="H241" s="189" t="n"/>
      <c r="I241" s="189" t="n"/>
      <c r="J241" s="189" t="n"/>
      <c r="K241" s="189" t="n"/>
      <c r="L241" s="189" t="n"/>
      <c r="M241" s="189" t="n"/>
      <c r="N241" s="189" t="n"/>
      <c r="O241" s="189" t="n"/>
      <c r="P241" s="189" t="n"/>
      <c r="Q241" s="189" t="n"/>
      <c r="R241" s="189" t="n"/>
      <c r="S241" s="189" t="n"/>
      <c r="T241" s="189" t="n"/>
      <c r="U241" s="189" t="n"/>
      <c r="V241" s="189" t="n"/>
      <c r="W241" s="189" t="n"/>
      <c r="X241" s="189" t="n"/>
      <c r="Y241" s="189" t="n"/>
      <c r="Z241" s="189" t="n"/>
      <c r="AA241" s="189" t="n"/>
      <c r="AB241" s="189" t="n"/>
      <c r="AC241" s="189" t="n"/>
      <c r="AD241" s="189" t="n"/>
      <c r="AE241" s="189" t="n"/>
      <c r="AF241" s="189" t="n"/>
      <c r="AG241" s="189" t="n"/>
      <c r="AH241" s="189" t="n"/>
      <c r="AI241" s="51" t="inlineStr">
        <is>
          <t>U9θ</t>
        </is>
      </c>
    </row>
    <row r="242">
      <c r="B242" s="189" t="n"/>
      <c r="C242" s="189" t="n"/>
      <c r="D242" s="189" t="n"/>
      <c r="E242" s="189" t="n"/>
      <c r="F242" s="189" t="n"/>
      <c r="G242" s="189" t="n"/>
      <c r="H242" s="189" t="n"/>
      <c r="I242" s="189" t="n"/>
      <c r="J242" s="189" t="n"/>
      <c r="K242" s="189" t="n"/>
      <c r="L242" s="189" t="n"/>
      <c r="M242" s="189" t="n"/>
      <c r="N242" s="189" t="n"/>
      <c r="O242" s="189" t="n"/>
      <c r="P242" s="189" t="n"/>
      <c r="Q242" s="189" t="n"/>
      <c r="R242" s="189" t="n"/>
      <c r="S242" s="189" t="n"/>
      <c r="T242" s="189" t="n"/>
      <c r="U242" s="189" t="n"/>
      <c r="V242" s="189" t="n"/>
      <c r="W242" s="189" t="n"/>
      <c r="X242" s="189" t="n"/>
      <c r="Y242" s="189" t="n"/>
      <c r="Z242" s="189" t="n"/>
      <c r="AA242" s="189" t="n"/>
      <c r="AB242" s="189" t="n"/>
      <c r="AC242" s="189" t="n"/>
      <c r="AD242" s="189" t="n"/>
      <c r="AE242" s="189" t="n"/>
      <c r="AF242" s="189" t="n"/>
      <c r="AG242" s="189" t="n"/>
      <c r="AH242" s="189" t="n"/>
      <c r="AI242" s="51" t="inlineStr">
        <is>
          <t>U10X</t>
        </is>
      </c>
    </row>
    <row r="243">
      <c r="B243" s="189" t="n"/>
      <c r="C243" s="189" t="n"/>
      <c r="D243" s="189" t="n"/>
      <c r="E243" s="189" t="n"/>
      <c r="F243" s="189" t="n"/>
      <c r="G243" s="189" t="n"/>
      <c r="H243" s="189" t="n"/>
      <c r="I243" s="189" t="n"/>
      <c r="J243" s="189" t="n"/>
      <c r="K243" s="189" t="n"/>
      <c r="L243" s="189" t="n"/>
      <c r="M243" s="189" t="n"/>
      <c r="N243" s="189" t="n"/>
      <c r="O243" s="189" t="n"/>
      <c r="P243" s="189" t="n"/>
      <c r="Q243" s="189" t="n"/>
      <c r="R243" s="189" t="n"/>
      <c r="S243" s="189" t="n"/>
      <c r="T243" s="189" t="n"/>
      <c r="U243" s="189" t="n"/>
      <c r="V243" s="189" t="n"/>
      <c r="W243" s="189" t="n"/>
      <c r="X243" s="189" t="n"/>
      <c r="Y243" s="189" t="n"/>
      <c r="Z243" s="189" t="n"/>
      <c r="AA243" s="189" t="n"/>
      <c r="AB243" s="189" t="n"/>
      <c r="AC243" s="189" t="n"/>
      <c r="AD243" s="189" t="n"/>
      <c r="AE243" s="189" t="n"/>
      <c r="AF243" s="189" t="n"/>
      <c r="AG243" s="189" t="n"/>
      <c r="AH243" s="189" t="n"/>
      <c r="AI243" s="51" t="inlineStr">
        <is>
          <t>U10Y</t>
        </is>
      </c>
    </row>
    <row r="244">
      <c r="B244" s="189" t="n"/>
      <c r="C244" s="189" t="n"/>
      <c r="D244" s="189" t="n"/>
      <c r="E244" s="189" t="n"/>
      <c r="F244" s="189" t="n"/>
      <c r="G244" s="189" t="n"/>
      <c r="H244" s="189" t="n"/>
      <c r="I244" s="189" t="n"/>
      <c r="J244" s="189" t="n"/>
      <c r="K244" s="189" t="n"/>
      <c r="L244" s="189" t="n"/>
      <c r="M244" s="189" t="n"/>
      <c r="N244" s="189" t="n"/>
      <c r="O244" s="189" t="n"/>
      <c r="P244" s="189" t="n"/>
      <c r="Q244" s="189" t="n"/>
      <c r="R244" s="189" t="n"/>
      <c r="S244" s="189" t="n"/>
      <c r="T244" s="189" t="n"/>
      <c r="U244" s="189" t="n"/>
      <c r="V244" s="189" t="n"/>
      <c r="W244" s="189" t="n"/>
      <c r="X244" s="189" t="n"/>
      <c r="Y244" s="189" t="n"/>
      <c r="Z244" s="189" t="n"/>
      <c r="AA244" s="189" t="n"/>
      <c r="AB244" s="189" t="n"/>
      <c r="AC244" s="189" t="n"/>
      <c r="AD244" s="189" t="n"/>
      <c r="AE244" s="189" t="n"/>
      <c r="AF244" s="189" t="n"/>
      <c r="AG244" s="189" t="n"/>
      <c r="AH244" s="189" t="n"/>
      <c r="AI244" s="51" t="inlineStr">
        <is>
          <t>U10θ</t>
        </is>
      </c>
    </row>
    <row r="245">
      <c r="B245" s="189" t="n"/>
      <c r="C245" s="189" t="n"/>
      <c r="D245" s="189" t="n"/>
      <c r="E245" s="189" t="n"/>
      <c r="F245" s="189" t="n"/>
      <c r="G245" s="189" t="n"/>
      <c r="H245" s="189" t="n"/>
      <c r="I245" s="189" t="n"/>
      <c r="J245" s="189" t="n"/>
      <c r="K245" s="189" t="n"/>
      <c r="L245" s="189" t="n"/>
      <c r="M245" s="189" t="n"/>
      <c r="N245" s="189" t="n"/>
      <c r="O245" s="189" t="n"/>
      <c r="P245" s="189" t="n"/>
      <c r="Q245" s="189" t="n"/>
      <c r="R245" s="189" t="n"/>
      <c r="S245" s="189" t="n"/>
      <c r="T245" s="189" t="n"/>
      <c r="U245" s="189" t="n"/>
      <c r="V245" s="189" t="n"/>
      <c r="W245" s="189" t="n"/>
      <c r="X245" s="189" t="n"/>
      <c r="Y245" s="189" t="n"/>
      <c r="Z245" s="189" t="n"/>
      <c r="AA245" s="189" t="n"/>
      <c r="AB245" s="189" t="n"/>
      <c r="AC245" s="189" t="n"/>
      <c r="AD245" s="189" t="n"/>
      <c r="AE245" s="189" t="n"/>
      <c r="AF245" s="189" t="n"/>
      <c r="AG245" s="189" t="n"/>
      <c r="AH245" s="189" t="n"/>
      <c r="AI245" s="51" t="inlineStr">
        <is>
          <t>U11X</t>
        </is>
      </c>
    </row>
    <row r="246">
      <c r="B246" s="189" t="n"/>
      <c r="C246" s="189" t="n"/>
      <c r="D246" s="189" t="n"/>
      <c r="E246" s="189" t="n"/>
      <c r="F246" s="189" t="n"/>
      <c r="G246" s="189" t="n"/>
      <c r="H246" s="189" t="n"/>
      <c r="I246" s="189" t="n"/>
      <c r="J246" s="189" t="n"/>
      <c r="K246" s="189" t="n"/>
      <c r="L246" s="189" t="n"/>
      <c r="M246" s="189" t="n"/>
      <c r="N246" s="189" t="n"/>
      <c r="O246" s="189" t="n"/>
      <c r="P246" s="189" t="n"/>
      <c r="Q246" s="189" t="n"/>
      <c r="R246" s="189" t="n"/>
      <c r="S246" s="189" t="n"/>
      <c r="T246" s="189" t="n"/>
      <c r="U246" s="189" t="n"/>
      <c r="V246" s="189" t="n"/>
      <c r="W246" s="189" t="n"/>
      <c r="X246" s="189" t="n"/>
      <c r="Y246" s="189" t="n"/>
      <c r="Z246" s="189" t="n"/>
      <c r="AA246" s="189" t="n"/>
      <c r="AB246" s="189" t="n"/>
      <c r="AC246" s="189" t="n"/>
      <c r="AD246" s="189" t="n"/>
      <c r="AE246" s="189" t="n"/>
      <c r="AF246" s="189" t="n"/>
      <c r="AG246" s="189" t="n"/>
      <c r="AH246" s="189" t="n"/>
      <c r="AI246" s="51" t="inlineStr">
        <is>
          <t>U11Y</t>
        </is>
      </c>
    </row>
    <row r="247">
      <c r="B247" s="189" t="n"/>
      <c r="C247" s="189" t="n"/>
      <c r="D247" s="189" t="n"/>
      <c r="E247" s="189" t="n"/>
      <c r="F247" s="189" t="n"/>
      <c r="G247" s="189" t="n"/>
      <c r="H247" s="189" t="n"/>
      <c r="I247" s="189" t="n"/>
      <c r="J247" s="189" t="n"/>
      <c r="K247" s="189" t="n"/>
      <c r="L247" s="189" t="n"/>
      <c r="M247" s="189" t="n"/>
      <c r="N247" s="189" t="n"/>
      <c r="O247" s="189" t="n"/>
      <c r="P247" s="189" t="n"/>
      <c r="Q247" s="189" t="n"/>
      <c r="R247" s="189" t="n"/>
      <c r="S247" s="189" t="n"/>
      <c r="T247" s="189" t="n"/>
      <c r="U247" s="189" t="n"/>
      <c r="V247" s="189" t="n"/>
      <c r="W247" s="189" t="n"/>
      <c r="X247" s="189" t="n"/>
      <c r="Y247" s="189" t="n"/>
      <c r="Z247" s="189" t="n"/>
      <c r="AA247" s="189" t="n"/>
      <c r="AB247" s="189" t="n"/>
      <c r="AC247" s="189" t="n"/>
      <c r="AD247" s="189" t="n"/>
      <c r="AE247" s="189" t="n"/>
      <c r="AF247" s="189" t="n"/>
      <c r="AG247" s="189" t="n"/>
      <c r="AH247" s="189" t="n"/>
      <c r="AI247" s="51" t="inlineStr">
        <is>
          <t>U11θ</t>
        </is>
      </c>
    </row>
    <row r="249">
      <c r="B249" s="51">
        <f>IF(C27="","", CONCATENATE("U",C27,C$21))</f>
        <v/>
      </c>
      <c r="C249" s="51">
        <f>IF(D27="","", CONCATENATE("U",D27,D$21))</f>
        <v/>
      </c>
      <c r="D249" s="51">
        <f>IF(E27="","", CONCATENATE("U",E27,E$21))</f>
        <v/>
      </c>
      <c r="E249" s="51">
        <f>IF(F27="","", CONCATENATE("U",F27,F$21))</f>
        <v/>
      </c>
      <c r="F249" s="51">
        <f>IF(G27="","", CONCATENATE("U",G27,G$21))</f>
        <v/>
      </c>
      <c r="G249" s="51">
        <f>IF(H27="","", CONCATENATE("U",H27,H$21))</f>
        <v/>
      </c>
    </row>
    <row r="250">
      <c r="B250" s="8">
        <f>IF(I14="", 0, O14*J14*J14+P14*K14*K14)</f>
        <v/>
      </c>
      <c r="C250" s="189">
        <f>IF(I14="", 0, (O14-P14)*(J14*K14))</f>
        <v/>
      </c>
      <c r="D250" s="189">
        <f>IF(I14="", 0, -Q14*K14)</f>
        <v/>
      </c>
      <c r="E250" s="189">
        <f>-B250</f>
        <v/>
      </c>
      <c r="F250" s="189">
        <f>-C250</f>
        <v/>
      </c>
      <c r="G250" s="189">
        <f>D250</f>
        <v/>
      </c>
      <c r="H250" s="51">
        <f>B249</f>
        <v/>
      </c>
    </row>
    <row r="251">
      <c r="B251" s="189">
        <f>C250</f>
        <v/>
      </c>
      <c r="C251" s="8">
        <f>IF(I14="", 0, O14*K14*K14+P14*J14*J14)</f>
        <v/>
      </c>
      <c r="D251" s="189">
        <f>IF(I14="", 0, Q14*J14)</f>
        <v/>
      </c>
      <c r="E251" s="189">
        <f>-B251</f>
        <v/>
      </c>
      <c r="F251" s="189">
        <f>-C251</f>
        <v/>
      </c>
      <c r="G251" s="189">
        <f>D251</f>
        <v/>
      </c>
      <c r="H251" s="51">
        <f>C249</f>
        <v/>
      </c>
    </row>
    <row r="252">
      <c r="A252" s="118" t="inlineStr">
        <is>
          <t>K6 =</t>
        </is>
      </c>
      <c r="B252" s="189">
        <f>D250</f>
        <v/>
      </c>
      <c r="C252" s="189">
        <f>D251</f>
        <v/>
      </c>
      <c r="D252" s="8">
        <f>IF(I14="", 0, R14)</f>
        <v/>
      </c>
      <c r="E252" s="189">
        <f>-B252</f>
        <v/>
      </c>
      <c r="F252" s="189">
        <f>-C252</f>
        <v/>
      </c>
      <c r="G252" s="189">
        <f>IF(I14="", 0, S14)</f>
        <v/>
      </c>
      <c r="H252" s="51">
        <f>D249</f>
        <v/>
      </c>
    </row>
    <row r="253">
      <c r="B253" s="189">
        <f>E250</f>
        <v/>
      </c>
      <c r="C253" s="189">
        <f>E251</f>
        <v/>
      </c>
      <c r="D253" s="189">
        <f>E252</f>
        <v/>
      </c>
      <c r="E253" s="8">
        <f>B250</f>
        <v/>
      </c>
      <c r="F253" s="189">
        <f>C250</f>
        <v/>
      </c>
      <c r="G253" s="189">
        <f>-D250</f>
        <v/>
      </c>
      <c r="H253" s="51">
        <f>E249</f>
        <v/>
      </c>
    </row>
    <row r="254">
      <c r="B254" s="189">
        <f>F250</f>
        <v/>
      </c>
      <c r="C254" s="189">
        <f>F251</f>
        <v/>
      </c>
      <c r="D254" s="189">
        <f>F252</f>
        <v/>
      </c>
      <c r="E254" s="189">
        <f>F253</f>
        <v/>
      </c>
      <c r="F254" s="8">
        <f>C251</f>
        <v/>
      </c>
      <c r="G254" s="189">
        <f>-D251</f>
        <v/>
      </c>
      <c r="H254" s="51">
        <f>F249</f>
        <v/>
      </c>
    </row>
    <row r="255">
      <c r="B255" s="189">
        <f>G250</f>
        <v/>
      </c>
      <c r="C255" s="189">
        <f>G251</f>
        <v/>
      </c>
      <c r="D255" s="189">
        <f>G252</f>
        <v/>
      </c>
      <c r="E255" s="189">
        <f>G253</f>
        <v/>
      </c>
      <c r="F255" s="189">
        <f>G254</f>
        <v/>
      </c>
      <c r="G255" s="8">
        <f>D252</f>
        <v/>
      </c>
      <c r="H255" s="51">
        <f>G249</f>
        <v/>
      </c>
    </row>
    <row r="257">
      <c r="B257" s="51" t="inlineStr">
        <is>
          <t>U1X</t>
        </is>
      </c>
      <c r="C257" s="51" t="inlineStr">
        <is>
          <t>U1Y</t>
        </is>
      </c>
      <c r="D257" s="51" t="inlineStr">
        <is>
          <t>U1θ</t>
        </is>
      </c>
      <c r="E257" s="51" t="inlineStr">
        <is>
          <t>U2X</t>
        </is>
      </c>
      <c r="F257" s="51" t="inlineStr">
        <is>
          <t>U2Y</t>
        </is>
      </c>
      <c r="G257" s="51" t="inlineStr">
        <is>
          <t>U2θ</t>
        </is>
      </c>
      <c r="H257" s="51" t="inlineStr">
        <is>
          <t>U3X</t>
        </is>
      </c>
      <c r="I257" s="51" t="inlineStr">
        <is>
          <t>U3Y</t>
        </is>
      </c>
      <c r="J257" s="51" t="inlineStr">
        <is>
          <t>U3θ</t>
        </is>
      </c>
      <c r="K257" s="51" t="inlineStr">
        <is>
          <t>U4X</t>
        </is>
      </c>
      <c r="L257" s="51" t="inlineStr">
        <is>
          <t>U4Y</t>
        </is>
      </c>
      <c r="M257" s="51" t="inlineStr">
        <is>
          <t>U4θ</t>
        </is>
      </c>
      <c r="N257" s="51" t="inlineStr">
        <is>
          <t>U5X</t>
        </is>
      </c>
      <c r="O257" s="51" t="inlineStr">
        <is>
          <t>U5Y</t>
        </is>
      </c>
      <c r="P257" s="51" t="inlineStr">
        <is>
          <t>U5θ</t>
        </is>
      </c>
      <c r="Q257" s="51" t="inlineStr">
        <is>
          <t>U6X</t>
        </is>
      </c>
      <c r="R257" s="51" t="inlineStr">
        <is>
          <t>U6Y</t>
        </is>
      </c>
      <c r="S257" s="51" t="inlineStr">
        <is>
          <t>U6θ</t>
        </is>
      </c>
      <c r="T257" s="51" t="inlineStr">
        <is>
          <t>U7X</t>
        </is>
      </c>
      <c r="U257" s="51" t="inlineStr">
        <is>
          <t>U7Y</t>
        </is>
      </c>
      <c r="V257" s="51" t="inlineStr">
        <is>
          <t>U7θ</t>
        </is>
      </c>
      <c r="W257" s="51" t="inlineStr">
        <is>
          <t>U8X</t>
        </is>
      </c>
      <c r="X257" s="51" t="inlineStr">
        <is>
          <t>U8Y</t>
        </is>
      </c>
      <c r="Y257" s="51" t="inlineStr">
        <is>
          <t>U8θ</t>
        </is>
      </c>
      <c r="Z257" s="51" t="inlineStr">
        <is>
          <t>U9X</t>
        </is>
      </c>
      <c r="AA257" s="51" t="inlineStr">
        <is>
          <t>U9Y</t>
        </is>
      </c>
      <c r="AB257" s="51" t="inlineStr">
        <is>
          <t>U9θ</t>
        </is>
      </c>
      <c r="AC257" s="51" t="inlineStr">
        <is>
          <t>U10X</t>
        </is>
      </c>
      <c r="AD257" s="51" t="inlineStr">
        <is>
          <t>U10Y</t>
        </is>
      </c>
      <c r="AE257" s="51" t="inlineStr">
        <is>
          <t>U10θ</t>
        </is>
      </c>
      <c r="AF257" s="51" t="inlineStr">
        <is>
          <t>U11X</t>
        </is>
      </c>
      <c r="AG257" s="51" t="inlineStr">
        <is>
          <t>U11Y</t>
        </is>
      </c>
      <c r="AH257" s="51" t="inlineStr">
        <is>
          <t>U11θ</t>
        </is>
      </c>
    </row>
    <row r="258">
      <c r="B258" s="189" t="n"/>
      <c r="C258" s="189" t="n"/>
      <c r="D258" s="189" t="n"/>
      <c r="E258" s="189" t="n"/>
      <c r="F258" s="189" t="n"/>
      <c r="G258" s="189" t="n"/>
      <c r="H258" s="189" t="n"/>
      <c r="I258" s="189" t="n"/>
      <c r="J258" s="189" t="n"/>
      <c r="K258" s="189" t="n"/>
      <c r="L258" s="189" t="n"/>
      <c r="M258" s="189" t="n"/>
      <c r="N258" s="189" t="n"/>
      <c r="O258" s="189" t="n"/>
      <c r="P258" s="189" t="n"/>
      <c r="Q258" s="189" t="n"/>
      <c r="R258" s="189" t="n"/>
      <c r="S258" s="189" t="n"/>
      <c r="T258" s="189" t="n"/>
      <c r="U258" s="189" t="n"/>
      <c r="V258" s="189" t="n"/>
      <c r="W258" s="189" t="n"/>
      <c r="X258" s="189" t="n"/>
      <c r="Y258" s="189" t="n"/>
      <c r="Z258" s="189" t="n"/>
      <c r="AA258" s="189" t="n"/>
      <c r="AB258" s="189" t="n"/>
      <c r="AC258" s="189" t="n"/>
      <c r="AD258" s="189" t="n"/>
      <c r="AE258" s="189" t="n"/>
      <c r="AF258" s="189" t="n"/>
      <c r="AG258" s="189" t="n"/>
      <c r="AH258" s="189" t="n"/>
      <c r="AI258" s="51" t="inlineStr">
        <is>
          <t>U1X</t>
        </is>
      </c>
    </row>
    <row r="259">
      <c r="B259" s="189" t="n"/>
      <c r="C259" s="189" t="n"/>
      <c r="D259" s="189" t="n"/>
      <c r="E259" s="189" t="n"/>
      <c r="F259" s="189" t="n"/>
      <c r="G259" s="189" t="n"/>
      <c r="H259" s="189" t="n"/>
      <c r="I259" s="189" t="n"/>
      <c r="J259" s="189" t="n"/>
      <c r="K259" s="189" t="n"/>
      <c r="L259" s="189" t="n"/>
      <c r="M259" s="189" t="n"/>
      <c r="N259" s="189" t="n"/>
      <c r="O259" s="189" t="n"/>
      <c r="P259" s="189" t="n"/>
      <c r="Q259" s="189" t="n"/>
      <c r="R259" s="189" t="n"/>
      <c r="S259" s="189" t="n"/>
      <c r="T259" s="189" t="n"/>
      <c r="U259" s="189" t="n"/>
      <c r="V259" s="189" t="n"/>
      <c r="W259" s="189" t="n"/>
      <c r="X259" s="189" t="n"/>
      <c r="Y259" s="189" t="n"/>
      <c r="Z259" s="189" t="n"/>
      <c r="AA259" s="189" t="n"/>
      <c r="AB259" s="189" t="n"/>
      <c r="AC259" s="189" t="n"/>
      <c r="AD259" s="189" t="n"/>
      <c r="AE259" s="189" t="n"/>
      <c r="AF259" s="189" t="n"/>
      <c r="AG259" s="189" t="n"/>
      <c r="AH259" s="189" t="n"/>
      <c r="AI259" s="51" t="inlineStr">
        <is>
          <t>U1Y</t>
        </is>
      </c>
    </row>
    <row r="260">
      <c r="B260" s="189" t="n"/>
      <c r="C260" s="189" t="n"/>
      <c r="D260" s="189" t="n"/>
      <c r="E260" s="189" t="n"/>
      <c r="F260" s="189" t="n"/>
      <c r="G260" s="189" t="n"/>
      <c r="H260" s="189" t="n"/>
      <c r="I260" s="189" t="n"/>
      <c r="J260" s="189" t="n"/>
      <c r="K260" s="189" t="n"/>
      <c r="L260" s="189" t="n"/>
      <c r="M260" s="189" t="n"/>
      <c r="N260" s="189" t="n"/>
      <c r="O260" s="189" t="n"/>
      <c r="P260" s="189" t="n"/>
      <c r="Q260" s="189" t="n"/>
      <c r="R260" s="189" t="n"/>
      <c r="S260" s="189" t="n"/>
      <c r="T260" s="189" t="n"/>
      <c r="U260" s="189" t="n"/>
      <c r="V260" s="189" t="n"/>
      <c r="W260" s="189" t="n"/>
      <c r="X260" s="189" t="n"/>
      <c r="Y260" s="189" t="n"/>
      <c r="Z260" s="189" t="n"/>
      <c r="AA260" s="189" t="n"/>
      <c r="AB260" s="189" t="n"/>
      <c r="AC260" s="189" t="n"/>
      <c r="AD260" s="189" t="n"/>
      <c r="AE260" s="189" t="n"/>
      <c r="AF260" s="189" t="n"/>
      <c r="AG260" s="189" t="n"/>
      <c r="AH260" s="189" t="n"/>
      <c r="AI260" s="51" t="inlineStr">
        <is>
          <t>U1θ</t>
        </is>
      </c>
    </row>
    <row r="261">
      <c r="B261" s="189" t="n"/>
      <c r="C261" s="189" t="n"/>
      <c r="D261" s="189" t="n"/>
      <c r="E261" s="189" t="n"/>
      <c r="F261" s="189" t="n"/>
      <c r="G261" s="189" t="n"/>
      <c r="H261" s="189" t="n"/>
      <c r="I261" s="189" t="n"/>
      <c r="J261" s="189" t="n"/>
      <c r="K261" s="189" t="n"/>
      <c r="L261" s="189" t="n"/>
      <c r="M261" s="189" t="n"/>
      <c r="N261" s="189" t="n"/>
      <c r="O261" s="189" t="n"/>
      <c r="P261" s="189" t="n"/>
      <c r="Q261" s="189" t="n"/>
      <c r="R261" s="189" t="n"/>
      <c r="S261" s="189" t="n"/>
      <c r="T261" s="189" t="n"/>
      <c r="U261" s="189" t="n"/>
      <c r="V261" s="189" t="n"/>
      <c r="W261" s="189" t="n"/>
      <c r="X261" s="189" t="n"/>
      <c r="Y261" s="189" t="n"/>
      <c r="Z261" s="189" t="n"/>
      <c r="AA261" s="189" t="n"/>
      <c r="AB261" s="189" t="n"/>
      <c r="AC261" s="189" t="n"/>
      <c r="AD261" s="189" t="n"/>
      <c r="AE261" s="189" t="n"/>
      <c r="AF261" s="189" t="n"/>
      <c r="AG261" s="189" t="n"/>
      <c r="AH261" s="189" t="n"/>
      <c r="AI261" s="51" t="inlineStr">
        <is>
          <t>U2X</t>
        </is>
      </c>
    </row>
    <row r="262">
      <c r="B262" s="189" t="n"/>
      <c r="C262" s="189" t="n"/>
      <c r="D262" s="189" t="n"/>
      <c r="E262" s="189" t="n"/>
      <c r="F262" s="189" t="n"/>
      <c r="G262" s="189" t="n"/>
      <c r="H262" s="189" t="n"/>
      <c r="I262" s="189" t="n"/>
      <c r="J262" s="189" t="n"/>
      <c r="K262" s="189" t="n"/>
      <c r="L262" s="189" t="n"/>
      <c r="M262" s="189" t="n"/>
      <c r="N262" s="189" t="n"/>
      <c r="O262" s="189" t="n"/>
      <c r="P262" s="189" t="n"/>
      <c r="Q262" s="189" t="n"/>
      <c r="R262" s="189" t="n"/>
      <c r="S262" s="189" t="n"/>
      <c r="T262" s="189" t="n"/>
      <c r="U262" s="189" t="n"/>
      <c r="V262" s="189" t="n"/>
      <c r="W262" s="189" t="n"/>
      <c r="X262" s="189" t="n"/>
      <c r="Y262" s="189" t="n"/>
      <c r="Z262" s="189" t="n"/>
      <c r="AA262" s="189" t="n"/>
      <c r="AB262" s="189" t="n"/>
      <c r="AC262" s="189" t="n"/>
      <c r="AD262" s="189" t="n"/>
      <c r="AE262" s="189" t="n"/>
      <c r="AF262" s="189" t="n"/>
      <c r="AG262" s="189" t="n"/>
      <c r="AH262" s="189" t="n"/>
      <c r="AI262" s="51" t="inlineStr">
        <is>
          <t>U2Y</t>
        </is>
      </c>
    </row>
    <row r="263">
      <c r="B263" s="189" t="n"/>
      <c r="C263" s="189" t="n"/>
      <c r="D263" s="189" t="n"/>
      <c r="E263" s="189" t="n"/>
      <c r="F263" s="189" t="n"/>
      <c r="G263" s="189" t="n"/>
      <c r="H263" s="189" t="n"/>
      <c r="I263" s="189" t="n"/>
      <c r="J263" s="189" t="n"/>
      <c r="K263" s="189" t="n"/>
      <c r="L263" s="189" t="n"/>
      <c r="M263" s="189" t="n"/>
      <c r="N263" s="189" t="n"/>
      <c r="O263" s="189" t="n"/>
      <c r="P263" s="189" t="n"/>
      <c r="Q263" s="189" t="n"/>
      <c r="R263" s="189" t="n"/>
      <c r="S263" s="189" t="n"/>
      <c r="T263" s="189" t="n"/>
      <c r="U263" s="189" t="n"/>
      <c r="V263" s="189" t="n"/>
      <c r="W263" s="189" t="n"/>
      <c r="X263" s="189" t="n"/>
      <c r="Y263" s="189" t="n"/>
      <c r="Z263" s="189" t="n"/>
      <c r="AA263" s="189" t="n"/>
      <c r="AB263" s="189" t="n"/>
      <c r="AC263" s="189" t="n"/>
      <c r="AD263" s="189" t="n"/>
      <c r="AE263" s="189" t="n"/>
      <c r="AF263" s="189" t="n"/>
      <c r="AG263" s="189" t="n"/>
      <c r="AH263" s="189" t="n"/>
      <c r="AI263" s="51" t="inlineStr">
        <is>
          <t>U2θ</t>
        </is>
      </c>
    </row>
    <row r="264">
      <c r="B264" s="189" t="n"/>
      <c r="C264" s="189" t="n"/>
      <c r="D264" s="189" t="n"/>
      <c r="E264" s="189" t="n"/>
      <c r="F264" s="189" t="n"/>
      <c r="G264" s="189" t="n"/>
      <c r="H264" s="189" t="n"/>
      <c r="I264" s="189" t="n"/>
      <c r="J264" s="189" t="n"/>
      <c r="K264" s="189" t="n"/>
      <c r="L264" s="189" t="n"/>
      <c r="M264" s="189" t="n"/>
      <c r="N264" s="189" t="n"/>
      <c r="O264" s="189" t="n"/>
      <c r="P264" s="189" t="n"/>
      <c r="Q264" s="189" t="n"/>
      <c r="R264" s="189" t="n"/>
      <c r="S264" s="189" t="n"/>
      <c r="T264" s="189" t="n"/>
      <c r="U264" s="189" t="n"/>
      <c r="V264" s="189" t="n"/>
      <c r="W264" s="189" t="n"/>
      <c r="X264" s="189" t="n"/>
      <c r="Y264" s="189" t="n"/>
      <c r="Z264" s="189" t="n"/>
      <c r="AA264" s="189" t="n"/>
      <c r="AB264" s="189" t="n"/>
      <c r="AC264" s="189" t="n"/>
      <c r="AD264" s="189" t="n"/>
      <c r="AE264" s="189" t="n"/>
      <c r="AF264" s="189" t="n"/>
      <c r="AG264" s="189" t="n"/>
      <c r="AH264" s="189" t="n"/>
      <c r="AI264" s="51" t="inlineStr">
        <is>
          <t>U3X</t>
        </is>
      </c>
    </row>
    <row r="265">
      <c r="B265" s="189" t="n"/>
      <c r="C265" s="189" t="n"/>
      <c r="D265" s="189" t="n"/>
      <c r="E265" s="189" t="n"/>
      <c r="F265" s="189" t="n"/>
      <c r="G265" s="189" t="n"/>
      <c r="H265" s="189" t="n"/>
      <c r="I265" s="189" t="n"/>
      <c r="J265" s="189" t="n"/>
      <c r="K265" s="189" t="n"/>
      <c r="L265" s="189" t="n"/>
      <c r="M265" s="189" t="n"/>
      <c r="N265" s="189" t="n"/>
      <c r="O265" s="189" t="n"/>
      <c r="P265" s="189" t="n"/>
      <c r="Q265" s="189" t="n"/>
      <c r="R265" s="189" t="n"/>
      <c r="S265" s="189" t="n"/>
      <c r="T265" s="189" t="n"/>
      <c r="U265" s="189" t="n"/>
      <c r="V265" s="189" t="n"/>
      <c r="W265" s="189" t="n"/>
      <c r="X265" s="189" t="n"/>
      <c r="Y265" s="189" t="n"/>
      <c r="Z265" s="189" t="n"/>
      <c r="AA265" s="189" t="n"/>
      <c r="AB265" s="189" t="n"/>
      <c r="AC265" s="189" t="n"/>
      <c r="AD265" s="189" t="n"/>
      <c r="AE265" s="189" t="n"/>
      <c r="AF265" s="189" t="n"/>
      <c r="AG265" s="189" t="n"/>
      <c r="AH265" s="189" t="n"/>
      <c r="AI265" s="51" t="inlineStr">
        <is>
          <t>U3Y</t>
        </is>
      </c>
    </row>
    <row r="266">
      <c r="B266" s="189" t="n"/>
      <c r="C266" s="189" t="n"/>
      <c r="D266" s="189" t="n"/>
      <c r="E266" s="189" t="n"/>
      <c r="F266" s="189" t="n"/>
      <c r="G266" s="189" t="n"/>
      <c r="H266" s="189" t="n"/>
      <c r="I266" s="189" t="n"/>
      <c r="J266" s="189" t="n"/>
      <c r="K266" s="189" t="n"/>
      <c r="L266" s="189" t="n"/>
      <c r="M266" s="189" t="n"/>
      <c r="N266" s="189" t="n"/>
      <c r="O266" s="189" t="n"/>
      <c r="P266" s="189" t="n"/>
      <c r="Q266" s="189" t="n"/>
      <c r="R266" s="189" t="n"/>
      <c r="S266" s="189" t="n"/>
      <c r="T266" s="189" t="n"/>
      <c r="U266" s="189" t="n"/>
      <c r="V266" s="189" t="n"/>
      <c r="W266" s="189" t="n"/>
      <c r="X266" s="189" t="n"/>
      <c r="Y266" s="189" t="n"/>
      <c r="Z266" s="189" t="n"/>
      <c r="AA266" s="189" t="n"/>
      <c r="AB266" s="189" t="n"/>
      <c r="AC266" s="189" t="n"/>
      <c r="AD266" s="189" t="n"/>
      <c r="AE266" s="189" t="n"/>
      <c r="AF266" s="189" t="n"/>
      <c r="AG266" s="189" t="n"/>
      <c r="AH266" s="189" t="n"/>
      <c r="AI266" s="51" t="inlineStr">
        <is>
          <t>U3θ</t>
        </is>
      </c>
    </row>
    <row r="267">
      <c r="B267" s="189" t="n"/>
      <c r="C267" s="189" t="n"/>
      <c r="D267" s="189" t="n"/>
      <c r="E267" s="189" t="n"/>
      <c r="F267" s="189" t="n"/>
      <c r="G267" s="189" t="n"/>
      <c r="H267" s="189" t="n"/>
      <c r="I267" s="189" t="n"/>
      <c r="J267" s="189" t="n"/>
      <c r="K267" s="189" t="n"/>
      <c r="L267" s="189" t="n"/>
      <c r="M267" s="189" t="n"/>
      <c r="N267" s="189" t="n"/>
      <c r="O267" s="189" t="n"/>
      <c r="P267" s="189" t="n"/>
      <c r="Q267" s="189" t="n"/>
      <c r="R267" s="189" t="n"/>
      <c r="S267" s="189" t="n"/>
      <c r="T267" s="189" t="n"/>
      <c r="U267" s="189" t="n"/>
      <c r="V267" s="189" t="n"/>
      <c r="W267" s="189" t="n"/>
      <c r="X267" s="189" t="n"/>
      <c r="Y267" s="189" t="n"/>
      <c r="Z267" s="189" t="n"/>
      <c r="AA267" s="189" t="n"/>
      <c r="AB267" s="189" t="n"/>
      <c r="AC267" s="189" t="n"/>
      <c r="AD267" s="189" t="n"/>
      <c r="AE267" s="189" t="n"/>
      <c r="AF267" s="189" t="n"/>
      <c r="AG267" s="189" t="n"/>
      <c r="AH267" s="189" t="n"/>
      <c r="AI267" s="51" t="inlineStr">
        <is>
          <t>U4X</t>
        </is>
      </c>
    </row>
    <row r="268">
      <c r="B268" s="189" t="n"/>
      <c r="C268" s="189" t="n"/>
      <c r="D268" s="189" t="n"/>
      <c r="E268" s="189" t="n"/>
      <c r="F268" s="189" t="n"/>
      <c r="G268" s="189" t="n"/>
      <c r="H268" s="189" t="n"/>
      <c r="I268" s="189" t="n"/>
      <c r="J268" s="189" t="n"/>
      <c r="K268" s="189" t="n"/>
      <c r="L268" s="189" t="n"/>
      <c r="M268" s="189" t="n"/>
      <c r="N268" s="189" t="n"/>
      <c r="O268" s="189" t="n"/>
      <c r="P268" s="189" t="n"/>
      <c r="Q268" s="189" t="n"/>
      <c r="R268" s="189" t="n"/>
      <c r="S268" s="189" t="n"/>
      <c r="T268" s="189" t="n"/>
      <c r="U268" s="189" t="n"/>
      <c r="V268" s="189" t="n"/>
      <c r="W268" s="189" t="n"/>
      <c r="X268" s="189" t="n"/>
      <c r="Y268" s="189" t="n"/>
      <c r="Z268" s="189" t="n"/>
      <c r="AA268" s="189" t="n"/>
      <c r="AB268" s="189" t="n"/>
      <c r="AC268" s="189" t="n"/>
      <c r="AD268" s="189" t="n"/>
      <c r="AE268" s="189" t="n"/>
      <c r="AF268" s="189" t="n"/>
      <c r="AG268" s="189" t="n"/>
      <c r="AH268" s="189" t="n"/>
      <c r="AI268" s="51" t="inlineStr">
        <is>
          <t>U4Y</t>
        </is>
      </c>
    </row>
    <row r="269">
      <c r="B269" s="189" t="n"/>
      <c r="C269" s="189" t="n"/>
      <c r="D269" s="189" t="n"/>
      <c r="E269" s="189" t="n"/>
      <c r="F269" s="189" t="n"/>
      <c r="G269" s="189" t="n"/>
      <c r="H269" s="189" t="n"/>
      <c r="I269" s="189" t="n"/>
      <c r="J269" s="189" t="n"/>
      <c r="K269" s="189" t="n"/>
      <c r="L269" s="189" t="n"/>
      <c r="M269" s="189" t="n"/>
      <c r="N269" s="189" t="n"/>
      <c r="O269" s="189" t="n"/>
      <c r="P269" s="189" t="n"/>
      <c r="Q269" s="189" t="n"/>
      <c r="R269" s="189" t="n"/>
      <c r="S269" s="189" t="n"/>
      <c r="T269" s="189" t="n"/>
      <c r="U269" s="189" t="n"/>
      <c r="V269" s="189" t="n"/>
      <c r="W269" s="189" t="n"/>
      <c r="X269" s="189" t="n"/>
      <c r="Y269" s="189" t="n"/>
      <c r="Z269" s="189" t="n"/>
      <c r="AA269" s="189" t="n"/>
      <c r="AB269" s="189" t="n"/>
      <c r="AC269" s="189" t="n"/>
      <c r="AD269" s="189" t="n"/>
      <c r="AE269" s="189" t="n"/>
      <c r="AF269" s="189" t="n"/>
      <c r="AG269" s="189" t="n"/>
      <c r="AH269" s="189" t="n"/>
      <c r="AI269" s="51" t="inlineStr">
        <is>
          <t>U4θ</t>
        </is>
      </c>
    </row>
    <row r="270">
      <c r="B270" s="189" t="n"/>
      <c r="C270" s="189" t="n"/>
      <c r="D270" s="189" t="n"/>
      <c r="E270" s="189" t="n"/>
      <c r="F270" s="189" t="n"/>
      <c r="G270" s="189" t="n"/>
      <c r="H270" s="189" t="n"/>
      <c r="I270" s="189" t="n"/>
      <c r="J270" s="189" t="n"/>
      <c r="K270" s="189" t="n"/>
      <c r="L270" s="189" t="n"/>
      <c r="M270" s="189" t="n"/>
      <c r="N270" s="189" t="n"/>
      <c r="O270" s="189" t="n"/>
      <c r="P270" s="189" t="n"/>
      <c r="Q270" s="189" t="n"/>
      <c r="R270" s="189" t="n"/>
      <c r="S270" s="189" t="n"/>
      <c r="T270" s="189" t="n"/>
      <c r="U270" s="189" t="n"/>
      <c r="V270" s="189" t="n"/>
      <c r="W270" s="189" t="n"/>
      <c r="X270" s="189" t="n"/>
      <c r="Y270" s="189" t="n"/>
      <c r="Z270" s="189" t="n"/>
      <c r="AA270" s="189" t="n"/>
      <c r="AB270" s="189" t="n"/>
      <c r="AC270" s="189" t="n"/>
      <c r="AD270" s="189" t="n"/>
      <c r="AE270" s="189" t="n"/>
      <c r="AF270" s="189" t="n"/>
      <c r="AG270" s="189" t="n"/>
      <c r="AH270" s="189" t="n"/>
      <c r="AI270" s="51" t="inlineStr">
        <is>
          <t>U5X</t>
        </is>
      </c>
    </row>
    <row r="271">
      <c r="B271" s="189" t="n"/>
      <c r="C271" s="189" t="n"/>
      <c r="D271" s="189" t="n"/>
      <c r="E271" s="189" t="n"/>
      <c r="F271" s="189" t="n"/>
      <c r="G271" s="189" t="n"/>
      <c r="H271" s="189" t="n"/>
      <c r="I271" s="189" t="n"/>
      <c r="J271" s="189" t="n"/>
      <c r="K271" s="189" t="n"/>
      <c r="L271" s="189" t="n"/>
      <c r="M271" s="189" t="n"/>
      <c r="N271" s="189" t="n"/>
      <c r="O271" s="189" t="n"/>
      <c r="P271" s="189" t="n"/>
      <c r="Q271" s="189" t="n"/>
      <c r="R271" s="189" t="n"/>
      <c r="S271" s="189" t="n"/>
      <c r="T271" s="189" t="n"/>
      <c r="U271" s="189" t="n"/>
      <c r="V271" s="189" t="n"/>
      <c r="W271" s="189" t="n"/>
      <c r="X271" s="189" t="n"/>
      <c r="Y271" s="189" t="n"/>
      <c r="Z271" s="189" t="n"/>
      <c r="AA271" s="189" t="n"/>
      <c r="AB271" s="189" t="n"/>
      <c r="AC271" s="189" t="n"/>
      <c r="AD271" s="189" t="n"/>
      <c r="AE271" s="189" t="n"/>
      <c r="AF271" s="189" t="n"/>
      <c r="AG271" s="189" t="n"/>
      <c r="AH271" s="189" t="n"/>
      <c r="AI271" s="51" t="inlineStr">
        <is>
          <t>U5Y</t>
        </is>
      </c>
    </row>
    <row r="272">
      <c r="B272" s="189" t="n"/>
      <c r="C272" s="189" t="n"/>
      <c r="D272" s="189" t="n"/>
      <c r="E272" s="189" t="n"/>
      <c r="F272" s="189" t="n"/>
      <c r="G272" s="189" t="n"/>
      <c r="H272" s="189" t="n"/>
      <c r="I272" s="189" t="n"/>
      <c r="J272" s="189" t="n"/>
      <c r="K272" s="189" t="n"/>
      <c r="L272" s="189" t="n"/>
      <c r="M272" s="189" t="n"/>
      <c r="N272" s="189" t="n"/>
      <c r="O272" s="189" t="n"/>
      <c r="P272" s="189" t="n"/>
      <c r="Q272" s="189" t="n"/>
      <c r="R272" s="189" t="n"/>
      <c r="S272" s="189" t="n"/>
      <c r="T272" s="189" t="n"/>
      <c r="U272" s="189" t="n"/>
      <c r="V272" s="189" t="n"/>
      <c r="W272" s="189" t="n"/>
      <c r="X272" s="189" t="n"/>
      <c r="Y272" s="189" t="n"/>
      <c r="Z272" s="189" t="n"/>
      <c r="AA272" s="189" t="n"/>
      <c r="AB272" s="189" t="n"/>
      <c r="AC272" s="189" t="n"/>
      <c r="AD272" s="189" t="n"/>
      <c r="AE272" s="189" t="n"/>
      <c r="AF272" s="189" t="n"/>
      <c r="AG272" s="189" t="n"/>
      <c r="AH272" s="189" t="n"/>
      <c r="AI272" s="51" t="inlineStr">
        <is>
          <t>U5θ</t>
        </is>
      </c>
    </row>
    <row r="273">
      <c r="A273" s="118" t="inlineStr">
        <is>
          <t>K6 =</t>
        </is>
      </c>
      <c r="B273" s="189" t="n"/>
      <c r="C273" s="189" t="n"/>
      <c r="D273" s="189" t="n"/>
      <c r="E273" s="189" t="n"/>
      <c r="F273" s="189" t="n"/>
      <c r="G273" s="189" t="n"/>
      <c r="H273" s="189" t="n"/>
      <c r="I273" s="189" t="n"/>
      <c r="J273" s="189" t="n"/>
      <c r="K273" s="189" t="n"/>
      <c r="L273" s="189" t="n"/>
      <c r="M273" s="189" t="n"/>
      <c r="N273" s="189" t="n"/>
      <c r="O273" s="189" t="n"/>
      <c r="P273" s="189" t="n"/>
      <c r="Q273" s="189">
        <f>B250</f>
        <v/>
      </c>
      <c r="R273" s="189">
        <f>C250</f>
        <v/>
      </c>
      <c r="S273" s="189">
        <f>D250</f>
        <v/>
      </c>
      <c r="T273" s="189">
        <f>E250</f>
        <v/>
      </c>
      <c r="U273" s="189">
        <f>F250</f>
        <v/>
      </c>
      <c r="V273" s="189">
        <f>G250</f>
        <v/>
      </c>
      <c r="W273" s="189" t="n"/>
      <c r="X273" s="189" t="n"/>
      <c r="Y273" s="189" t="n"/>
      <c r="Z273" s="189" t="n"/>
      <c r="AA273" s="189" t="n"/>
      <c r="AB273" s="189" t="n"/>
      <c r="AC273" s="189" t="n"/>
      <c r="AD273" s="189" t="n"/>
      <c r="AE273" s="189" t="n"/>
      <c r="AF273" s="189" t="n"/>
      <c r="AG273" s="189" t="n"/>
      <c r="AH273" s="189" t="n"/>
      <c r="AI273" s="51" t="inlineStr">
        <is>
          <t>U6X</t>
        </is>
      </c>
    </row>
    <row r="274">
      <c r="B274" s="189" t="n"/>
      <c r="C274" s="189" t="n"/>
      <c r="D274" s="189" t="n"/>
      <c r="E274" s="189" t="n"/>
      <c r="F274" s="189" t="n"/>
      <c r="G274" s="189" t="n"/>
      <c r="H274" s="189" t="n"/>
      <c r="I274" s="189" t="n"/>
      <c r="J274" s="189" t="n"/>
      <c r="K274" s="189" t="n"/>
      <c r="L274" s="189" t="n"/>
      <c r="M274" s="189" t="n"/>
      <c r="N274" s="189" t="n"/>
      <c r="O274" s="189" t="n"/>
      <c r="P274" s="189" t="n"/>
      <c r="Q274" s="189">
        <f>B251</f>
        <v/>
      </c>
      <c r="R274" s="189">
        <f>C251</f>
        <v/>
      </c>
      <c r="S274" s="189">
        <f>D251</f>
        <v/>
      </c>
      <c r="T274" s="189">
        <f>E251</f>
        <v/>
      </c>
      <c r="U274" s="189">
        <f>F251</f>
        <v/>
      </c>
      <c r="V274" s="189">
        <f>G251</f>
        <v/>
      </c>
      <c r="W274" s="189" t="n"/>
      <c r="X274" s="189" t="n"/>
      <c r="Y274" s="189" t="n"/>
      <c r="Z274" s="189" t="n"/>
      <c r="AA274" s="189" t="n"/>
      <c r="AB274" s="189" t="n"/>
      <c r="AC274" s="189" t="n"/>
      <c r="AD274" s="189" t="n"/>
      <c r="AE274" s="189" t="n"/>
      <c r="AF274" s="189" t="n"/>
      <c r="AG274" s="189" t="n"/>
      <c r="AH274" s="189" t="n"/>
      <c r="AI274" s="51" t="inlineStr">
        <is>
          <t>U6Y</t>
        </is>
      </c>
    </row>
    <row r="275">
      <c r="B275" s="189" t="n"/>
      <c r="C275" s="189" t="n"/>
      <c r="D275" s="189" t="n"/>
      <c r="E275" s="189" t="n"/>
      <c r="F275" s="189" t="n"/>
      <c r="G275" s="189" t="n"/>
      <c r="H275" s="189" t="n"/>
      <c r="I275" s="189" t="n"/>
      <c r="J275" s="189" t="n"/>
      <c r="K275" s="189" t="n"/>
      <c r="L275" s="189" t="n"/>
      <c r="M275" s="189" t="n"/>
      <c r="N275" s="189" t="n"/>
      <c r="O275" s="189" t="n"/>
      <c r="P275" s="189" t="n"/>
      <c r="Q275" s="189">
        <f>B252</f>
        <v/>
      </c>
      <c r="R275" s="189">
        <f>C252</f>
        <v/>
      </c>
      <c r="S275" s="189">
        <f>D252</f>
        <v/>
      </c>
      <c r="T275" s="189">
        <f>E252</f>
        <v/>
      </c>
      <c r="U275" s="189">
        <f>F252</f>
        <v/>
      </c>
      <c r="V275" s="189">
        <f>G252</f>
        <v/>
      </c>
      <c r="W275" s="189" t="n"/>
      <c r="X275" s="189" t="n"/>
      <c r="Y275" s="189" t="n"/>
      <c r="Z275" s="189" t="n"/>
      <c r="AA275" s="189" t="n"/>
      <c r="AB275" s="189" t="n"/>
      <c r="AC275" s="189" t="n"/>
      <c r="AD275" s="189" t="n"/>
      <c r="AE275" s="189" t="n"/>
      <c r="AF275" s="189" t="n"/>
      <c r="AG275" s="189" t="n"/>
      <c r="AH275" s="189" t="n"/>
      <c r="AI275" s="51" t="inlineStr">
        <is>
          <t>U6θ</t>
        </is>
      </c>
    </row>
    <row r="276">
      <c r="B276" s="189" t="n"/>
      <c r="C276" s="189" t="n"/>
      <c r="D276" s="189" t="n"/>
      <c r="E276" s="189" t="n"/>
      <c r="F276" s="189" t="n"/>
      <c r="G276" s="189" t="n"/>
      <c r="H276" s="189" t="n"/>
      <c r="I276" s="189" t="n"/>
      <c r="J276" s="189" t="n"/>
      <c r="K276" s="189" t="n"/>
      <c r="L276" s="189" t="n"/>
      <c r="M276" s="189" t="n"/>
      <c r="N276" s="189" t="n"/>
      <c r="O276" s="189" t="n"/>
      <c r="P276" s="189" t="n"/>
      <c r="Q276" s="189">
        <f>B253</f>
        <v/>
      </c>
      <c r="R276" s="189">
        <f>C253</f>
        <v/>
      </c>
      <c r="S276" s="189">
        <f>D253</f>
        <v/>
      </c>
      <c r="T276" s="189">
        <f>E253</f>
        <v/>
      </c>
      <c r="U276" s="189">
        <f>F253</f>
        <v/>
      </c>
      <c r="V276" s="189">
        <f>G253</f>
        <v/>
      </c>
      <c r="W276" s="189" t="n"/>
      <c r="X276" s="189" t="n"/>
      <c r="Y276" s="189" t="n"/>
      <c r="Z276" s="189" t="n"/>
      <c r="AA276" s="189" t="n"/>
      <c r="AB276" s="189" t="n"/>
      <c r="AC276" s="189" t="n"/>
      <c r="AD276" s="189" t="n"/>
      <c r="AE276" s="189" t="n"/>
      <c r="AF276" s="189" t="n"/>
      <c r="AG276" s="189" t="n"/>
      <c r="AH276" s="189" t="n"/>
      <c r="AI276" s="51" t="inlineStr">
        <is>
          <t>U7X</t>
        </is>
      </c>
    </row>
    <row r="277">
      <c r="B277" s="189" t="n"/>
      <c r="C277" s="189" t="n"/>
      <c r="D277" s="189" t="n"/>
      <c r="E277" s="189" t="n"/>
      <c r="F277" s="189" t="n"/>
      <c r="G277" s="189" t="n"/>
      <c r="H277" s="189" t="n"/>
      <c r="I277" s="189" t="n"/>
      <c r="J277" s="189" t="n"/>
      <c r="K277" s="189" t="n"/>
      <c r="L277" s="189" t="n"/>
      <c r="M277" s="189" t="n"/>
      <c r="N277" s="189" t="n"/>
      <c r="O277" s="189" t="n"/>
      <c r="P277" s="189" t="n"/>
      <c r="Q277" s="189">
        <f>B254</f>
        <v/>
      </c>
      <c r="R277" s="189">
        <f>C254</f>
        <v/>
      </c>
      <c r="S277" s="189">
        <f>D254</f>
        <v/>
      </c>
      <c r="T277" s="189">
        <f>E254</f>
        <v/>
      </c>
      <c r="U277" s="189">
        <f>F254</f>
        <v/>
      </c>
      <c r="V277" s="189">
        <f>G254</f>
        <v/>
      </c>
      <c r="W277" s="189" t="n"/>
      <c r="X277" s="189" t="n"/>
      <c r="Y277" s="189" t="n"/>
      <c r="Z277" s="189" t="n"/>
      <c r="AA277" s="189" t="n"/>
      <c r="AB277" s="189" t="n"/>
      <c r="AC277" s="189" t="n"/>
      <c r="AD277" s="189" t="n"/>
      <c r="AE277" s="189" t="n"/>
      <c r="AF277" s="189" t="n"/>
      <c r="AG277" s="189" t="n"/>
      <c r="AH277" s="189" t="n"/>
      <c r="AI277" s="51" t="inlineStr">
        <is>
          <t>U7Y</t>
        </is>
      </c>
    </row>
    <row r="278">
      <c r="B278" s="189" t="n"/>
      <c r="C278" s="189" t="n"/>
      <c r="D278" s="189" t="n"/>
      <c r="E278" s="189" t="n"/>
      <c r="F278" s="189" t="n"/>
      <c r="G278" s="189" t="n"/>
      <c r="H278" s="189" t="n"/>
      <c r="I278" s="189" t="n"/>
      <c r="J278" s="189" t="n"/>
      <c r="K278" s="189" t="n"/>
      <c r="L278" s="189" t="n"/>
      <c r="M278" s="189" t="n"/>
      <c r="N278" s="189" t="n"/>
      <c r="O278" s="189" t="n"/>
      <c r="P278" s="189" t="n"/>
      <c r="Q278" s="189">
        <f>B255</f>
        <v/>
      </c>
      <c r="R278" s="189">
        <f>C255</f>
        <v/>
      </c>
      <c r="S278" s="189">
        <f>D255</f>
        <v/>
      </c>
      <c r="T278" s="189">
        <f>E255</f>
        <v/>
      </c>
      <c r="U278" s="189">
        <f>F255</f>
        <v/>
      </c>
      <c r="V278" s="189">
        <f>G255</f>
        <v/>
      </c>
      <c r="W278" s="189" t="n"/>
      <c r="X278" s="189" t="n"/>
      <c r="Y278" s="189" t="n"/>
      <c r="Z278" s="189" t="n"/>
      <c r="AA278" s="189" t="n"/>
      <c r="AB278" s="189" t="n"/>
      <c r="AC278" s="189" t="n"/>
      <c r="AD278" s="189" t="n"/>
      <c r="AE278" s="189" t="n"/>
      <c r="AF278" s="189" t="n"/>
      <c r="AG278" s="189" t="n"/>
      <c r="AH278" s="189" t="n"/>
      <c r="AI278" s="51" t="inlineStr">
        <is>
          <t>U7θ</t>
        </is>
      </c>
    </row>
    <row r="279">
      <c r="B279" s="189" t="n"/>
      <c r="C279" s="189" t="n"/>
      <c r="D279" s="189" t="n"/>
      <c r="E279" s="189" t="n"/>
      <c r="F279" s="189" t="n"/>
      <c r="G279" s="189" t="n"/>
      <c r="H279" s="189" t="n"/>
      <c r="I279" s="189" t="n"/>
      <c r="J279" s="189" t="n"/>
      <c r="K279" s="189" t="n"/>
      <c r="L279" s="189" t="n"/>
      <c r="M279" s="189" t="n"/>
      <c r="N279" s="189" t="n"/>
      <c r="O279" s="189" t="n"/>
      <c r="P279" s="189" t="n"/>
      <c r="Q279" s="189" t="n"/>
      <c r="R279" s="189" t="n"/>
      <c r="S279" s="189" t="n"/>
      <c r="T279" s="189" t="n"/>
      <c r="U279" s="189" t="n"/>
      <c r="V279" s="189" t="n"/>
      <c r="W279" s="189" t="n"/>
      <c r="X279" s="189" t="n"/>
      <c r="Y279" s="189" t="n"/>
      <c r="Z279" s="189" t="n"/>
      <c r="AA279" s="189" t="n"/>
      <c r="AB279" s="189" t="n"/>
      <c r="AC279" s="189" t="n"/>
      <c r="AD279" s="189" t="n"/>
      <c r="AE279" s="189" t="n"/>
      <c r="AF279" s="189" t="n"/>
      <c r="AG279" s="189" t="n"/>
      <c r="AH279" s="189" t="n"/>
      <c r="AI279" s="51" t="inlineStr">
        <is>
          <t>U8X</t>
        </is>
      </c>
    </row>
    <row r="280">
      <c r="B280" s="189" t="n"/>
      <c r="C280" s="189" t="n"/>
      <c r="D280" s="189" t="n"/>
      <c r="E280" s="189" t="n"/>
      <c r="F280" s="189" t="n"/>
      <c r="G280" s="189" t="n"/>
      <c r="H280" s="189" t="n"/>
      <c r="I280" s="189" t="n"/>
      <c r="J280" s="189" t="n"/>
      <c r="K280" s="189" t="n"/>
      <c r="L280" s="189" t="n"/>
      <c r="M280" s="189" t="n"/>
      <c r="N280" s="189" t="n"/>
      <c r="O280" s="189" t="n"/>
      <c r="P280" s="189" t="n"/>
      <c r="Q280" s="189" t="n"/>
      <c r="R280" s="189" t="n"/>
      <c r="S280" s="189" t="n"/>
      <c r="T280" s="189" t="n"/>
      <c r="U280" s="189" t="n"/>
      <c r="V280" s="189" t="n"/>
      <c r="W280" s="189" t="n"/>
      <c r="X280" s="189" t="n"/>
      <c r="Y280" s="189" t="n"/>
      <c r="Z280" s="189" t="n"/>
      <c r="AA280" s="189" t="n"/>
      <c r="AB280" s="189" t="n"/>
      <c r="AC280" s="189" t="n"/>
      <c r="AD280" s="189" t="n"/>
      <c r="AE280" s="189" t="n"/>
      <c r="AF280" s="189" t="n"/>
      <c r="AG280" s="189" t="n"/>
      <c r="AH280" s="189" t="n"/>
      <c r="AI280" s="51" t="inlineStr">
        <is>
          <t>U8Y</t>
        </is>
      </c>
    </row>
    <row r="281">
      <c r="B281" s="189" t="n"/>
      <c r="C281" s="189" t="n"/>
      <c r="D281" s="189" t="n"/>
      <c r="E281" s="189" t="n"/>
      <c r="F281" s="189" t="n"/>
      <c r="G281" s="189" t="n"/>
      <c r="H281" s="189" t="n"/>
      <c r="I281" s="189" t="n"/>
      <c r="J281" s="189" t="n"/>
      <c r="K281" s="189" t="n"/>
      <c r="L281" s="189" t="n"/>
      <c r="M281" s="189" t="n"/>
      <c r="N281" s="189" t="n"/>
      <c r="O281" s="189" t="n"/>
      <c r="P281" s="189" t="n"/>
      <c r="Q281" s="189" t="n"/>
      <c r="R281" s="189" t="n"/>
      <c r="S281" s="189" t="n"/>
      <c r="T281" s="189" t="n"/>
      <c r="U281" s="189" t="n"/>
      <c r="V281" s="189" t="n"/>
      <c r="W281" s="189" t="n"/>
      <c r="X281" s="189" t="n"/>
      <c r="Y281" s="189" t="n"/>
      <c r="Z281" s="189" t="n"/>
      <c r="AA281" s="189" t="n"/>
      <c r="AB281" s="189" t="n"/>
      <c r="AC281" s="189" t="n"/>
      <c r="AD281" s="189" t="n"/>
      <c r="AE281" s="189" t="n"/>
      <c r="AF281" s="189" t="n"/>
      <c r="AG281" s="189" t="n"/>
      <c r="AH281" s="189" t="n"/>
      <c r="AI281" s="51" t="inlineStr">
        <is>
          <t>U8θ</t>
        </is>
      </c>
    </row>
    <row r="282">
      <c r="B282" s="189" t="n"/>
      <c r="C282" s="189" t="n"/>
      <c r="D282" s="189" t="n"/>
      <c r="E282" s="189" t="n"/>
      <c r="F282" s="189" t="n"/>
      <c r="G282" s="189" t="n"/>
      <c r="H282" s="189" t="n"/>
      <c r="I282" s="189" t="n"/>
      <c r="J282" s="189" t="n"/>
      <c r="K282" s="189" t="n"/>
      <c r="L282" s="189" t="n"/>
      <c r="M282" s="189" t="n"/>
      <c r="N282" s="189" t="n"/>
      <c r="O282" s="189" t="n"/>
      <c r="P282" s="189" t="n"/>
      <c r="Q282" s="189" t="n"/>
      <c r="R282" s="189" t="n"/>
      <c r="S282" s="189" t="n"/>
      <c r="T282" s="189" t="n"/>
      <c r="U282" s="189" t="n"/>
      <c r="V282" s="189" t="n"/>
      <c r="W282" s="189" t="n"/>
      <c r="X282" s="189" t="n"/>
      <c r="Y282" s="189" t="n"/>
      <c r="Z282" s="189" t="n"/>
      <c r="AA282" s="189" t="n"/>
      <c r="AB282" s="189" t="n"/>
      <c r="AC282" s="189" t="n"/>
      <c r="AD282" s="189" t="n"/>
      <c r="AE282" s="189" t="n"/>
      <c r="AF282" s="189" t="n"/>
      <c r="AG282" s="189" t="n"/>
      <c r="AH282" s="189" t="n"/>
      <c r="AI282" s="51" t="inlineStr">
        <is>
          <t>U9X</t>
        </is>
      </c>
    </row>
    <row r="283">
      <c r="B283" s="189" t="n"/>
      <c r="C283" s="189" t="n"/>
      <c r="D283" s="189" t="n"/>
      <c r="E283" s="189" t="n"/>
      <c r="F283" s="189" t="n"/>
      <c r="G283" s="189" t="n"/>
      <c r="H283" s="189" t="n"/>
      <c r="I283" s="189" t="n"/>
      <c r="J283" s="189" t="n"/>
      <c r="K283" s="189" t="n"/>
      <c r="L283" s="189" t="n"/>
      <c r="M283" s="189" t="n"/>
      <c r="N283" s="189" t="n"/>
      <c r="O283" s="189" t="n"/>
      <c r="P283" s="189" t="n"/>
      <c r="Q283" s="189" t="n"/>
      <c r="R283" s="189" t="n"/>
      <c r="S283" s="189" t="n"/>
      <c r="T283" s="189" t="n"/>
      <c r="U283" s="189" t="n"/>
      <c r="V283" s="189" t="n"/>
      <c r="W283" s="189" t="n"/>
      <c r="X283" s="189" t="n"/>
      <c r="Y283" s="189" t="n"/>
      <c r="Z283" s="189" t="n"/>
      <c r="AA283" s="189" t="n"/>
      <c r="AB283" s="189" t="n"/>
      <c r="AC283" s="189" t="n"/>
      <c r="AD283" s="189" t="n"/>
      <c r="AE283" s="189" t="n"/>
      <c r="AF283" s="189" t="n"/>
      <c r="AG283" s="189" t="n"/>
      <c r="AH283" s="189" t="n"/>
      <c r="AI283" s="51" t="inlineStr">
        <is>
          <t>U9Y</t>
        </is>
      </c>
    </row>
    <row r="284">
      <c r="B284" s="189" t="n"/>
      <c r="C284" s="189" t="n"/>
      <c r="D284" s="189" t="n"/>
      <c r="E284" s="189" t="n"/>
      <c r="F284" s="189" t="n"/>
      <c r="G284" s="189" t="n"/>
      <c r="H284" s="189" t="n"/>
      <c r="I284" s="189" t="n"/>
      <c r="J284" s="189" t="n"/>
      <c r="K284" s="189" t="n"/>
      <c r="L284" s="189" t="n"/>
      <c r="M284" s="189" t="n"/>
      <c r="N284" s="189" t="n"/>
      <c r="O284" s="189" t="n"/>
      <c r="P284" s="189" t="n"/>
      <c r="Q284" s="189" t="n"/>
      <c r="R284" s="189" t="n"/>
      <c r="S284" s="189" t="n"/>
      <c r="T284" s="189" t="n"/>
      <c r="U284" s="189" t="n"/>
      <c r="V284" s="189" t="n"/>
      <c r="W284" s="189" t="n"/>
      <c r="X284" s="189" t="n"/>
      <c r="Y284" s="189" t="n"/>
      <c r="Z284" s="189" t="n"/>
      <c r="AA284" s="189" t="n"/>
      <c r="AB284" s="189" t="n"/>
      <c r="AC284" s="189" t="n"/>
      <c r="AD284" s="189" t="n"/>
      <c r="AE284" s="189" t="n"/>
      <c r="AF284" s="189" t="n"/>
      <c r="AG284" s="189" t="n"/>
      <c r="AH284" s="189" t="n"/>
      <c r="AI284" s="51" t="inlineStr">
        <is>
          <t>U9θ</t>
        </is>
      </c>
    </row>
    <row r="285">
      <c r="B285" s="189" t="n"/>
      <c r="C285" s="189" t="n"/>
      <c r="D285" s="189" t="n"/>
      <c r="E285" s="189" t="n"/>
      <c r="F285" s="189" t="n"/>
      <c r="G285" s="189" t="n"/>
      <c r="H285" s="189" t="n"/>
      <c r="I285" s="189" t="n"/>
      <c r="J285" s="189" t="n"/>
      <c r="K285" s="189" t="n"/>
      <c r="L285" s="189" t="n"/>
      <c r="M285" s="189" t="n"/>
      <c r="N285" s="189" t="n"/>
      <c r="O285" s="189" t="n"/>
      <c r="P285" s="189" t="n"/>
      <c r="Q285" s="189" t="n"/>
      <c r="R285" s="189" t="n"/>
      <c r="S285" s="189" t="n"/>
      <c r="T285" s="189" t="n"/>
      <c r="U285" s="189" t="n"/>
      <c r="V285" s="189" t="n"/>
      <c r="W285" s="189" t="n"/>
      <c r="X285" s="189" t="n"/>
      <c r="Y285" s="189" t="n"/>
      <c r="Z285" s="189" t="n"/>
      <c r="AA285" s="189" t="n"/>
      <c r="AB285" s="189" t="n"/>
      <c r="AC285" s="189" t="n"/>
      <c r="AD285" s="189" t="n"/>
      <c r="AE285" s="189" t="n"/>
      <c r="AF285" s="189" t="n"/>
      <c r="AG285" s="189" t="n"/>
      <c r="AH285" s="189" t="n"/>
      <c r="AI285" s="51" t="inlineStr">
        <is>
          <t>U10X</t>
        </is>
      </c>
    </row>
    <row r="286">
      <c r="B286" s="189" t="n"/>
      <c r="C286" s="189" t="n"/>
      <c r="D286" s="189" t="n"/>
      <c r="E286" s="189" t="n"/>
      <c r="F286" s="189" t="n"/>
      <c r="G286" s="189" t="n"/>
      <c r="H286" s="189" t="n"/>
      <c r="I286" s="189" t="n"/>
      <c r="J286" s="189" t="n"/>
      <c r="K286" s="189" t="n"/>
      <c r="L286" s="189" t="n"/>
      <c r="M286" s="189" t="n"/>
      <c r="N286" s="189" t="n"/>
      <c r="O286" s="189" t="n"/>
      <c r="P286" s="189" t="n"/>
      <c r="Q286" s="189" t="n"/>
      <c r="R286" s="189" t="n"/>
      <c r="S286" s="189" t="n"/>
      <c r="T286" s="189" t="n"/>
      <c r="U286" s="189" t="n"/>
      <c r="V286" s="189" t="n"/>
      <c r="W286" s="189" t="n"/>
      <c r="X286" s="189" t="n"/>
      <c r="Y286" s="189" t="n"/>
      <c r="Z286" s="189" t="n"/>
      <c r="AA286" s="189" t="n"/>
      <c r="AB286" s="189" t="n"/>
      <c r="AC286" s="189" t="n"/>
      <c r="AD286" s="189" t="n"/>
      <c r="AE286" s="189" t="n"/>
      <c r="AF286" s="189" t="n"/>
      <c r="AG286" s="189" t="n"/>
      <c r="AH286" s="189" t="n"/>
      <c r="AI286" s="51" t="inlineStr">
        <is>
          <t>U10Y</t>
        </is>
      </c>
    </row>
    <row r="287">
      <c r="B287" s="189" t="n"/>
      <c r="C287" s="189" t="n"/>
      <c r="D287" s="189" t="n"/>
      <c r="E287" s="189" t="n"/>
      <c r="F287" s="189" t="n"/>
      <c r="G287" s="189" t="n"/>
      <c r="H287" s="189" t="n"/>
      <c r="I287" s="189" t="n"/>
      <c r="J287" s="189" t="n"/>
      <c r="K287" s="189" t="n"/>
      <c r="L287" s="189" t="n"/>
      <c r="M287" s="189" t="n"/>
      <c r="N287" s="189" t="n"/>
      <c r="O287" s="189" t="n"/>
      <c r="P287" s="189" t="n"/>
      <c r="Q287" s="189" t="n"/>
      <c r="R287" s="189" t="n"/>
      <c r="S287" s="189" t="n"/>
      <c r="T287" s="189" t="n"/>
      <c r="U287" s="189" t="n"/>
      <c r="V287" s="189" t="n"/>
      <c r="W287" s="189" t="n"/>
      <c r="X287" s="189" t="n"/>
      <c r="Y287" s="189" t="n"/>
      <c r="Z287" s="189" t="n"/>
      <c r="AA287" s="189" t="n"/>
      <c r="AB287" s="189" t="n"/>
      <c r="AC287" s="189" t="n"/>
      <c r="AD287" s="189" t="n"/>
      <c r="AE287" s="189" t="n"/>
      <c r="AF287" s="189" t="n"/>
      <c r="AG287" s="189" t="n"/>
      <c r="AH287" s="189" t="n"/>
      <c r="AI287" s="51" t="inlineStr">
        <is>
          <t>U10θ</t>
        </is>
      </c>
    </row>
    <row r="288">
      <c r="B288" s="189" t="n"/>
      <c r="C288" s="189" t="n"/>
      <c r="D288" s="189" t="n"/>
      <c r="E288" s="189" t="n"/>
      <c r="F288" s="189" t="n"/>
      <c r="G288" s="189" t="n"/>
      <c r="H288" s="189" t="n"/>
      <c r="I288" s="189" t="n"/>
      <c r="J288" s="189" t="n"/>
      <c r="K288" s="189" t="n"/>
      <c r="L288" s="189" t="n"/>
      <c r="M288" s="189" t="n"/>
      <c r="N288" s="189" t="n"/>
      <c r="O288" s="189" t="n"/>
      <c r="P288" s="189" t="n"/>
      <c r="Q288" s="189" t="n"/>
      <c r="R288" s="189" t="n"/>
      <c r="S288" s="189" t="n"/>
      <c r="T288" s="189" t="n"/>
      <c r="U288" s="189" t="n"/>
      <c r="V288" s="189" t="n"/>
      <c r="W288" s="189" t="n"/>
      <c r="X288" s="189" t="n"/>
      <c r="Y288" s="189" t="n"/>
      <c r="Z288" s="189" t="n"/>
      <c r="AA288" s="189" t="n"/>
      <c r="AB288" s="189" t="n"/>
      <c r="AC288" s="189" t="n"/>
      <c r="AD288" s="189" t="n"/>
      <c r="AE288" s="189" t="n"/>
      <c r="AF288" s="189" t="n"/>
      <c r="AG288" s="189" t="n"/>
      <c r="AH288" s="189" t="n"/>
      <c r="AI288" s="51" t="inlineStr">
        <is>
          <t>U11X</t>
        </is>
      </c>
    </row>
    <row r="289">
      <c r="B289" s="189" t="n"/>
      <c r="C289" s="189" t="n"/>
      <c r="D289" s="189" t="n"/>
      <c r="E289" s="189" t="n"/>
      <c r="F289" s="189" t="n"/>
      <c r="G289" s="189" t="n"/>
      <c r="H289" s="189" t="n"/>
      <c r="I289" s="189" t="n"/>
      <c r="J289" s="189" t="n"/>
      <c r="K289" s="189" t="n"/>
      <c r="L289" s="189" t="n"/>
      <c r="M289" s="189" t="n"/>
      <c r="N289" s="189" t="n"/>
      <c r="O289" s="189" t="n"/>
      <c r="P289" s="189" t="n"/>
      <c r="Q289" s="189" t="n"/>
      <c r="R289" s="189" t="n"/>
      <c r="S289" s="189" t="n"/>
      <c r="T289" s="189" t="n"/>
      <c r="U289" s="189" t="n"/>
      <c r="V289" s="189" t="n"/>
      <c r="W289" s="189" t="n"/>
      <c r="X289" s="189" t="n"/>
      <c r="Y289" s="189" t="n"/>
      <c r="Z289" s="189" t="n"/>
      <c r="AA289" s="189" t="n"/>
      <c r="AB289" s="189" t="n"/>
      <c r="AC289" s="189" t="n"/>
      <c r="AD289" s="189" t="n"/>
      <c r="AE289" s="189" t="n"/>
      <c r="AF289" s="189" t="n"/>
      <c r="AG289" s="189" t="n"/>
      <c r="AH289" s="189" t="n"/>
      <c r="AI289" s="51" t="inlineStr">
        <is>
          <t>U11Y</t>
        </is>
      </c>
    </row>
    <row r="290">
      <c r="B290" s="189" t="n"/>
      <c r="C290" s="189" t="n"/>
      <c r="D290" s="189" t="n"/>
      <c r="E290" s="189" t="n"/>
      <c r="F290" s="189" t="n"/>
      <c r="G290" s="189" t="n"/>
      <c r="H290" s="189" t="n"/>
      <c r="I290" s="189" t="n"/>
      <c r="J290" s="189" t="n"/>
      <c r="K290" s="189" t="n"/>
      <c r="L290" s="189" t="n"/>
      <c r="M290" s="189" t="n"/>
      <c r="N290" s="189" t="n"/>
      <c r="O290" s="189" t="n"/>
      <c r="P290" s="189" t="n"/>
      <c r="Q290" s="189" t="n"/>
      <c r="R290" s="189" t="n"/>
      <c r="S290" s="189" t="n"/>
      <c r="T290" s="189" t="n"/>
      <c r="U290" s="189" t="n"/>
      <c r="V290" s="189" t="n"/>
      <c r="W290" s="189" t="n"/>
      <c r="X290" s="189" t="n"/>
      <c r="Y290" s="189" t="n"/>
      <c r="Z290" s="189" t="n"/>
      <c r="AA290" s="189" t="n"/>
      <c r="AB290" s="189" t="n"/>
      <c r="AC290" s="189" t="n"/>
      <c r="AD290" s="189" t="n"/>
      <c r="AE290" s="189" t="n"/>
      <c r="AF290" s="189" t="n"/>
      <c r="AG290" s="189" t="n"/>
      <c r="AH290" s="189" t="n"/>
      <c r="AI290" s="51" t="inlineStr">
        <is>
          <t>U11θ</t>
        </is>
      </c>
    </row>
    <row r="292">
      <c r="B292" s="51">
        <f>IF(C28="","", CONCATENATE("U",C28,C$21))</f>
        <v/>
      </c>
      <c r="C292" s="51">
        <f>IF(D28="","", CONCATENATE("U",D28,D$21))</f>
        <v/>
      </c>
      <c r="D292" s="51">
        <f>IF(E28="","", CONCATENATE("U",E28,E$21))</f>
        <v/>
      </c>
      <c r="E292" s="51">
        <f>IF(F28="","", CONCATENATE("U",F28,F$21))</f>
        <v/>
      </c>
      <c r="F292" s="51">
        <f>IF(G28="","", CONCATENATE("U",G28,G$21))</f>
        <v/>
      </c>
      <c r="G292" s="51">
        <f>IF(H28="","", CONCATENATE("U",H28,H$21))</f>
        <v/>
      </c>
    </row>
    <row r="293">
      <c r="B293" s="8">
        <f>IF(I15="", 0, O15*J15*J15+P15*K15*K15)</f>
        <v/>
      </c>
      <c r="C293" s="189">
        <f>IF(I15="", 0, (O15-P15)*(J15*K15))</f>
        <v/>
      </c>
      <c r="D293" s="189">
        <f>IF(I15="", 0, -Q15*K15)</f>
        <v/>
      </c>
      <c r="E293" s="189">
        <f>-B293</f>
        <v/>
      </c>
      <c r="F293" s="189">
        <f>-C293</f>
        <v/>
      </c>
      <c r="G293" s="189">
        <f>D293</f>
        <v/>
      </c>
      <c r="H293" s="51">
        <f>B292</f>
        <v/>
      </c>
    </row>
    <row r="294">
      <c r="B294" s="189">
        <f>C293</f>
        <v/>
      </c>
      <c r="C294" s="8">
        <f>IF(I15="", 0, O15*K15*K15+P15*J15*J15)</f>
        <v/>
      </c>
      <c r="D294" s="189">
        <f>IF(I15="", 0, Q15*J15)</f>
        <v/>
      </c>
      <c r="E294" s="189">
        <f>-B294</f>
        <v/>
      </c>
      <c r="F294" s="189">
        <f>-C294</f>
        <v/>
      </c>
      <c r="G294" s="189">
        <f>D294</f>
        <v/>
      </c>
      <c r="H294" s="51">
        <f>C292</f>
        <v/>
      </c>
    </row>
    <row r="295">
      <c r="A295" s="118" t="inlineStr">
        <is>
          <t>K7 =</t>
        </is>
      </c>
      <c r="B295" s="189">
        <f>D293</f>
        <v/>
      </c>
      <c r="C295" s="189">
        <f>D294</f>
        <v/>
      </c>
      <c r="D295" s="8">
        <f>IF(I15="", 0, R15)</f>
        <v/>
      </c>
      <c r="E295" s="189">
        <f>-B295</f>
        <v/>
      </c>
      <c r="F295" s="189">
        <f>-C295</f>
        <v/>
      </c>
      <c r="G295" s="189">
        <f>IF(I15="", 0, S15)</f>
        <v/>
      </c>
      <c r="H295" s="51">
        <f>D292</f>
        <v/>
      </c>
    </row>
    <row r="296">
      <c r="B296" s="189">
        <f>E293</f>
        <v/>
      </c>
      <c r="C296" s="189">
        <f>E294</f>
        <v/>
      </c>
      <c r="D296" s="189">
        <f>E295</f>
        <v/>
      </c>
      <c r="E296" s="8">
        <f>B293</f>
        <v/>
      </c>
      <c r="F296" s="189">
        <f>C293</f>
        <v/>
      </c>
      <c r="G296" s="189">
        <f>-D293</f>
        <v/>
      </c>
      <c r="H296" s="51">
        <f>E292</f>
        <v/>
      </c>
    </row>
    <row r="297">
      <c r="B297" s="189">
        <f>F293</f>
        <v/>
      </c>
      <c r="C297" s="189">
        <f>F294</f>
        <v/>
      </c>
      <c r="D297" s="189">
        <f>F295</f>
        <v/>
      </c>
      <c r="E297" s="189">
        <f>F296</f>
        <v/>
      </c>
      <c r="F297" s="8">
        <f>C294</f>
        <v/>
      </c>
      <c r="G297" s="189">
        <f>-D294</f>
        <v/>
      </c>
      <c r="H297" s="51">
        <f>F292</f>
        <v/>
      </c>
    </row>
    <row r="298">
      <c r="B298" s="189">
        <f>G293</f>
        <v/>
      </c>
      <c r="C298" s="189">
        <f>G294</f>
        <v/>
      </c>
      <c r="D298" s="189">
        <f>G295</f>
        <v/>
      </c>
      <c r="E298" s="189">
        <f>G296</f>
        <v/>
      </c>
      <c r="F298" s="189">
        <f>G297</f>
        <v/>
      </c>
      <c r="G298" s="8">
        <f>D295</f>
        <v/>
      </c>
      <c r="H298" s="51">
        <f>G292</f>
        <v/>
      </c>
    </row>
    <row r="300">
      <c r="B300" s="51" t="inlineStr">
        <is>
          <t>U1X</t>
        </is>
      </c>
      <c r="C300" s="51" t="inlineStr">
        <is>
          <t>U1Y</t>
        </is>
      </c>
      <c r="D300" s="51" t="inlineStr">
        <is>
          <t>U1θ</t>
        </is>
      </c>
      <c r="E300" s="51" t="inlineStr">
        <is>
          <t>U2X</t>
        </is>
      </c>
      <c r="F300" s="51" t="inlineStr">
        <is>
          <t>U2Y</t>
        </is>
      </c>
      <c r="G300" s="51" t="inlineStr">
        <is>
          <t>U2θ</t>
        </is>
      </c>
      <c r="H300" s="51" t="inlineStr">
        <is>
          <t>U3X</t>
        </is>
      </c>
      <c r="I300" s="51" t="inlineStr">
        <is>
          <t>U3Y</t>
        </is>
      </c>
      <c r="J300" s="51" t="inlineStr">
        <is>
          <t>U3θ</t>
        </is>
      </c>
      <c r="K300" s="51" t="inlineStr">
        <is>
          <t>U4X</t>
        </is>
      </c>
      <c r="L300" s="51" t="inlineStr">
        <is>
          <t>U4Y</t>
        </is>
      </c>
      <c r="M300" s="51" t="inlineStr">
        <is>
          <t>U4θ</t>
        </is>
      </c>
      <c r="N300" s="51" t="inlineStr">
        <is>
          <t>U5X</t>
        </is>
      </c>
      <c r="O300" s="51" t="inlineStr">
        <is>
          <t>U5Y</t>
        </is>
      </c>
      <c r="P300" s="51" t="inlineStr">
        <is>
          <t>U5θ</t>
        </is>
      </c>
      <c r="Q300" s="51" t="inlineStr">
        <is>
          <t>U6X</t>
        </is>
      </c>
      <c r="R300" s="51" t="inlineStr">
        <is>
          <t>U6Y</t>
        </is>
      </c>
      <c r="S300" s="51" t="inlineStr">
        <is>
          <t>U6θ</t>
        </is>
      </c>
      <c r="T300" s="51" t="inlineStr">
        <is>
          <t>U7X</t>
        </is>
      </c>
      <c r="U300" s="51" t="inlineStr">
        <is>
          <t>U7Y</t>
        </is>
      </c>
      <c r="V300" s="51" t="inlineStr">
        <is>
          <t>U7θ</t>
        </is>
      </c>
      <c r="W300" s="51" t="inlineStr">
        <is>
          <t>U8X</t>
        </is>
      </c>
      <c r="X300" s="51" t="inlineStr">
        <is>
          <t>U8Y</t>
        </is>
      </c>
      <c r="Y300" s="51" t="inlineStr">
        <is>
          <t>U8θ</t>
        </is>
      </c>
      <c r="Z300" s="51" t="inlineStr">
        <is>
          <t>U9X</t>
        </is>
      </c>
      <c r="AA300" s="51" t="inlineStr">
        <is>
          <t>U9Y</t>
        </is>
      </c>
      <c r="AB300" s="51" t="inlineStr">
        <is>
          <t>U9θ</t>
        </is>
      </c>
      <c r="AC300" s="51" t="inlineStr">
        <is>
          <t>U10X</t>
        </is>
      </c>
      <c r="AD300" s="51" t="inlineStr">
        <is>
          <t>U10Y</t>
        </is>
      </c>
      <c r="AE300" s="51" t="inlineStr">
        <is>
          <t>U10θ</t>
        </is>
      </c>
      <c r="AF300" s="51" t="inlineStr">
        <is>
          <t>U11X</t>
        </is>
      </c>
      <c r="AG300" s="51" t="inlineStr">
        <is>
          <t>U11Y</t>
        </is>
      </c>
      <c r="AH300" s="51" t="inlineStr">
        <is>
          <t>U11θ</t>
        </is>
      </c>
    </row>
    <row r="301">
      <c r="B301" s="189" t="n"/>
      <c r="C301" s="189" t="n"/>
      <c r="D301" s="189" t="n"/>
      <c r="E301" s="189" t="n"/>
      <c r="F301" s="189" t="n"/>
      <c r="G301" s="189" t="n"/>
      <c r="H301" s="189" t="n"/>
      <c r="I301" s="189" t="n"/>
      <c r="J301" s="189" t="n"/>
      <c r="K301" s="189" t="n"/>
      <c r="L301" s="189" t="n"/>
      <c r="M301" s="189" t="n"/>
      <c r="N301" s="189" t="n"/>
      <c r="O301" s="189" t="n"/>
      <c r="P301" s="189" t="n"/>
      <c r="Q301" s="189" t="n"/>
      <c r="R301" s="189" t="n"/>
      <c r="S301" s="189" t="n"/>
      <c r="T301" s="189" t="n"/>
      <c r="U301" s="189" t="n"/>
      <c r="V301" s="189" t="n"/>
      <c r="W301" s="189" t="n"/>
      <c r="X301" s="189" t="n"/>
      <c r="Y301" s="189" t="n"/>
      <c r="Z301" s="189" t="n"/>
      <c r="AA301" s="189" t="n"/>
      <c r="AB301" s="189" t="n"/>
      <c r="AC301" s="189" t="n"/>
      <c r="AD301" s="189" t="n"/>
      <c r="AE301" s="189" t="n"/>
      <c r="AF301" s="189" t="n"/>
      <c r="AG301" s="189" t="n"/>
      <c r="AH301" s="189" t="n"/>
      <c r="AI301" s="51" t="inlineStr">
        <is>
          <t>U1X</t>
        </is>
      </c>
    </row>
    <row r="302">
      <c r="B302" s="189" t="n"/>
      <c r="C302" s="189" t="n"/>
      <c r="D302" s="189" t="n"/>
      <c r="E302" s="189" t="n"/>
      <c r="F302" s="189" t="n"/>
      <c r="G302" s="189" t="n"/>
      <c r="H302" s="189" t="n"/>
      <c r="I302" s="189" t="n"/>
      <c r="J302" s="189" t="n"/>
      <c r="K302" s="189" t="n"/>
      <c r="L302" s="189" t="n"/>
      <c r="M302" s="189" t="n"/>
      <c r="N302" s="189" t="n"/>
      <c r="O302" s="189" t="n"/>
      <c r="P302" s="189" t="n"/>
      <c r="Q302" s="189" t="n"/>
      <c r="R302" s="189" t="n"/>
      <c r="S302" s="189" t="n"/>
      <c r="T302" s="189" t="n"/>
      <c r="U302" s="189" t="n"/>
      <c r="V302" s="189" t="n"/>
      <c r="W302" s="189" t="n"/>
      <c r="X302" s="189" t="n"/>
      <c r="Y302" s="189" t="n"/>
      <c r="Z302" s="189" t="n"/>
      <c r="AA302" s="189" t="n"/>
      <c r="AB302" s="189" t="n"/>
      <c r="AC302" s="189" t="n"/>
      <c r="AD302" s="189" t="n"/>
      <c r="AE302" s="189" t="n"/>
      <c r="AF302" s="189" t="n"/>
      <c r="AG302" s="189" t="n"/>
      <c r="AH302" s="189" t="n"/>
      <c r="AI302" s="51" t="inlineStr">
        <is>
          <t>U1Y</t>
        </is>
      </c>
    </row>
    <row r="303">
      <c r="B303" s="189" t="n"/>
      <c r="C303" s="189" t="n"/>
      <c r="D303" s="189" t="n"/>
      <c r="E303" s="189" t="n"/>
      <c r="F303" s="189" t="n"/>
      <c r="G303" s="189" t="n"/>
      <c r="H303" s="189" t="n"/>
      <c r="I303" s="189" t="n"/>
      <c r="J303" s="189" t="n"/>
      <c r="K303" s="189" t="n"/>
      <c r="L303" s="189" t="n"/>
      <c r="M303" s="189" t="n"/>
      <c r="N303" s="189" t="n"/>
      <c r="O303" s="189" t="n"/>
      <c r="P303" s="189" t="n"/>
      <c r="Q303" s="189" t="n"/>
      <c r="R303" s="189" t="n"/>
      <c r="S303" s="189" t="n"/>
      <c r="T303" s="189" t="n"/>
      <c r="U303" s="189" t="n"/>
      <c r="V303" s="189" t="n"/>
      <c r="W303" s="189" t="n"/>
      <c r="X303" s="189" t="n"/>
      <c r="Y303" s="189" t="n"/>
      <c r="Z303" s="189" t="n"/>
      <c r="AA303" s="189" t="n"/>
      <c r="AB303" s="189" t="n"/>
      <c r="AC303" s="189" t="n"/>
      <c r="AD303" s="189" t="n"/>
      <c r="AE303" s="189" t="n"/>
      <c r="AF303" s="189" t="n"/>
      <c r="AG303" s="189" t="n"/>
      <c r="AH303" s="189" t="n"/>
      <c r="AI303" s="51" t="inlineStr">
        <is>
          <t>U1θ</t>
        </is>
      </c>
    </row>
    <row r="304">
      <c r="B304" s="189" t="n"/>
      <c r="C304" s="189" t="n"/>
      <c r="D304" s="189" t="n"/>
      <c r="E304" s="189" t="n"/>
      <c r="F304" s="189" t="n"/>
      <c r="G304" s="189" t="n"/>
      <c r="H304" s="189" t="n"/>
      <c r="I304" s="189" t="n"/>
      <c r="J304" s="189" t="n"/>
      <c r="K304" s="189" t="n"/>
      <c r="L304" s="189" t="n"/>
      <c r="M304" s="189" t="n"/>
      <c r="N304" s="189" t="n"/>
      <c r="O304" s="189" t="n"/>
      <c r="P304" s="189" t="n"/>
      <c r="Q304" s="189" t="n"/>
      <c r="R304" s="189" t="n"/>
      <c r="S304" s="189" t="n"/>
      <c r="T304" s="189" t="n"/>
      <c r="U304" s="189" t="n"/>
      <c r="V304" s="189" t="n"/>
      <c r="W304" s="189" t="n"/>
      <c r="X304" s="189" t="n"/>
      <c r="Y304" s="189" t="n"/>
      <c r="Z304" s="189" t="n"/>
      <c r="AA304" s="189" t="n"/>
      <c r="AB304" s="189" t="n"/>
      <c r="AC304" s="189" t="n"/>
      <c r="AD304" s="189" t="n"/>
      <c r="AE304" s="189" t="n"/>
      <c r="AF304" s="189" t="n"/>
      <c r="AG304" s="189" t="n"/>
      <c r="AH304" s="189" t="n"/>
      <c r="AI304" s="51" t="inlineStr">
        <is>
          <t>U2X</t>
        </is>
      </c>
    </row>
    <row r="305">
      <c r="B305" s="189" t="n"/>
      <c r="C305" s="189" t="n"/>
      <c r="D305" s="189" t="n"/>
      <c r="E305" s="189" t="n"/>
      <c r="F305" s="189" t="n"/>
      <c r="G305" s="189" t="n"/>
      <c r="H305" s="189" t="n"/>
      <c r="I305" s="189" t="n"/>
      <c r="J305" s="189" t="n"/>
      <c r="K305" s="189" t="n"/>
      <c r="L305" s="189" t="n"/>
      <c r="M305" s="189" t="n"/>
      <c r="N305" s="189" t="n"/>
      <c r="O305" s="189" t="n"/>
      <c r="P305" s="189" t="n"/>
      <c r="Q305" s="189" t="n"/>
      <c r="R305" s="189" t="n"/>
      <c r="S305" s="189" t="n"/>
      <c r="T305" s="189" t="n"/>
      <c r="U305" s="189" t="n"/>
      <c r="V305" s="189" t="n"/>
      <c r="W305" s="189" t="n"/>
      <c r="X305" s="189" t="n"/>
      <c r="Y305" s="189" t="n"/>
      <c r="Z305" s="189" t="n"/>
      <c r="AA305" s="189" t="n"/>
      <c r="AB305" s="189" t="n"/>
      <c r="AC305" s="189" t="n"/>
      <c r="AD305" s="189" t="n"/>
      <c r="AE305" s="189" t="n"/>
      <c r="AF305" s="189" t="n"/>
      <c r="AG305" s="189" t="n"/>
      <c r="AH305" s="189" t="n"/>
      <c r="AI305" s="51" t="inlineStr">
        <is>
          <t>U2Y</t>
        </is>
      </c>
    </row>
    <row r="306">
      <c r="B306" s="189" t="n"/>
      <c r="C306" s="189" t="n"/>
      <c r="D306" s="189" t="n"/>
      <c r="E306" s="189" t="n"/>
      <c r="F306" s="189" t="n"/>
      <c r="G306" s="189" t="n"/>
      <c r="H306" s="189" t="n"/>
      <c r="I306" s="189" t="n"/>
      <c r="J306" s="189" t="n"/>
      <c r="K306" s="189" t="n"/>
      <c r="L306" s="189" t="n"/>
      <c r="M306" s="189" t="n"/>
      <c r="N306" s="189" t="n"/>
      <c r="O306" s="189" t="n"/>
      <c r="P306" s="189" t="n"/>
      <c r="Q306" s="189" t="n"/>
      <c r="R306" s="189" t="n"/>
      <c r="S306" s="189" t="n"/>
      <c r="T306" s="189" t="n"/>
      <c r="U306" s="189" t="n"/>
      <c r="V306" s="189" t="n"/>
      <c r="W306" s="189" t="n"/>
      <c r="X306" s="189" t="n"/>
      <c r="Y306" s="189" t="n"/>
      <c r="Z306" s="189" t="n"/>
      <c r="AA306" s="189" t="n"/>
      <c r="AB306" s="189" t="n"/>
      <c r="AC306" s="189" t="n"/>
      <c r="AD306" s="189" t="n"/>
      <c r="AE306" s="189" t="n"/>
      <c r="AF306" s="189" t="n"/>
      <c r="AG306" s="189" t="n"/>
      <c r="AH306" s="189" t="n"/>
      <c r="AI306" s="51" t="inlineStr">
        <is>
          <t>U2θ</t>
        </is>
      </c>
    </row>
    <row r="307">
      <c r="B307" s="189" t="n"/>
      <c r="C307" s="189" t="n"/>
      <c r="D307" s="189" t="n"/>
      <c r="E307" s="189" t="n"/>
      <c r="F307" s="189" t="n"/>
      <c r="G307" s="189" t="n"/>
      <c r="H307" s="189" t="n"/>
      <c r="I307" s="189" t="n"/>
      <c r="J307" s="189" t="n"/>
      <c r="K307" s="189" t="n"/>
      <c r="L307" s="189" t="n"/>
      <c r="M307" s="189" t="n"/>
      <c r="N307" s="189" t="n"/>
      <c r="O307" s="189" t="n"/>
      <c r="P307" s="189" t="n"/>
      <c r="Q307" s="189" t="n"/>
      <c r="R307" s="189" t="n"/>
      <c r="S307" s="189" t="n"/>
      <c r="T307" s="189" t="n"/>
      <c r="U307" s="189" t="n"/>
      <c r="V307" s="189" t="n"/>
      <c r="W307" s="189" t="n"/>
      <c r="X307" s="189" t="n"/>
      <c r="Y307" s="189" t="n"/>
      <c r="Z307" s="189" t="n"/>
      <c r="AA307" s="189" t="n"/>
      <c r="AB307" s="189" t="n"/>
      <c r="AC307" s="189" t="n"/>
      <c r="AD307" s="189" t="n"/>
      <c r="AE307" s="189" t="n"/>
      <c r="AF307" s="189" t="n"/>
      <c r="AG307" s="189" t="n"/>
      <c r="AH307" s="189" t="n"/>
      <c r="AI307" s="51" t="inlineStr">
        <is>
          <t>U3X</t>
        </is>
      </c>
    </row>
    <row r="308">
      <c r="B308" s="189" t="n"/>
      <c r="C308" s="189" t="n"/>
      <c r="D308" s="189" t="n"/>
      <c r="E308" s="189" t="n"/>
      <c r="F308" s="189" t="n"/>
      <c r="G308" s="189" t="n"/>
      <c r="H308" s="189" t="n"/>
      <c r="I308" s="189" t="n"/>
      <c r="J308" s="189" t="n"/>
      <c r="K308" s="189" t="n"/>
      <c r="L308" s="189" t="n"/>
      <c r="M308" s="189" t="n"/>
      <c r="N308" s="189" t="n"/>
      <c r="O308" s="189" t="n"/>
      <c r="P308" s="189" t="n"/>
      <c r="Q308" s="189" t="n"/>
      <c r="R308" s="189" t="n"/>
      <c r="S308" s="189" t="n"/>
      <c r="T308" s="189" t="n"/>
      <c r="U308" s="189" t="n"/>
      <c r="V308" s="189" t="n"/>
      <c r="W308" s="189" t="n"/>
      <c r="X308" s="189" t="n"/>
      <c r="Y308" s="189" t="n"/>
      <c r="Z308" s="189" t="n"/>
      <c r="AA308" s="189" t="n"/>
      <c r="AB308" s="189" t="n"/>
      <c r="AC308" s="189" t="n"/>
      <c r="AD308" s="189" t="n"/>
      <c r="AE308" s="189" t="n"/>
      <c r="AF308" s="189" t="n"/>
      <c r="AG308" s="189" t="n"/>
      <c r="AH308" s="189" t="n"/>
      <c r="AI308" s="51" t="inlineStr">
        <is>
          <t>U3Y</t>
        </is>
      </c>
    </row>
    <row r="309">
      <c r="B309" s="189" t="n"/>
      <c r="C309" s="189" t="n"/>
      <c r="D309" s="189" t="n"/>
      <c r="E309" s="189" t="n"/>
      <c r="F309" s="189" t="n"/>
      <c r="G309" s="189" t="n"/>
      <c r="H309" s="189" t="n"/>
      <c r="I309" s="189" t="n"/>
      <c r="J309" s="189" t="n"/>
      <c r="K309" s="189" t="n"/>
      <c r="L309" s="189" t="n"/>
      <c r="M309" s="189" t="n"/>
      <c r="N309" s="189" t="n"/>
      <c r="O309" s="189" t="n"/>
      <c r="P309" s="189" t="n"/>
      <c r="Q309" s="189" t="n"/>
      <c r="R309" s="189" t="n"/>
      <c r="S309" s="189" t="n"/>
      <c r="T309" s="189" t="n"/>
      <c r="U309" s="189" t="n"/>
      <c r="V309" s="189" t="n"/>
      <c r="W309" s="189" t="n"/>
      <c r="X309" s="189" t="n"/>
      <c r="Y309" s="189" t="n"/>
      <c r="Z309" s="189" t="n"/>
      <c r="AA309" s="189" t="n"/>
      <c r="AB309" s="189" t="n"/>
      <c r="AC309" s="189" t="n"/>
      <c r="AD309" s="189" t="n"/>
      <c r="AE309" s="189" t="n"/>
      <c r="AF309" s="189" t="n"/>
      <c r="AG309" s="189" t="n"/>
      <c r="AH309" s="189" t="n"/>
      <c r="AI309" s="51" t="inlineStr">
        <is>
          <t>U3θ</t>
        </is>
      </c>
    </row>
    <row r="310">
      <c r="B310" s="189" t="n"/>
      <c r="C310" s="189" t="n"/>
      <c r="D310" s="189" t="n"/>
      <c r="E310" s="189" t="n"/>
      <c r="F310" s="189" t="n"/>
      <c r="G310" s="189" t="n"/>
      <c r="H310" s="189" t="n"/>
      <c r="I310" s="189" t="n"/>
      <c r="J310" s="189" t="n"/>
      <c r="K310" s="189" t="n"/>
      <c r="L310" s="189" t="n"/>
      <c r="M310" s="189" t="n"/>
      <c r="N310" s="189" t="n"/>
      <c r="O310" s="189" t="n"/>
      <c r="P310" s="189" t="n"/>
      <c r="Q310" s="189" t="n"/>
      <c r="R310" s="189" t="n"/>
      <c r="S310" s="189" t="n"/>
      <c r="T310" s="189" t="n"/>
      <c r="U310" s="189" t="n"/>
      <c r="V310" s="189" t="n"/>
      <c r="W310" s="189" t="n"/>
      <c r="X310" s="189" t="n"/>
      <c r="Y310" s="189" t="n"/>
      <c r="Z310" s="189" t="n"/>
      <c r="AA310" s="189" t="n"/>
      <c r="AB310" s="189" t="n"/>
      <c r="AC310" s="189" t="n"/>
      <c r="AD310" s="189" t="n"/>
      <c r="AE310" s="189" t="n"/>
      <c r="AF310" s="189" t="n"/>
      <c r="AG310" s="189" t="n"/>
      <c r="AH310" s="189" t="n"/>
      <c r="AI310" s="51" t="inlineStr">
        <is>
          <t>U4X</t>
        </is>
      </c>
    </row>
    <row r="311">
      <c r="B311" s="189" t="n"/>
      <c r="C311" s="189" t="n"/>
      <c r="D311" s="189" t="n"/>
      <c r="E311" s="189" t="n"/>
      <c r="F311" s="189" t="n"/>
      <c r="G311" s="189" t="n"/>
      <c r="H311" s="189" t="n"/>
      <c r="I311" s="189" t="n"/>
      <c r="J311" s="189" t="n"/>
      <c r="K311" s="189" t="n"/>
      <c r="L311" s="189" t="n"/>
      <c r="M311" s="189" t="n"/>
      <c r="N311" s="189" t="n"/>
      <c r="O311" s="189" t="n"/>
      <c r="P311" s="189" t="n"/>
      <c r="Q311" s="189" t="n"/>
      <c r="R311" s="189" t="n"/>
      <c r="S311" s="189" t="n"/>
      <c r="T311" s="189" t="n"/>
      <c r="U311" s="189" t="n"/>
      <c r="V311" s="189" t="n"/>
      <c r="W311" s="189" t="n"/>
      <c r="X311" s="189" t="n"/>
      <c r="Y311" s="189" t="n"/>
      <c r="Z311" s="189" t="n"/>
      <c r="AA311" s="189" t="n"/>
      <c r="AB311" s="189" t="n"/>
      <c r="AC311" s="189" t="n"/>
      <c r="AD311" s="189" t="n"/>
      <c r="AE311" s="189" t="n"/>
      <c r="AF311" s="189" t="n"/>
      <c r="AG311" s="189" t="n"/>
      <c r="AH311" s="189" t="n"/>
      <c r="AI311" s="51" t="inlineStr">
        <is>
          <t>U4Y</t>
        </is>
      </c>
    </row>
    <row r="312">
      <c r="B312" s="189" t="n"/>
      <c r="C312" s="189" t="n"/>
      <c r="D312" s="189" t="n"/>
      <c r="E312" s="189" t="n"/>
      <c r="F312" s="189" t="n"/>
      <c r="G312" s="189" t="n"/>
      <c r="H312" s="189" t="n"/>
      <c r="I312" s="189" t="n"/>
      <c r="J312" s="189" t="n"/>
      <c r="K312" s="189" t="n"/>
      <c r="L312" s="189" t="n"/>
      <c r="M312" s="189" t="n"/>
      <c r="N312" s="189" t="n"/>
      <c r="O312" s="189" t="n"/>
      <c r="P312" s="189" t="n"/>
      <c r="Q312" s="189" t="n"/>
      <c r="R312" s="189" t="n"/>
      <c r="S312" s="189" t="n"/>
      <c r="T312" s="189" t="n"/>
      <c r="U312" s="189" t="n"/>
      <c r="V312" s="189" t="n"/>
      <c r="W312" s="189" t="n"/>
      <c r="X312" s="189" t="n"/>
      <c r="Y312" s="189" t="n"/>
      <c r="Z312" s="189" t="n"/>
      <c r="AA312" s="189" t="n"/>
      <c r="AB312" s="189" t="n"/>
      <c r="AC312" s="189" t="n"/>
      <c r="AD312" s="189" t="n"/>
      <c r="AE312" s="189" t="n"/>
      <c r="AF312" s="189" t="n"/>
      <c r="AG312" s="189" t="n"/>
      <c r="AH312" s="189" t="n"/>
      <c r="AI312" s="51" t="inlineStr">
        <is>
          <t>U4θ</t>
        </is>
      </c>
    </row>
    <row r="313">
      <c r="B313" s="189" t="n"/>
      <c r="C313" s="189" t="n"/>
      <c r="D313" s="189" t="n"/>
      <c r="E313" s="189" t="n"/>
      <c r="F313" s="189" t="n"/>
      <c r="G313" s="189" t="n"/>
      <c r="H313" s="189" t="n"/>
      <c r="I313" s="189" t="n"/>
      <c r="J313" s="189" t="n"/>
      <c r="K313" s="189" t="n"/>
      <c r="L313" s="189" t="n"/>
      <c r="M313" s="189" t="n"/>
      <c r="N313" s="189" t="n"/>
      <c r="O313" s="189" t="n"/>
      <c r="P313" s="189" t="n"/>
      <c r="Q313" s="189" t="n"/>
      <c r="R313" s="189" t="n"/>
      <c r="S313" s="189" t="n"/>
      <c r="T313" s="189" t="n"/>
      <c r="U313" s="189" t="n"/>
      <c r="V313" s="189" t="n"/>
      <c r="W313" s="189" t="n"/>
      <c r="X313" s="189" t="n"/>
      <c r="Y313" s="189" t="n"/>
      <c r="Z313" s="189" t="n"/>
      <c r="AA313" s="189" t="n"/>
      <c r="AB313" s="189" t="n"/>
      <c r="AC313" s="189" t="n"/>
      <c r="AD313" s="189" t="n"/>
      <c r="AE313" s="189" t="n"/>
      <c r="AF313" s="189" t="n"/>
      <c r="AG313" s="189" t="n"/>
      <c r="AH313" s="189" t="n"/>
      <c r="AI313" s="51" t="inlineStr">
        <is>
          <t>U5X</t>
        </is>
      </c>
    </row>
    <row r="314">
      <c r="B314" s="189" t="n"/>
      <c r="C314" s="189" t="n"/>
      <c r="D314" s="189" t="n"/>
      <c r="E314" s="189" t="n"/>
      <c r="F314" s="189" t="n"/>
      <c r="G314" s="189" t="n"/>
      <c r="H314" s="189" t="n"/>
      <c r="I314" s="189" t="n"/>
      <c r="J314" s="189" t="n"/>
      <c r="K314" s="189" t="n"/>
      <c r="L314" s="189" t="n"/>
      <c r="M314" s="189" t="n"/>
      <c r="N314" s="189" t="n"/>
      <c r="O314" s="189" t="n"/>
      <c r="P314" s="189" t="n"/>
      <c r="Q314" s="189" t="n"/>
      <c r="R314" s="189" t="n"/>
      <c r="S314" s="189" t="n"/>
      <c r="T314" s="189" t="n"/>
      <c r="U314" s="189" t="n"/>
      <c r="V314" s="189" t="n"/>
      <c r="W314" s="189" t="n"/>
      <c r="X314" s="189" t="n"/>
      <c r="Y314" s="189" t="n"/>
      <c r="Z314" s="189" t="n"/>
      <c r="AA314" s="189" t="n"/>
      <c r="AB314" s="189" t="n"/>
      <c r="AC314" s="189" t="n"/>
      <c r="AD314" s="189" t="n"/>
      <c r="AE314" s="189" t="n"/>
      <c r="AF314" s="189" t="n"/>
      <c r="AG314" s="189" t="n"/>
      <c r="AH314" s="189" t="n"/>
      <c r="AI314" s="51" t="inlineStr">
        <is>
          <t>U5Y</t>
        </is>
      </c>
    </row>
    <row r="315">
      <c r="B315" s="189" t="n"/>
      <c r="C315" s="189" t="n"/>
      <c r="D315" s="189" t="n"/>
      <c r="E315" s="189" t="n"/>
      <c r="F315" s="189" t="n"/>
      <c r="G315" s="189" t="n"/>
      <c r="H315" s="189" t="n"/>
      <c r="I315" s="189" t="n"/>
      <c r="J315" s="189" t="n"/>
      <c r="K315" s="189" t="n"/>
      <c r="L315" s="189" t="n"/>
      <c r="M315" s="189" t="n"/>
      <c r="N315" s="189" t="n"/>
      <c r="O315" s="189" t="n"/>
      <c r="P315" s="189" t="n"/>
      <c r="Q315" s="189" t="n"/>
      <c r="R315" s="189" t="n"/>
      <c r="S315" s="189" t="n"/>
      <c r="T315" s="189" t="n"/>
      <c r="U315" s="189" t="n"/>
      <c r="V315" s="189" t="n"/>
      <c r="W315" s="189" t="n"/>
      <c r="X315" s="189" t="n"/>
      <c r="Y315" s="189" t="n"/>
      <c r="Z315" s="189" t="n"/>
      <c r="AA315" s="189" t="n"/>
      <c r="AB315" s="189" t="n"/>
      <c r="AC315" s="189" t="n"/>
      <c r="AD315" s="189" t="n"/>
      <c r="AE315" s="189" t="n"/>
      <c r="AF315" s="189" t="n"/>
      <c r="AG315" s="189" t="n"/>
      <c r="AH315" s="189" t="n"/>
      <c r="AI315" s="51" t="inlineStr">
        <is>
          <t>U5θ</t>
        </is>
      </c>
    </row>
    <row r="316">
      <c r="A316" s="118" t="inlineStr">
        <is>
          <t>K7 =</t>
        </is>
      </c>
      <c r="B316" s="189" t="n"/>
      <c r="C316" s="189" t="n"/>
      <c r="D316" s="189" t="n"/>
      <c r="E316" s="189" t="n"/>
      <c r="F316" s="189" t="n"/>
      <c r="G316" s="189" t="n"/>
      <c r="H316" s="189" t="n"/>
      <c r="I316" s="189" t="n"/>
      <c r="J316" s="189" t="n"/>
      <c r="K316" s="189" t="n"/>
      <c r="L316" s="189" t="n"/>
      <c r="M316" s="189" t="n"/>
      <c r="N316" s="189" t="n"/>
      <c r="O316" s="189" t="n"/>
      <c r="P316" s="189" t="n"/>
      <c r="Q316" s="189" t="n"/>
      <c r="R316" s="189" t="n"/>
      <c r="S316" s="189" t="n"/>
      <c r="T316" s="189" t="n"/>
      <c r="U316" s="189" t="n"/>
      <c r="V316" s="189" t="n"/>
      <c r="W316" s="189" t="n"/>
      <c r="X316" s="189" t="n"/>
      <c r="Y316" s="189" t="n"/>
      <c r="Z316" s="189" t="n"/>
      <c r="AA316" s="189" t="n"/>
      <c r="AB316" s="189" t="n"/>
      <c r="AC316" s="189" t="n"/>
      <c r="AD316" s="189" t="n"/>
      <c r="AE316" s="189" t="n"/>
      <c r="AF316" s="189" t="n"/>
      <c r="AG316" s="189" t="n"/>
      <c r="AH316" s="189" t="n"/>
      <c r="AI316" s="51" t="inlineStr">
        <is>
          <t>U6X</t>
        </is>
      </c>
    </row>
    <row r="317">
      <c r="B317" s="189" t="n"/>
      <c r="C317" s="189" t="n"/>
      <c r="D317" s="189" t="n"/>
      <c r="E317" s="189" t="n"/>
      <c r="F317" s="189" t="n"/>
      <c r="G317" s="189" t="n"/>
      <c r="H317" s="189" t="n"/>
      <c r="I317" s="189" t="n"/>
      <c r="J317" s="189" t="n"/>
      <c r="K317" s="189" t="n"/>
      <c r="L317" s="189" t="n"/>
      <c r="M317" s="189" t="n"/>
      <c r="N317" s="189" t="n"/>
      <c r="O317" s="189" t="n"/>
      <c r="P317" s="189" t="n"/>
      <c r="Q317" s="189" t="n"/>
      <c r="R317" s="189" t="n"/>
      <c r="S317" s="189" t="n"/>
      <c r="T317" s="189" t="n"/>
      <c r="U317" s="189" t="n"/>
      <c r="V317" s="189" t="n"/>
      <c r="W317" s="189" t="n"/>
      <c r="X317" s="189" t="n"/>
      <c r="Y317" s="189" t="n"/>
      <c r="Z317" s="189" t="n"/>
      <c r="AA317" s="189" t="n"/>
      <c r="AB317" s="189" t="n"/>
      <c r="AC317" s="189" t="n"/>
      <c r="AD317" s="189" t="n"/>
      <c r="AE317" s="189" t="n"/>
      <c r="AF317" s="189" t="n"/>
      <c r="AG317" s="189" t="n"/>
      <c r="AH317" s="189" t="n"/>
      <c r="AI317" s="51" t="inlineStr">
        <is>
          <t>U6Y</t>
        </is>
      </c>
    </row>
    <row r="318">
      <c r="B318" s="189" t="n"/>
      <c r="C318" s="189" t="n"/>
      <c r="D318" s="189" t="n"/>
      <c r="E318" s="189" t="n"/>
      <c r="F318" s="189" t="n"/>
      <c r="G318" s="189" t="n"/>
      <c r="H318" s="189" t="n"/>
      <c r="I318" s="189" t="n"/>
      <c r="J318" s="189" t="n"/>
      <c r="K318" s="189" t="n"/>
      <c r="L318" s="189" t="n"/>
      <c r="M318" s="189" t="n"/>
      <c r="N318" s="189" t="n"/>
      <c r="O318" s="189" t="n"/>
      <c r="P318" s="189" t="n"/>
      <c r="Q318" s="189" t="n"/>
      <c r="R318" s="189" t="n"/>
      <c r="S318" s="189" t="n"/>
      <c r="T318" s="189" t="n"/>
      <c r="U318" s="189" t="n"/>
      <c r="V318" s="189" t="n"/>
      <c r="W318" s="189" t="n"/>
      <c r="X318" s="189" t="n"/>
      <c r="Y318" s="189" t="n"/>
      <c r="Z318" s="189" t="n"/>
      <c r="AA318" s="189" t="n"/>
      <c r="AB318" s="189" t="n"/>
      <c r="AC318" s="189" t="n"/>
      <c r="AD318" s="189" t="n"/>
      <c r="AE318" s="189" t="n"/>
      <c r="AF318" s="189" t="n"/>
      <c r="AG318" s="189" t="n"/>
      <c r="AH318" s="189" t="n"/>
      <c r="AI318" s="51" t="inlineStr">
        <is>
          <t>U6θ</t>
        </is>
      </c>
    </row>
    <row r="319">
      <c r="B319" s="189" t="n"/>
      <c r="C319" s="189" t="n"/>
      <c r="D319" s="189" t="n"/>
      <c r="E319" s="189" t="n"/>
      <c r="F319" s="189" t="n"/>
      <c r="G319" s="189" t="n"/>
      <c r="H319" s="189" t="n"/>
      <c r="I319" s="189" t="n"/>
      <c r="J319" s="189" t="n"/>
      <c r="K319" s="189" t="n"/>
      <c r="L319" s="189" t="n"/>
      <c r="M319" s="189" t="n"/>
      <c r="N319" s="189" t="n"/>
      <c r="O319" s="189" t="n"/>
      <c r="P319" s="189" t="n"/>
      <c r="Q319" s="189" t="n"/>
      <c r="R319" s="189" t="n"/>
      <c r="S319" s="189" t="n"/>
      <c r="T319" s="189">
        <f>B293</f>
        <v/>
      </c>
      <c r="U319" s="189">
        <f>C293</f>
        <v/>
      </c>
      <c r="V319" s="189">
        <f>D293</f>
        <v/>
      </c>
      <c r="W319" s="189">
        <f>E293</f>
        <v/>
      </c>
      <c r="X319" s="189">
        <f>F293</f>
        <v/>
      </c>
      <c r="Y319" s="189">
        <f>G293</f>
        <v/>
      </c>
      <c r="Z319" s="189" t="n"/>
      <c r="AA319" s="189" t="n"/>
      <c r="AB319" s="189" t="n"/>
      <c r="AC319" s="189" t="n"/>
      <c r="AD319" s="189" t="n"/>
      <c r="AE319" s="189" t="n"/>
      <c r="AF319" s="189" t="n"/>
      <c r="AG319" s="189" t="n"/>
      <c r="AH319" s="189" t="n"/>
      <c r="AI319" s="51" t="inlineStr">
        <is>
          <t>U7X</t>
        </is>
      </c>
    </row>
    <row r="320">
      <c r="B320" s="189" t="n"/>
      <c r="C320" s="189" t="n"/>
      <c r="D320" s="189" t="n"/>
      <c r="E320" s="189" t="n"/>
      <c r="F320" s="189" t="n"/>
      <c r="G320" s="189" t="n"/>
      <c r="H320" s="189" t="n"/>
      <c r="I320" s="189" t="n"/>
      <c r="J320" s="189" t="n"/>
      <c r="K320" s="189" t="n"/>
      <c r="L320" s="189" t="n"/>
      <c r="M320" s="189" t="n"/>
      <c r="N320" s="189" t="n"/>
      <c r="O320" s="189" t="n"/>
      <c r="P320" s="189" t="n"/>
      <c r="Q320" s="189" t="n"/>
      <c r="R320" s="189" t="n"/>
      <c r="S320" s="189" t="n"/>
      <c r="T320" s="189">
        <f>B294</f>
        <v/>
      </c>
      <c r="U320" s="189">
        <f>C294</f>
        <v/>
      </c>
      <c r="V320" s="189">
        <f>D294</f>
        <v/>
      </c>
      <c r="W320" s="189">
        <f>E294</f>
        <v/>
      </c>
      <c r="X320" s="189">
        <f>F294</f>
        <v/>
      </c>
      <c r="Y320" s="189">
        <f>G294</f>
        <v/>
      </c>
      <c r="Z320" s="189" t="n"/>
      <c r="AA320" s="189" t="n"/>
      <c r="AB320" s="189" t="n"/>
      <c r="AC320" s="189" t="n"/>
      <c r="AD320" s="189" t="n"/>
      <c r="AE320" s="189" t="n"/>
      <c r="AF320" s="189" t="n"/>
      <c r="AG320" s="189" t="n"/>
      <c r="AH320" s="189" t="n"/>
      <c r="AI320" s="51" t="inlineStr">
        <is>
          <t>U7Y</t>
        </is>
      </c>
    </row>
    <row r="321">
      <c r="B321" s="189" t="n"/>
      <c r="C321" s="189" t="n"/>
      <c r="D321" s="189" t="n"/>
      <c r="E321" s="189" t="n"/>
      <c r="F321" s="189" t="n"/>
      <c r="G321" s="189" t="n"/>
      <c r="H321" s="189" t="n"/>
      <c r="I321" s="189" t="n"/>
      <c r="J321" s="189" t="n"/>
      <c r="K321" s="189" t="n"/>
      <c r="L321" s="189" t="n"/>
      <c r="M321" s="189" t="n"/>
      <c r="N321" s="189" t="n"/>
      <c r="O321" s="189" t="n"/>
      <c r="P321" s="189" t="n"/>
      <c r="Q321" s="189" t="n"/>
      <c r="R321" s="189" t="n"/>
      <c r="S321" s="189" t="n"/>
      <c r="T321" s="189">
        <f>B295</f>
        <v/>
      </c>
      <c r="U321" s="189">
        <f>C295</f>
        <v/>
      </c>
      <c r="V321" s="189">
        <f>D295</f>
        <v/>
      </c>
      <c r="W321" s="189">
        <f>E295</f>
        <v/>
      </c>
      <c r="X321" s="189">
        <f>F295</f>
        <v/>
      </c>
      <c r="Y321" s="189">
        <f>G295</f>
        <v/>
      </c>
      <c r="Z321" s="189" t="n"/>
      <c r="AA321" s="189" t="n"/>
      <c r="AB321" s="189" t="n"/>
      <c r="AC321" s="189" t="n"/>
      <c r="AD321" s="189" t="n"/>
      <c r="AE321" s="189" t="n"/>
      <c r="AF321" s="189" t="n"/>
      <c r="AG321" s="189" t="n"/>
      <c r="AH321" s="189" t="n"/>
      <c r="AI321" s="51" t="inlineStr">
        <is>
          <t>U7θ</t>
        </is>
      </c>
    </row>
    <row r="322">
      <c r="B322" s="189" t="n"/>
      <c r="C322" s="189" t="n"/>
      <c r="D322" s="189" t="n"/>
      <c r="E322" s="189" t="n"/>
      <c r="F322" s="189" t="n"/>
      <c r="G322" s="189" t="n"/>
      <c r="H322" s="189" t="n"/>
      <c r="I322" s="189" t="n"/>
      <c r="J322" s="189" t="n"/>
      <c r="K322" s="189" t="n"/>
      <c r="L322" s="189" t="n"/>
      <c r="M322" s="189" t="n"/>
      <c r="N322" s="189" t="n"/>
      <c r="O322" s="189" t="n"/>
      <c r="P322" s="189" t="n"/>
      <c r="Q322" s="189" t="n"/>
      <c r="R322" s="189" t="n"/>
      <c r="S322" s="189" t="n"/>
      <c r="T322" s="189">
        <f>B296</f>
        <v/>
      </c>
      <c r="U322" s="189">
        <f>C296</f>
        <v/>
      </c>
      <c r="V322" s="189">
        <f>D296</f>
        <v/>
      </c>
      <c r="W322" s="189">
        <f>E296</f>
        <v/>
      </c>
      <c r="X322" s="189">
        <f>F296</f>
        <v/>
      </c>
      <c r="Y322" s="189">
        <f>G296</f>
        <v/>
      </c>
      <c r="Z322" s="189" t="n"/>
      <c r="AA322" s="189" t="n"/>
      <c r="AB322" s="189" t="n"/>
      <c r="AC322" s="189" t="n"/>
      <c r="AD322" s="189" t="n"/>
      <c r="AE322" s="189" t="n"/>
      <c r="AF322" s="189" t="n"/>
      <c r="AG322" s="189" t="n"/>
      <c r="AH322" s="189" t="n"/>
      <c r="AI322" s="51" t="inlineStr">
        <is>
          <t>U8X</t>
        </is>
      </c>
    </row>
    <row r="323">
      <c r="B323" s="189" t="n"/>
      <c r="C323" s="189" t="n"/>
      <c r="D323" s="189" t="n"/>
      <c r="E323" s="189" t="n"/>
      <c r="F323" s="189" t="n"/>
      <c r="G323" s="189" t="n"/>
      <c r="H323" s="189" t="n"/>
      <c r="I323" s="189" t="n"/>
      <c r="J323" s="189" t="n"/>
      <c r="K323" s="189" t="n"/>
      <c r="L323" s="189" t="n"/>
      <c r="M323" s="189" t="n"/>
      <c r="N323" s="189" t="n"/>
      <c r="O323" s="189" t="n"/>
      <c r="P323" s="189" t="n"/>
      <c r="Q323" s="189" t="n"/>
      <c r="R323" s="189" t="n"/>
      <c r="S323" s="189" t="n"/>
      <c r="T323" s="189">
        <f>B297</f>
        <v/>
      </c>
      <c r="U323" s="189">
        <f>C297</f>
        <v/>
      </c>
      <c r="V323" s="189">
        <f>D297</f>
        <v/>
      </c>
      <c r="W323" s="189">
        <f>E297</f>
        <v/>
      </c>
      <c r="X323" s="189">
        <f>F297</f>
        <v/>
      </c>
      <c r="Y323" s="189">
        <f>G297</f>
        <v/>
      </c>
      <c r="Z323" s="189" t="n"/>
      <c r="AA323" s="189" t="n"/>
      <c r="AB323" s="189" t="n"/>
      <c r="AC323" s="189" t="n"/>
      <c r="AD323" s="189" t="n"/>
      <c r="AE323" s="189" t="n"/>
      <c r="AF323" s="189" t="n"/>
      <c r="AG323" s="189" t="n"/>
      <c r="AH323" s="189" t="n"/>
      <c r="AI323" s="51" t="inlineStr">
        <is>
          <t>U8Y</t>
        </is>
      </c>
    </row>
    <row r="324">
      <c r="B324" s="189" t="n"/>
      <c r="C324" s="189" t="n"/>
      <c r="D324" s="189" t="n"/>
      <c r="E324" s="189" t="n"/>
      <c r="F324" s="189" t="n"/>
      <c r="G324" s="189" t="n"/>
      <c r="H324" s="189" t="n"/>
      <c r="I324" s="189" t="n"/>
      <c r="J324" s="189" t="n"/>
      <c r="K324" s="189" t="n"/>
      <c r="L324" s="189" t="n"/>
      <c r="M324" s="189" t="n"/>
      <c r="N324" s="189" t="n"/>
      <c r="O324" s="189" t="n"/>
      <c r="P324" s="189" t="n"/>
      <c r="Q324" s="189" t="n"/>
      <c r="R324" s="189" t="n"/>
      <c r="S324" s="189" t="n"/>
      <c r="T324" s="189">
        <f>B298</f>
        <v/>
      </c>
      <c r="U324" s="189">
        <f>C298</f>
        <v/>
      </c>
      <c r="V324" s="189">
        <f>D298</f>
        <v/>
      </c>
      <c r="W324" s="189">
        <f>E298</f>
        <v/>
      </c>
      <c r="X324" s="189">
        <f>F298</f>
        <v/>
      </c>
      <c r="Y324" s="189">
        <f>G298</f>
        <v/>
      </c>
      <c r="Z324" s="189" t="n"/>
      <c r="AA324" s="189" t="n"/>
      <c r="AB324" s="189" t="n"/>
      <c r="AC324" s="189" t="n"/>
      <c r="AD324" s="189" t="n"/>
      <c r="AE324" s="189" t="n"/>
      <c r="AF324" s="189" t="n"/>
      <c r="AG324" s="189" t="n"/>
      <c r="AH324" s="189" t="n"/>
      <c r="AI324" s="51" t="inlineStr">
        <is>
          <t>U8θ</t>
        </is>
      </c>
    </row>
    <row r="325">
      <c r="B325" s="189" t="n"/>
      <c r="C325" s="189" t="n"/>
      <c r="D325" s="189" t="n"/>
      <c r="E325" s="189" t="n"/>
      <c r="F325" s="189" t="n"/>
      <c r="G325" s="189" t="n"/>
      <c r="H325" s="189" t="n"/>
      <c r="I325" s="189" t="n"/>
      <c r="J325" s="189" t="n"/>
      <c r="K325" s="189" t="n"/>
      <c r="L325" s="189" t="n"/>
      <c r="M325" s="189" t="n"/>
      <c r="N325" s="189" t="n"/>
      <c r="O325" s="189" t="n"/>
      <c r="P325" s="189" t="n"/>
      <c r="Q325" s="189" t="n"/>
      <c r="R325" s="189" t="n"/>
      <c r="S325" s="189" t="n"/>
      <c r="T325" s="189" t="n"/>
      <c r="U325" s="189" t="n"/>
      <c r="V325" s="189" t="n"/>
      <c r="W325" s="189" t="n"/>
      <c r="X325" s="189" t="n"/>
      <c r="Y325" s="189" t="n"/>
      <c r="Z325" s="189" t="n"/>
      <c r="AA325" s="189" t="n"/>
      <c r="AB325" s="189" t="n"/>
      <c r="AC325" s="189" t="n"/>
      <c r="AD325" s="189" t="n"/>
      <c r="AE325" s="189" t="n"/>
      <c r="AF325" s="189" t="n"/>
      <c r="AG325" s="189" t="n"/>
      <c r="AH325" s="189" t="n"/>
      <c r="AI325" s="51" t="inlineStr">
        <is>
          <t>U9X</t>
        </is>
      </c>
    </row>
    <row r="326">
      <c r="B326" s="189" t="n"/>
      <c r="C326" s="189" t="n"/>
      <c r="D326" s="189" t="n"/>
      <c r="E326" s="189" t="n"/>
      <c r="F326" s="189" t="n"/>
      <c r="G326" s="189" t="n"/>
      <c r="H326" s="189" t="n"/>
      <c r="I326" s="189" t="n"/>
      <c r="J326" s="189" t="n"/>
      <c r="K326" s="189" t="n"/>
      <c r="L326" s="189" t="n"/>
      <c r="M326" s="189" t="n"/>
      <c r="N326" s="189" t="n"/>
      <c r="O326" s="189" t="n"/>
      <c r="P326" s="189" t="n"/>
      <c r="Q326" s="189" t="n"/>
      <c r="R326" s="189" t="n"/>
      <c r="S326" s="189" t="n"/>
      <c r="T326" s="189" t="n"/>
      <c r="U326" s="189" t="n"/>
      <c r="V326" s="189" t="n"/>
      <c r="W326" s="189" t="n"/>
      <c r="X326" s="189" t="n"/>
      <c r="Y326" s="189" t="n"/>
      <c r="Z326" s="189" t="n"/>
      <c r="AA326" s="189" t="n"/>
      <c r="AB326" s="189" t="n"/>
      <c r="AC326" s="189" t="n"/>
      <c r="AD326" s="189" t="n"/>
      <c r="AE326" s="189" t="n"/>
      <c r="AF326" s="189" t="n"/>
      <c r="AG326" s="189" t="n"/>
      <c r="AH326" s="189" t="n"/>
      <c r="AI326" s="51" t="inlineStr">
        <is>
          <t>U9Y</t>
        </is>
      </c>
    </row>
    <row r="327">
      <c r="B327" s="189" t="n"/>
      <c r="C327" s="189" t="n"/>
      <c r="D327" s="189" t="n"/>
      <c r="E327" s="189" t="n"/>
      <c r="F327" s="189" t="n"/>
      <c r="G327" s="189" t="n"/>
      <c r="H327" s="189" t="n"/>
      <c r="I327" s="189" t="n"/>
      <c r="J327" s="189" t="n"/>
      <c r="K327" s="189" t="n"/>
      <c r="L327" s="189" t="n"/>
      <c r="M327" s="189" t="n"/>
      <c r="N327" s="189" t="n"/>
      <c r="O327" s="189" t="n"/>
      <c r="P327" s="189" t="n"/>
      <c r="Q327" s="189" t="n"/>
      <c r="R327" s="189" t="n"/>
      <c r="S327" s="189" t="n"/>
      <c r="T327" s="189" t="n"/>
      <c r="U327" s="189" t="n"/>
      <c r="V327" s="189" t="n"/>
      <c r="W327" s="189" t="n"/>
      <c r="X327" s="189" t="n"/>
      <c r="Y327" s="189" t="n"/>
      <c r="Z327" s="189" t="n"/>
      <c r="AA327" s="189" t="n"/>
      <c r="AB327" s="189" t="n"/>
      <c r="AC327" s="189" t="n"/>
      <c r="AD327" s="189" t="n"/>
      <c r="AE327" s="189" t="n"/>
      <c r="AF327" s="189" t="n"/>
      <c r="AG327" s="189" t="n"/>
      <c r="AH327" s="189" t="n"/>
      <c r="AI327" s="51" t="inlineStr">
        <is>
          <t>U9θ</t>
        </is>
      </c>
    </row>
    <row r="328">
      <c r="B328" s="189" t="n"/>
      <c r="C328" s="189" t="n"/>
      <c r="D328" s="189" t="n"/>
      <c r="E328" s="189" t="n"/>
      <c r="F328" s="189" t="n"/>
      <c r="G328" s="189" t="n"/>
      <c r="H328" s="189" t="n"/>
      <c r="I328" s="189" t="n"/>
      <c r="J328" s="189" t="n"/>
      <c r="K328" s="189" t="n"/>
      <c r="L328" s="189" t="n"/>
      <c r="M328" s="189" t="n"/>
      <c r="N328" s="189" t="n"/>
      <c r="O328" s="189" t="n"/>
      <c r="P328" s="189" t="n"/>
      <c r="Q328" s="189" t="n"/>
      <c r="R328" s="189" t="n"/>
      <c r="S328" s="189" t="n"/>
      <c r="T328" s="189" t="n"/>
      <c r="U328" s="189" t="n"/>
      <c r="V328" s="189" t="n"/>
      <c r="W328" s="189" t="n"/>
      <c r="X328" s="189" t="n"/>
      <c r="Y328" s="189" t="n"/>
      <c r="Z328" s="189" t="n"/>
      <c r="AA328" s="189" t="n"/>
      <c r="AB328" s="189" t="n"/>
      <c r="AC328" s="189" t="n"/>
      <c r="AD328" s="189" t="n"/>
      <c r="AE328" s="189" t="n"/>
      <c r="AF328" s="189" t="n"/>
      <c r="AG328" s="189" t="n"/>
      <c r="AH328" s="189" t="n"/>
      <c r="AI328" s="51" t="inlineStr">
        <is>
          <t>U10X</t>
        </is>
      </c>
    </row>
    <row r="329">
      <c r="B329" s="189" t="n"/>
      <c r="C329" s="189" t="n"/>
      <c r="D329" s="189" t="n"/>
      <c r="E329" s="189" t="n"/>
      <c r="F329" s="189" t="n"/>
      <c r="G329" s="189" t="n"/>
      <c r="H329" s="189" t="n"/>
      <c r="I329" s="189" t="n"/>
      <c r="J329" s="189" t="n"/>
      <c r="K329" s="189" t="n"/>
      <c r="L329" s="189" t="n"/>
      <c r="M329" s="189" t="n"/>
      <c r="N329" s="189" t="n"/>
      <c r="O329" s="189" t="n"/>
      <c r="P329" s="189" t="n"/>
      <c r="Q329" s="189" t="n"/>
      <c r="R329" s="189" t="n"/>
      <c r="S329" s="189" t="n"/>
      <c r="T329" s="189" t="n"/>
      <c r="U329" s="189" t="n"/>
      <c r="V329" s="189" t="n"/>
      <c r="W329" s="189" t="n"/>
      <c r="X329" s="189" t="n"/>
      <c r="Y329" s="189" t="n"/>
      <c r="Z329" s="189" t="n"/>
      <c r="AA329" s="189" t="n"/>
      <c r="AB329" s="189" t="n"/>
      <c r="AC329" s="189" t="n"/>
      <c r="AD329" s="189" t="n"/>
      <c r="AE329" s="189" t="n"/>
      <c r="AF329" s="189" t="n"/>
      <c r="AG329" s="189" t="n"/>
      <c r="AH329" s="189" t="n"/>
      <c r="AI329" s="51" t="inlineStr">
        <is>
          <t>U10Y</t>
        </is>
      </c>
    </row>
    <row r="330">
      <c r="B330" s="189" t="n"/>
      <c r="C330" s="189" t="n"/>
      <c r="D330" s="189" t="n"/>
      <c r="E330" s="189" t="n"/>
      <c r="F330" s="189" t="n"/>
      <c r="G330" s="189" t="n"/>
      <c r="H330" s="189" t="n"/>
      <c r="I330" s="189" t="n"/>
      <c r="J330" s="189" t="n"/>
      <c r="K330" s="189" t="n"/>
      <c r="L330" s="189" t="n"/>
      <c r="M330" s="189" t="n"/>
      <c r="N330" s="189" t="n"/>
      <c r="O330" s="189" t="n"/>
      <c r="P330" s="189" t="n"/>
      <c r="Q330" s="189" t="n"/>
      <c r="R330" s="189" t="n"/>
      <c r="S330" s="189" t="n"/>
      <c r="T330" s="189" t="n"/>
      <c r="U330" s="189" t="n"/>
      <c r="V330" s="189" t="n"/>
      <c r="W330" s="189" t="n"/>
      <c r="X330" s="189" t="n"/>
      <c r="Y330" s="189" t="n"/>
      <c r="Z330" s="189" t="n"/>
      <c r="AA330" s="189" t="n"/>
      <c r="AB330" s="189" t="n"/>
      <c r="AC330" s="189" t="n"/>
      <c r="AD330" s="189" t="n"/>
      <c r="AE330" s="189" t="n"/>
      <c r="AF330" s="189" t="n"/>
      <c r="AG330" s="189" t="n"/>
      <c r="AH330" s="189" t="n"/>
      <c r="AI330" s="51" t="inlineStr">
        <is>
          <t>U10θ</t>
        </is>
      </c>
    </row>
    <row r="331">
      <c r="B331" s="189" t="n"/>
      <c r="C331" s="189" t="n"/>
      <c r="D331" s="189" t="n"/>
      <c r="E331" s="189" t="n"/>
      <c r="F331" s="189" t="n"/>
      <c r="G331" s="189" t="n"/>
      <c r="H331" s="189" t="n"/>
      <c r="I331" s="189" t="n"/>
      <c r="J331" s="189" t="n"/>
      <c r="K331" s="189" t="n"/>
      <c r="L331" s="189" t="n"/>
      <c r="M331" s="189" t="n"/>
      <c r="N331" s="189" t="n"/>
      <c r="O331" s="189" t="n"/>
      <c r="P331" s="189" t="n"/>
      <c r="Q331" s="189" t="n"/>
      <c r="R331" s="189" t="n"/>
      <c r="S331" s="189" t="n"/>
      <c r="T331" s="189" t="n"/>
      <c r="U331" s="189" t="n"/>
      <c r="V331" s="189" t="n"/>
      <c r="W331" s="189" t="n"/>
      <c r="X331" s="189" t="n"/>
      <c r="Y331" s="189" t="n"/>
      <c r="Z331" s="189" t="n"/>
      <c r="AA331" s="189" t="n"/>
      <c r="AB331" s="189" t="n"/>
      <c r="AC331" s="189" t="n"/>
      <c r="AD331" s="189" t="n"/>
      <c r="AE331" s="189" t="n"/>
      <c r="AF331" s="189" t="n"/>
      <c r="AG331" s="189" t="n"/>
      <c r="AH331" s="189" t="n"/>
      <c r="AI331" s="51" t="inlineStr">
        <is>
          <t>U11X</t>
        </is>
      </c>
    </row>
    <row r="332">
      <c r="B332" s="189" t="n"/>
      <c r="C332" s="189" t="n"/>
      <c r="D332" s="189" t="n"/>
      <c r="E332" s="189" t="n"/>
      <c r="F332" s="189" t="n"/>
      <c r="G332" s="189" t="n"/>
      <c r="H332" s="189" t="n"/>
      <c r="I332" s="189" t="n"/>
      <c r="J332" s="189" t="n"/>
      <c r="K332" s="189" t="n"/>
      <c r="L332" s="189" t="n"/>
      <c r="M332" s="189" t="n"/>
      <c r="N332" s="189" t="n"/>
      <c r="O332" s="189" t="n"/>
      <c r="P332" s="189" t="n"/>
      <c r="Q332" s="189" t="n"/>
      <c r="R332" s="189" t="n"/>
      <c r="S332" s="189" t="n"/>
      <c r="T332" s="189" t="n"/>
      <c r="U332" s="189" t="n"/>
      <c r="V332" s="189" t="n"/>
      <c r="W332" s="189" t="n"/>
      <c r="X332" s="189" t="n"/>
      <c r="Y332" s="189" t="n"/>
      <c r="Z332" s="189" t="n"/>
      <c r="AA332" s="189" t="n"/>
      <c r="AB332" s="189" t="n"/>
      <c r="AC332" s="189" t="n"/>
      <c r="AD332" s="189" t="n"/>
      <c r="AE332" s="189" t="n"/>
      <c r="AF332" s="189" t="n"/>
      <c r="AG332" s="189" t="n"/>
      <c r="AH332" s="189" t="n"/>
      <c r="AI332" s="51" t="inlineStr">
        <is>
          <t>U11Y</t>
        </is>
      </c>
    </row>
    <row r="333">
      <c r="B333" s="189" t="n"/>
      <c r="C333" s="189" t="n"/>
      <c r="D333" s="189" t="n"/>
      <c r="E333" s="189" t="n"/>
      <c r="F333" s="189" t="n"/>
      <c r="G333" s="189" t="n"/>
      <c r="H333" s="189" t="n"/>
      <c r="I333" s="189" t="n"/>
      <c r="J333" s="189" t="n"/>
      <c r="K333" s="189" t="n"/>
      <c r="L333" s="189" t="n"/>
      <c r="M333" s="189" t="n"/>
      <c r="N333" s="189" t="n"/>
      <c r="O333" s="189" t="n"/>
      <c r="P333" s="189" t="n"/>
      <c r="Q333" s="189" t="n"/>
      <c r="R333" s="189" t="n"/>
      <c r="S333" s="189" t="n"/>
      <c r="T333" s="189" t="n"/>
      <c r="U333" s="189" t="n"/>
      <c r="V333" s="189" t="n"/>
      <c r="W333" s="189" t="n"/>
      <c r="X333" s="189" t="n"/>
      <c r="Y333" s="189" t="n"/>
      <c r="Z333" s="189" t="n"/>
      <c r="AA333" s="189" t="n"/>
      <c r="AB333" s="189" t="n"/>
      <c r="AC333" s="189" t="n"/>
      <c r="AD333" s="189" t="n"/>
      <c r="AE333" s="189" t="n"/>
      <c r="AF333" s="189" t="n"/>
      <c r="AG333" s="189" t="n"/>
      <c r="AH333" s="189" t="n"/>
      <c r="AI333" s="51" t="inlineStr">
        <is>
          <t>U11θ</t>
        </is>
      </c>
    </row>
    <row r="335">
      <c r="B335" s="51">
        <f>IF(C29="","", CONCATENATE("U",C29,C$21))</f>
        <v/>
      </c>
      <c r="C335" s="51">
        <f>IF(D29="","", CONCATENATE("U",D29,D$21))</f>
        <v/>
      </c>
      <c r="D335" s="51">
        <f>IF(E29="","", CONCATENATE("U",E29,E$21))</f>
        <v/>
      </c>
      <c r="E335" s="51">
        <f>IF(F29="","", CONCATENATE("U",F29,F$21))</f>
        <v/>
      </c>
      <c r="F335" s="51">
        <f>IF(G29="","", CONCATENATE("U",G29,G$21))</f>
        <v/>
      </c>
      <c r="G335" s="51">
        <f>IF(H29="","", CONCATENATE("U",H29,H$21))</f>
        <v/>
      </c>
    </row>
    <row r="336">
      <c r="B336" s="8">
        <f>IF(I16="", 0, O16*J16*J16+P16*K16*K16)</f>
        <v/>
      </c>
      <c r="C336" s="189">
        <f>IF(I16="", 0, (O16-P16)*(J16*K16))</f>
        <v/>
      </c>
      <c r="D336" s="189">
        <f>IF(I16="", 0, -Q16*K16)</f>
        <v/>
      </c>
      <c r="E336" s="189">
        <f>-B336</f>
        <v/>
      </c>
      <c r="F336" s="189">
        <f>-C336</f>
        <v/>
      </c>
      <c r="G336" s="189">
        <f>D336</f>
        <v/>
      </c>
      <c r="H336" s="51">
        <f>B335</f>
        <v/>
      </c>
    </row>
    <row r="337">
      <c r="B337" s="189">
        <f>C336</f>
        <v/>
      </c>
      <c r="C337" s="8">
        <f>IF(I16="", 0, O16*K16*K16+P16*J16*J16)</f>
        <v/>
      </c>
      <c r="D337" s="189">
        <f>IF(I16="", 0, Q16*J16)</f>
        <v/>
      </c>
      <c r="E337" s="189">
        <f>-B337</f>
        <v/>
      </c>
      <c r="F337" s="189">
        <f>-C337</f>
        <v/>
      </c>
      <c r="G337" s="189">
        <f>D337</f>
        <v/>
      </c>
      <c r="H337" s="51">
        <f>C335</f>
        <v/>
      </c>
    </row>
    <row r="338">
      <c r="A338" s="118" t="inlineStr">
        <is>
          <t>K8 =</t>
        </is>
      </c>
      <c r="B338" s="189">
        <f>D336</f>
        <v/>
      </c>
      <c r="C338" s="189">
        <f>D337</f>
        <v/>
      </c>
      <c r="D338" s="8">
        <f>IF(I16="", 0, R16)</f>
        <v/>
      </c>
      <c r="E338" s="189">
        <f>-B338</f>
        <v/>
      </c>
      <c r="F338" s="189">
        <f>-C338</f>
        <v/>
      </c>
      <c r="G338" s="189">
        <f>IF(I16="", 0, S16)</f>
        <v/>
      </c>
      <c r="H338" s="51">
        <f>D335</f>
        <v/>
      </c>
    </row>
    <row r="339">
      <c r="B339" s="189">
        <f>E336</f>
        <v/>
      </c>
      <c r="C339" s="189">
        <f>E337</f>
        <v/>
      </c>
      <c r="D339" s="189">
        <f>E338</f>
        <v/>
      </c>
      <c r="E339" s="8">
        <f>B336</f>
        <v/>
      </c>
      <c r="F339" s="189">
        <f>C336</f>
        <v/>
      </c>
      <c r="G339" s="189">
        <f>-D336</f>
        <v/>
      </c>
      <c r="H339" s="51">
        <f>E335</f>
        <v/>
      </c>
    </row>
    <row r="340">
      <c r="B340" s="189">
        <f>F336</f>
        <v/>
      </c>
      <c r="C340" s="189">
        <f>F337</f>
        <v/>
      </c>
      <c r="D340" s="189">
        <f>F338</f>
        <v/>
      </c>
      <c r="E340" s="189">
        <f>F339</f>
        <v/>
      </c>
      <c r="F340" s="8">
        <f>C337</f>
        <v/>
      </c>
      <c r="G340" s="189">
        <f>-D337</f>
        <v/>
      </c>
      <c r="H340" s="51">
        <f>F335</f>
        <v/>
      </c>
    </row>
    <row r="341">
      <c r="B341" s="189">
        <f>G336</f>
        <v/>
      </c>
      <c r="C341" s="189">
        <f>G337</f>
        <v/>
      </c>
      <c r="D341" s="189">
        <f>G338</f>
        <v/>
      </c>
      <c r="E341" s="189">
        <f>G339</f>
        <v/>
      </c>
      <c r="F341" s="189">
        <f>G340</f>
        <v/>
      </c>
      <c r="G341" s="8">
        <f>D338</f>
        <v/>
      </c>
      <c r="H341" s="51">
        <f>G335</f>
        <v/>
      </c>
    </row>
    <row r="343">
      <c r="B343" s="51" t="inlineStr">
        <is>
          <t>U1X</t>
        </is>
      </c>
      <c r="C343" s="51" t="inlineStr">
        <is>
          <t>U1Y</t>
        </is>
      </c>
      <c r="D343" s="51" t="inlineStr">
        <is>
          <t>U1θ</t>
        </is>
      </c>
      <c r="E343" s="51" t="inlineStr">
        <is>
          <t>U2X</t>
        </is>
      </c>
      <c r="F343" s="51" t="inlineStr">
        <is>
          <t>U2Y</t>
        </is>
      </c>
      <c r="G343" s="51" t="inlineStr">
        <is>
          <t>U2θ</t>
        </is>
      </c>
      <c r="H343" s="51" t="inlineStr">
        <is>
          <t>U3X</t>
        </is>
      </c>
      <c r="I343" s="51" t="inlineStr">
        <is>
          <t>U3Y</t>
        </is>
      </c>
      <c r="J343" s="51" t="inlineStr">
        <is>
          <t>U3θ</t>
        </is>
      </c>
      <c r="K343" s="51" t="inlineStr">
        <is>
          <t>U4X</t>
        </is>
      </c>
      <c r="L343" s="51" t="inlineStr">
        <is>
          <t>U4Y</t>
        </is>
      </c>
      <c r="M343" s="51" t="inlineStr">
        <is>
          <t>U4θ</t>
        </is>
      </c>
      <c r="N343" s="51" t="inlineStr">
        <is>
          <t>U5X</t>
        </is>
      </c>
      <c r="O343" s="51" t="inlineStr">
        <is>
          <t>U5Y</t>
        </is>
      </c>
      <c r="P343" s="51" t="inlineStr">
        <is>
          <t>U5θ</t>
        </is>
      </c>
      <c r="Q343" s="51" t="inlineStr">
        <is>
          <t>U6X</t>
        </is>
      </c>
      <c r="R343" s="51" t="inlineStr">
        <is>
          <t>U6Y</t>
        </is>
      </c>
      <c r="S343" s="51" t="inlineStr">
        <is>
          <t>U6θ</t>
        </is>
      </c>
      <c r="T343" s="51" t="inlineStr">
        <is>
          <t>U7X</t>
        </is>
      </c>
      <c r="U343" s="51" t="inlineStr">
        <is>
          <t>U7Y</t>
        </is>
      </c>
      <c r="V343" s="51" t="inlineStr">
        <is>
          <t>U7θ</t>
        </is>
      </c>
      <c r="W343" s="51" t="inlineStr">
        <is>
          <t>U8X</t>
        </is>
      </c>
      <c r="X343" s="51" t="inlineStr">
        <is>
          <t>U8Y</t>
        </is>
      </c>
      <c r="Y343" s="51" t="inlineStr">
        <is>
          <t>U8θ</t>
        </is>
      </c>
      <c r="Z343" s="51" t="inlineStr">
        <is>
          <t>U9X</t>
        </is>
      </c>
      <c r="AA343" s="51" t="inlineStr">
        <is>
          <t>U9Y</t>
        </is>
      </c>
      <c r="AB343" s="51" t="inlineStr">
        <is>
          <t>U9θ</t>
        </is>
      </c>
      <c r="AC343" s="51" t="inlineStr">
        <is>
          <t>U10X</t>
        </is>
      </c>
      <c r="AD343" s="51" t="inlineStr">
        <is>
          <t>U10Y</t>
        </is>
      </c>
      <c r="AE343" s="51" t="inlineStr">
        <is>
          <t>U10θ</t>
        </is>
      </c>
      <c r="AF343" s="51" t="inlineStr">
        <is>
          <t>U11X</t>
        </is>
      </c>
      <c r="AG343" s="51" t="inlineStr">
        <is>
          <t>U11Y</t>
        </is>
      </c>
      <c r="AH343" s="51" t="inlineStr">
        <is>
          <t>U11θ</t>
        </is>
      </c>
    </row>
    <row r="344">
      <c r="B344" s="189" t="n"/>
      <c r="C344" s="189" t="n"/>
      <c r="D344" s="189" t="n"/>
      <c r="E344" s="189" t="n"/>
      <c r="F344" s="189" t="n"/>
      <c r="G344" s="189" t="n"/>
      <c r="H344" s="189" t="n"/>
      <c r="I344" s="189" t="n"/>
      <c r="J344" s="189" t="n"/>
      <c r="K344" s="189" t="n"/>
      <c r="L344" s="189" t="n"/>
      <c r="M344" s="189" t="n"/>
      <c r="N344" s="189" t="n"/>
      <c r="O344" s="189" t="n"/>
      <c r="P344" s="189" t="n"/>
      <c r="Q344" s="189" t="n"/>
      <c r="R344" s="189" t="n"/>
      <c r="S344" s="189" t="n"/>
      <c r="T344" s="189" t="n"/>
      <c r="U344" s="189" t="n"/>
      <c r="V344" s="189" t="n"/>
      <c r="W344" s="189" t="n"/>
      <c r="X344" s="189" t="n"/>
      <c r="Y344" s="189" t="n"/>
      <c r="Z344" s="189" t="n"/>
      <c r="AA344" s="189" t="n"/>
      <c r="AB344" s="189" t="n"/>
      <c r="AC344" s="189" t="n"/>
      <c r="AD344" s="189" t="n"/>
      <c r="AE344" s="189" t="n"/>
      <c r="AF344" s="189" t="n"/>
      <c r="AG344" s="189" t="n"/>
      <c r="AH344" s="189" t="n"/>
      <c r="AI344" s="51" t="inlineStr">
        <is>
          <t>U1X</t>
        </is>
      </c>
    </row>
    <row r="345">
      <c r="B345" s="189" t="n"/>
      <c r="C345" s="189" t="n"/>
      <c r="D345" s="189" t="n"/>
      <c r="E345" s="189" t="n"/>
      <c r="F345" s="189" t="n"/>
      <c r="G345" s="189" t="n"/>
      <c r="H345" s="189" t="n"/>
      <c r="I345" s="189" t="n"/>
      <c r="J345" s="189" t="n"/>
      <c r="K345" s="189" t="n"/>
      <c r="L345" s="189" t="n"/>
      <c r="M345" s="189" t="n"/>
      <c r="N345" s="189" t="n"/>
      <c r="O345" s="189" t="n"/>
      <c r="P345" s="189" t="n"/>
      <c r="Q345" s="189" t="n"/>
      <c r="R345" s="189" t="n"/>
      <c r="S345" s="189" t="n"/>
      <c r="T345" s="189" t="n"/>
      <c r="U345" s="189" t="n"/>
      <c r="V345" s="189" t="n"/>
      <c r="W345" s="189" t="n"/>
      <c r="X345" s="189" t="n"/>
      <c r="Y345" s="189" t="n"/>
      <c r="Z345" s="189" t="n"/>
      <c r="AA345" s="189" t="n"/>
      <c r="AB345" s="189" t="n"/>
      <c r="AC345" s="189" t="n"/>
      <c r="AD345" s="189" t="n"/>
      <c r="AE345" s="189" t="n"/>
      <c r="AF345" s="189" t="n"/>
      <c r="AG345" s="189" t="n"/>
      <c r="AH345" s="189" t="n"/>
      <c r="AI345" s="51" t="inlineStr">
        <is>
          <t>U1Y</t>
        </is>
      </c>
    </row>
    <row r="346">
      <c r="B346" s="189" t="n"/>
      <c r="C346" s="189" t="n"/>
      <c r="D346" s="189" t="n"/>
      <c r="E346" s="189" t="n"/>
      <c r="F346" s="189" t="n"/>
      <c r="G346" s="189" t="n"/>
      <c r="H346" s="189" t="n"/>
      <c r="I346" s="189" t="n"/>
      <c r="J346" s="189" t="n"/>
      <c r="K346" s="189" t="n"/>
      <c r="L346" s="189" t="n"/>
      <c r="M346" s="189" t="n"/>
      <c r="N346" s="189" t="n"/>
      <c r="O346" s="189" t="n"/>
      <c r="P346" s="189" t="n"/>
      <c r="Q346" s="189" t="n"/>
      <c r="R346" s="189" t="n"/>
      <c r="S346" s="189" t="n"/>
      <c r="T346" s="189" t="n"/>
      <c r="U346" s="189" t="n"/>
      <c r="V346" s="189" t="n"/>
      <c r="W346" s="189" t="n"/>
      <c r="X346" s="189" t="n"/>
      <c r="Y346" s="189" t="n"/>
      <c r="Z346" s="189" t="n"/>
      <c r="AA346" s="189" t="n"/>
      <c r="AB346" s="189" t="n"/>
      <c r="AC346" s="189" t="n"/>
      <c r="AD346" s="189" t="n"/>
      <c r="AE346" s="189" t="n"/>
      <c r="AF346" s="189" t="n"/>
      <c r="AG346" s="189" t="n"/>
      <c r="AH346" s="189" t="n"/>
      <c r="AI346" s="51" t="inlineStr">
        <is>
          <t>U1θ</t>
        </is>
      </c>
    </row>
    <row r="347">
      <c r="B347" s="189" t="n"/>
      <c r="C347" s="189" t="n"/>
      <c r="D347" s="189" t="n"/>
      <c r="E347" s="189" t="n"/>
      <c r="F347" s="189" t="n"/>
      <c r="G347" s="189" t="n"/>
      <c r="H347" s="189" t="n"/>
      <c r="I347" s="189" t="n"/>
      <c r="J347" s="189" t="n"/>
      <c r="K347" s="189" t="n"/>
      <c r="L347" s="189" t="n"/>
      <c r="M347" s="189" t="n"/>
      <c r="N347" s="189" t="n"/>
      <c r="O347" s="189" t="n"/>
      <c r="P347" s="189" t="n"/>
      <c r="Q347" s="189" t="n"/>
      <c r="R347" s="189" t="n"/>
      <c r="S347" s="189" t="n"/>
      <c r="T347" s="189" t="n"/>
      <c r="U347" s="189" t="n"/>
      <c r="V347" s="189" t="n"/>
      <c r="W347" s="189" t="n"/>
      <c r="X347" s="189" t="n"/>
      <c r="Y347" s="189" t="n"/>
      <c r="Z347" s="189" t="n"/>
      <c r="AA347" s="189" t="n"/>
      <c r="AB347" s="189" t="n"/>
      <c r="AC347" s="189" t="n"/>
      <c r="AD347" s="189" t="n"/>
      <c r="AE347" s="189" t="n"/>
      <c r="AF347" s="189" t="n"/>
      <c r="AG347" s="189" t="n"/>
      <c r="AH347" s="189" t="n"/>
      <c r="AI347" s="51" t="inlineStr">
        <is>
          <t>U2X</t>
        </is>
      </c>
    </row>
    <row r="348">
      <c r="B348" s="189" t="n"/>
      <c r="C348" s="189" t="n"/>
      <c r="D348" s="189" t="n"/>
      <c r="E348" s="189" t="n"/>
      <c r="F348" s="189" t="n"/>
      <c r="G348" s="189" t="n"/>
      <c r="H348" s="189" t="n"/>
      <c r="I348" s="189" t="n"/>
      <c r="J348" s="189" t="n"/>
      <c r="K348" s="189" t="n"/>
      <c r="L348" s="189" t="n"/>
      <c r="M348" s="189" t="n"/>
      <c r="N348" s="189" t="n"/>
      <c r="O348" s="189" t="n"/>
      <c r="P348" s="189" t="n"/>
      <c r="Q348" s="189" t="n"/>
      <c r="R348" s="189" t="n"/>
      <c r="S348" s="189" t="n"/>
      <c r="T348" s="189" t="n"/>
      <c r="U348" s="189" t="n"/>
      <c r="V348" s="189" t="n"/>
      <c r="W348" s="189" t="n"/>
      <c r="X348" s="189" t="n"/>
      <c r="Y348" s="189" t="n"/>
      <c r="Z348" s="189" t="n"/>
      <c r="AA348" s="189" t="n"/>
      <c r="AB348" s="189" t="n"/>
      <c r="AC348" s="189" t="n"/>
      <c r="AD348" s="189" t="n"/>
      <c r="AE348" s="189" t="n"/>
      <c r="AF348" s="189" t="n"/>
      <c r="AG348" s="189" t="n"/>
      <c r="AH348" s="189" t="n"/>
      <c r="AI348" s="51" t="inlineStr">
        <is>
          <t>U2Y</t>
        </is>
      </c>
    </row>
    <row r="349">
      <c r="B349" s="189" t="n"/>
      <c r="C349" s="189" t="n"/>
      <c r="D349" s="189" t="n"/>
      <c r="E349" s="189" t="n"/>
      <c r="F349" s="189" t="n"/>
      <c r="G349" s="189" t="n"/>
      <c r="H349" s="189" t="n"/>
      <c r="I349" s="189" t="n"/>
      <c r="J349" s="189" t="n"/>
      <c r="K349" s="189" t="n"/>
      <c r="L349" s="189" t="n"/>
      <c r="M349" s="189" t="n"/>
      <c r="N349" s="189" t="n"/>
      <c r="O349" s="189" t="n"/>
      <c r="P349" s="189" t="n"/>
      <c r="Q349" s="189" t="n"/>
      <c r="R349" s="189" t="n"/>
      <c r="S349" s="189" t="n"/>
      <c r="T349" s="189" t="n"/>
      <c r="U349" s="189" t="n"/>
      <c r="V349" s="189" t="n"/>
      <c r="W349" s="189" t="n"/>
      <c r="X349" s="189" t="n"/>
      <c r="Y349" s="189" t="n"/>
      <c r="Z349" s="189" t="n"/>
      <c r="AA349" s="189" t="n"/>
      <c r="AB349" s="189" t="n"/>
      <c r="AC349" s="189" t="n"/>
      <c r="AD349" s="189" t="n"/>
      <c r="AE349" s="189" t="n"/>
      <c r="AF349" s="189" t="n"/>
      <c r="AG349" s="189" t="n"/>
      <c r="AH349" s="189" t="n"/>
      <c r="AI349" s="51" t="inlineStr">
        <is>
          <t>U2θ</t>
        </is>
      </c>
    </row>
    <row r="350">
      <c r="B350" s="189" t="n"/>
      <c r="C350" s="189" t="n"/>
      <c r="D350" s="189" t="n"/>
      <c r="E350" s="189" t="n"/>
      <c r="F350" s="189" t="n"/>
      <c r="G350" s="189" t="n"/>
      <c r="H350" s="189" t="n"/>
      <c r="I350" s="189" t="n"/>
      <c r="J350" s="189" t="n"/>
      <c r="K350" s="189" t="n"/>
      <c r="L350" s="189" t="n"/>
      <c r="M350" s="189" t="n"/>
      <c r="N350" s="189" t="n"/>
      <c r="O350" s="189" t="n"/>
      <c r="P350" s="189" t="n"/>
      <c r="Q350" s="189" t="n"/>
      <c r="R350" s="189" t="n"/>
      <c r="S350" s="189" t="n"/>
      <c r="T350" s="189" t="n"/>
      <c r="U350" s="189" t="n"/>
      <c r="V350" s="189" t="n"/>
      <c r="W350" s="189" t="n"/>
      <c r="X350" s="189" t="n"/>
      <c r="Y350" s="189" t="n"/>
      <c r="Z350" s="189" t="n"/>
      <c r="AA350" s="189" t="n"/>
      <c r="AB350" s="189" t="n"/>
      <c r="AC350" s="189" t="n"/>
      <c r="AD350" s="189" t="n"/>
      <c r="AE350" s="189" t="n"/>
      <c r="AF350" s="189" t="n"/>
      <c r="AG350" s="189" t="n"/>
      <c r="AH350" s="189" t="n"/>
      <c r="AI350" s="51" t="inlineStr">
        <is>
          <t>U3X</t>
        </is>
      </c>
    </row>
    <row r="351">
      <c r="B351" s="189" t="n"/>
      <c r="C351" s="189" t="n"/>
      <c r="D351" s="189" t="n"/>
      <c r="E351" s="189" t="n"/>
      <c r="F351" s="189" t="n"/>
      <c r="G351" s="189" t="n"/>
      <c r="H351" s="189" t="n"/>
      <c r="I351" s="189" t="n"/>
      <c r="J351" s="189" t="n"/>
      <c r="K351" s="189" t="n"/>
      <c r="L351" s="189" t="n"/>
      <c r="M351" s="189" t="n"/>
      <c r="N351" s="189" t="n"/>
      <c r="O351" s="189" t="n"/>
      <c r="P351" s="189" t="n"/>
      <c r="Q351" s="189" t="n"/>
      <c r="R351" s="189" t="n"/>
      <c r="S351" s="189" t="n"/>
      <c r="T351" s="189" t="n"/>
      <c r="U351" s="189" t="n"/>
      <c r="V351" s="189" t="n"/>
      <c r="W351" s="189" t="n"/>
      <c r="X351" s="189" t="n"/>
      <c r="Y351" s="189" t="n"/>
      <c r="Z351" s="189" t="n"/>
      <c r="AA351" s="189" t="n"/>
      <c r="AB351" s="189" t="n"/>
      <c r="AC351" s="189" t="n"/>
      <c r="AD351" s="189" t="n"/>
      <c r="AE351" s="189" t="n"/>
      <c r="AF351" s="189" t="n"/>
      <c r="AG351" s="189" t="n"/>
      <c r="AH351" s="189" t="n"/>
      <c r="AI351" s="51" t="inlineStr">
        <is>
          <t>U3Y</t>
        </is>
      </c>
    </row>
    <row r="352">
      <c r="B352" s="189" t="n"/>
      <c r="C352" s="189" t="n"/>
      <c r="D352" s="189" t="n"/>
      <c r="E352" s="189" t="n"/>
      <c r="F352" s="189" t="n"/>
      <c r="G352" s="189" t="n"/>
      <c r="H352" s="189" t="n"/>
      <c r="I352" s="189" t="n"/>
      <c r="J352" s="189" t="n"/>
      <c r="K352" s="189" t="n"/>
      <c r="L352" s="189" t="n"/>
      <c r="M352" s="189" t="n"/>
      <c r="N352" s="189" t="n"/>
      <c r="O352" s="189" t="n"/>
      <c r="P352" s="189" t="n"/>
      <c r="Q352" s="189" t="n"/>
      <c r="R352" s="189" t="n"/>
      <c r="S352" s="189" t="n"/>
      <c r="T352" s="189" t="n"/>
      <c r="U352" s="189" t="n"/>
      <c r="V352" s="189" t="n"/>
      <c r="W352" s="189" t="n"/>
      <c r="X352" s="189" t="n"/>
      <c r="Y352" s="189" t="n"/>
      <c r="Z352" s="189" t="n"/>
      <c r="AA352" s="189" t="n"/>
      <c r="AB352" s="189" t="n"/>
      <c r="AC352" s="189" t="n"/>
      <c r="AD352" s="189" t="n"/>
      <c r="AE352" s="189" t="n"/>
      <c r="AF352" s="189" t="n"/>
      <c r="AG352" s="189" t="n"/>
      <c r="AH352" s="189" t="n"/>
      <c r="AI352" s="51" t="inlineStr">
        <is>
          <t>U3θ</t>
        </is>
      </c>
    </row>
    <row r="353">
      <c r="B353" s="189" t="n"/>
      <c r="C353" s="189" t="n"/>
      <c r="D353" s="189" t="n"/>
      <c r="E353" s="189" t="n"/>
      <c r="F353" s="189" t="n"/>
      <c r="G353" s="189" t="n"/>
      <c r="H353" s="189" t="n"/>
      <c r="I353" s="189" t="n"/>
      <c r="J353" s="189" t="n"/>
      <c r="K353" s="189" t="n"/>
      <c r="L353" s="189" t="n"/>
      <c r="M353" s="189" t="n"/>
      <c r="N353" s="189" t="n"/>
      <c r="O353" s="189" t="n"/>
      <c r="P353" s="189" t="n"/>
      <c r="Q353" s="189" t="n"/>
      <c r="R353" s="189" t="n"/>
      <c r="S353" s="189" t="n"/>
      <c r="T353" s="189" t="n"/>
      <c r="U353" s="189" t="n"/>
      <c r="V353" s="189" t="n"/>
      <c r="W353" s="189" t="n"/>
      <c r="X353" s="189" t="n"/>
      <c r="Y353" s="189" t="n"/>
      <c r="Z353" s="189" t="n"/>
      <c r="AA353" s="189" t="n"/>
      <c r="AB353" s="189" t="n"/>
      <c r="AC353" s="189" t="n"/>
      <c r="AD353" s="189" t="n"/>
      <c r="AE353" s="189" t="n"/>
      <c r="AF353" s="189" t="n"/>
      <c r="AG353" s="189" t="n"/>
      <c r="AH353" s="189" t="n"/>
      <c r="AI353" s="51" t="inlineStr">
        <is>
          <t>U4X</t>
        </is>
      </c>
    </row>
    <row r="354">
      <c r="B354" s="189" t="n"/>
      <c r="C354" s="189" t="n"/>
      <c r="D354" s="189" t="n"/>
      <c r="E354" s="189" t="n"/>
      <c r="F354" s="189" t="n"/>
      <c r="G354" s="189" t="n"/>
      <c r="H354" s="189" t="n"/>
      <c r="I354" s="189" t="n"/>
      <c r="J354" s="189" t="n"/>
      <c r="K354" s="189" t="n"/>
      <c r="L354" s="189" t="n"/>
      <c r="M354" s="189" t="n"/>
      <c r="N354" s="189" t="n"/>
      <c r="O354" s="189" t="n"/>
      <c r="P354" s="189" t="n"/>
      <c r="Q354" s="189" t="n"/>
      <c r="R354" s="189" t="n"/>
      <c r="S354" s="189" t="n"/>
      <c r="T354" s="189" t="n"/>
      <c r="U354" s="189" t="n"/>
      <c r="V354" s="189" t="n"/>
      <c r="W354" s="189" t="n"/>
      <c r="X354" s="189" t="n"/>
      <c r="Y354" s="189" t="n"/>
      <c r="Z354" s="189" t="n"/>
      <c r="AA354" s="189" t="n"/>
      <c r="AB354" s="189" t="n"/>
      <c r="AC354" s="189" t="n"/>
      <c r="AD354" s="189" t="n"/>
      <c r="AE354" s="189" t="n"/>
      <c r="AF354" s="189" t="n"/>
      <c r="AG354" s="189" t="n"/>
      <c r="AH354" s="189" t="n"/>
      <c r="AI354" s="51" t="inlineStr">
        <is>
          <t>U4Y</t>
        </is>
      </c>
    </row>
    <row r="355">
      <c r="B355" s="189" t="n"/>
      <c r="C355" s="189" t="n"/>
      <c r="D355" s="189" t="n"/>
      <c r="E355" s="189" t="n"/>
      <c r="F355" s="189" t="n"/>
      <c r="G355" s="189" t="n"/>
      <c r="H355" s="189" t="n"/>
      <c r="I355" s="189" t="n"/>
      <c r="J355" s="189" t="n"/>
      <c r="K355" s="189" t="n"/>
      <c r="L355" s="189" t="n"/>
      <c r="M355" s="189" t="n"/>
      <c r="N355" s="189" t="n"/>
      <c r="O355" s="189" t="n"/>
      <c r="P355" s="189" t="n"/>
      <c r="Q355" s="189" t="n"/>
      <c r="R355" s="189" t="n"/>
      <c r="S355" s="189" t="n"/>
      <c r="T355" s="189" t="n"/>
      <c r="U355" s="189" t="n"/>
      <c r="V355" s="189" t="n"/>
      <c r="W355" s="189" t="n"/>
      <c r="X355" s="189" t="n"/>
      <c r="Y355" s="189" t="n"/>
      <c r="Z355" s="189" t="n"/>
      <c r="AA355" s="189" t="n"/>
      <c r="AB355" s="189" t="n"/>
      <c r="AC355" s="189" t="n"/>
      <c r="AD355" s="189" t="n"/>
      <c r="AE355" s="189" t="n"/>
      <c r="AF355" s="189" t="n"/>
      <c r="AG355" s="189" t="n"/>
      <c r="AH355" s="189" t="n"/>
      <c r="AI355" s="51" t="inlineStr">
        <is>
          <t>U4θ</t>
        </is>
      </c>
    </row>
    <row r="356">
      <c r="B356" s="189" t="n"/>
      <c r="C356" s="189" t="n"/>
      <c r="D356" s="189" t="n"/>
      <c r="E356" s="189" t="n"/>
      <c r="F356" s="189" t="n"/>
      <c r="G356" s="189" t="n"/>
      <c r="H356" s="189" t="n"/>
      <c r="I356" s="189" t="n"/>
      <c r="J356" s="189" t="n"/>
      <c r="K356" s="189" t="n"/>
      <c r="L356" s="189" t="n"/>
      <c r="M356" s="189" t="n"/>
      <c r="N356" s="189" t="n"/>
      <c r="O356" s="189" t="n"/>
      <c r="P356" s="189" t="n"/>
      <c r="Q356" s="189" t="n"/>
      <c r="R356" s="189" t="n"/>
      <c r="S356" s="189" t="n"/>
      <c r="T356" s="189" t="n"/>
      <c r="U356" s="189" t="n"/>
      <c r="V356" s="189" t="n"/>
      <c r="W356" s="189" t="n"/>
      <c r="X356" s="189" t="n"/>
      <c r="Y356" s="189" t="n"/>
      <c r="Z356" s="189" t="n"/>
      <c r="AA356" s="189" t="n"/>
      <c r="AB356" s="189" t="n"/>
      <c r="AC356" s="189" t="n"/>
      <c r="AD356" s="189" t="n"/>
      <c r="AE356" s="189" t="n"/>
      <c r="AF356" s="189" t="n"/>
      <c r="AG356" s="189" t="n"/>
      <c r="AH356" s="189" t="n"/>
      <c r="AI356" s="51" t="inlineStr">
        <is>
          <t>U5X</t>
        </is>
      </c>
    </row>
    <row r="357">
      <c r="B357" s="189" t="n"/>
      <c r="C357" s="189" t="n"/>
      <c r="D357" s="189" t="n"/>
      <c r="E357" s="189" t="n"/>
      <c r="F357" s="189" t="n"/>
      <c r="G357" s="189" t="n"/>
      <c r="H357" s="189" t="n"/>
      <c r="I357" s="189" t="n"/>
      <c r="J357" s="189" t="n"/>
      <c r="K357" s="189" t="n"/>
      <c r="L357" s="189" t="n"/>
      <c r="M357" s="189" t="n"/>
      <c r="N357" s="189" t="n"/>
      <c r="O357" s="189" t="n"/>
      <c r="P357" s="189" t="n"/>
      <c r="Q357" s="189" t="n"/>
      <c r="R357" s="189" t="n"/>
      <c r="S357" s="189" t="n"/>
      <c r="T357" s="189" t="n"/>
      <c r="U357" s="189" t="n"/>
      <c r="V357" s="189" t="n"/>
      <c r="W357" s="189" t="n"/>
      <c r="X357" s="189" t="n"/>
      <c r="Y357" s="189" t="n"/>
      <c r="Z357" s="189" t="n"/>
      <c r="AA357" s="189" t="n"/>
      <c r="AB357" s="189" t="n"/>
      <c r="AC357" s="189" t="n"/>
      <c r="AD357" s="189" t="n"/>
      <c r="AE357" s="189" t="n"/>
      <c r="AF357" s="189" t="n"/>
      <c r="AG357" s="189" t="n"/>
      <c r="AH357" s="189" t="n"/>
      <c r="AI357" s="51" t="inlineStr">
        <is>
          <t>U5Y</t>
        </is>
      </c>
    </row>
    <row r="358">
      <c r="B358" s="189" t="n"/>
      <c r="C358" s="189" t="n"/>
      <c r="D358" s="189" t="n"/>
      <c r="E358" s="189" t="n"/>
      <c r="F358" s="189" t="n"/>
      <c r="G358" s="189" t="n"/>
      <c r="H358" s="189" t="n"/>
      <c r="I358" s="189" t="n"/>
      <c r="J358" s="189" t="n"/>
      <c r="K358" s="189" t="n"/>
      <c r="L358" s="189" t="n"/>
      <c r="M358" s="189" t="n"/>
      <c r="N358" s="189" t="n"/>
      <c r="O358" s="189" t="n"/>
      <c r="P358" s="189" t="n"/>
      <c r="Q358" s="189" t="n"/>
      <c r="R358" s="189" t="n"/>
      <c r="S358" s="189" t="n"/>
      <c r="T358" s="189" t="n"/>
      <c r="U358" s="189" t="n"/>
      <c r="V358" s="189" t="n"/>
      <c r="W358" s="189" t="n"/>
      <c r="X358" s="189" t="n"/>
      <c r="Y358" s="189" t="n"/>
      <c r="Z358" s="189" t="n"/>
      <c r="AA358" s="189" t="n"/>
      <c r="AB358" s="189" t="n"/>
      <c r="AC358" s="189" t="n"/>
      <c r="AD358" s="189" t="n"/>
      <c r="AE358" s="189" t="n"/>
      <c r="AF358" s="189" t="n"/>
      <c r="AG358" s="189" t="n"/>
      <c r="AH358" s="189" t="n"/>
      <c r="AI358" s="51" t="inlineStr">
        <is>
          <t>U5θ</t>
        </is>
      </c>
    </row>
    <row r="359">
      <c r="A359" s="118" t="inlineStr">
        <is>
          <t>K8 =</t>
        </is>
      </c>
      <c r="B359" s="189" t="n"/>
      <c r="C359" s="189" t="n"/>
      <c r="D359" s="189" t="n"/>
      <c r="E359" s="189" t="n"/>
      <c r="F359" s="189" t="n"/>
      <c r="G359" s="189" t="n"/>
      <c r="H359" s="189" t="n"/>
      <c r="I359" s="189" t="n"/>
      <c r="J359" s="189" t="n"/>
      <c r="K359" s="189" t="n"/>
      <c r="L359" s="189" t="n"/>
      <c r="M359" s="189" t="n"/>
      <c r="N359" s="189" t="n"/>
      <c r="O359" s="189" t="n"/>
      <c r="P359" s="189" t="n"/>
      <c r="Q359" s="189" t="n"/>
      <c r="R359" s="189" t="n"/>
      <c r="S359" s="189" t="n"/>
      <c r="T359" s="189" t="n"/>
      <c r="U359" s="189" t="n"/>
      <c r="V359" s="189" t="n"/>
      <c r="W359" s="189" t="n"/>
      <c r="X359" s="189" t="n"/>
      <c r="Y359" s="189" t="n"/>
      <c r="Z359" s="189" t="n"/>
      <c r="AA359" s="189" t="n"/>
      <c r="AB359" s="189" t="n"/>
      <c r="AC359" s="189" t="n"/>
      <c r="AD359" s="189" t="n"/>
      <c r="AE359" s="189" t="n"/>
      <c r="AF359" s="189" t="n"/>
      <c r="AG359" s="189" t="n"/>
      <c r="AH359" s="189" t="n"/>
      <c r="AI359" s="51" t="inlineStr">
        <is>
          <t>U6X</t>
        </is>
      </c>
    </row>
    <row r="360">
      <c r="B360" s="189" t="n"/>
      <c r="C360" s="189" t="n"/>
      <c r="D360" s="189" t="n"/>
      <c r="E360" s="189" t="n"/>
      <c r="F360" s="189" t="n"/>
      <c r="G360" s="189" t="n"/>
      <c r="H360" s="189" t="n"/>
      <c r="I360" s="189" t="n"/>
      <c r="J360" s="189" t="n"/>
      <c r="K360" s="189" t="n"/>
      <c r="L360" s="189" t="n"/>
      <c r="M360" s="189" t="n"/>
      <c r="N360" s="189" t="n"/>
      <c r="O360" s="189" t="n"/>
      <c r="P360" s="189" t="n"/>
      <c r="Q360" s="189" t="n"/>
      <c r="R360" s="189" t="n"/>
      <c r="S360" s="189" t="n"/>
      <c r="T360" s="189" t="n"/>
      <c r="U360" s="189" t="n"/>
      <c r="V360" s="189" t="n"/>
      <c r="W360" s="189" t="n"/>
      <c r="X360" s="189" t="n"/>
      <c r="Y360" s="189" t="n"/>
      <c r="Z360" s="189" t="n"/>
      <c r="AA360" s="189" t="n"/>
      <c r="AB360" s="189" t="n"/>
      <c r="AC360" s="189" t="n"/>
      <c r="AD360" s="189" t="n"/>
      <c r="AE360" s="189" t="n"/>
      <c r="AF360" s="189" t="n"/>
      <c r="AG360" s="189" t="n"/>
      <c r="AH360" s="189" t="n"/>
      <c r="AI360" s="51" t="inlineStr">
        <is>
          <t>U6Y</t>
        </is>
      </c>
    </row>
    <row r="361">
      <c r="B361" s="189" t="n"/>
      <c r="C361" s="189" t="n"/>
      <c r="D361" s="189" t="n"/>
      <c r="E361" s="189" t="n"/>
      <c r="F361" s="189" t="n"/>
      <c r="G361" s="189" t="n"/>
      <c r="H361" s="189" t="n"/>
      <c r="I361" s="189" t="n"/>
      <c r="J361" s="189" t="n"/>
      <c r="K361" s="189" t="n"/>
      <c r="L361" s="189" t="n"/>
      <c r="M361" s="189" t="n"/>
      <c r="N361" s="189" t="n"/>
      <c r="O361" s="189" t="n"/>
      <c r="P361" s="189" t="n"/>
      <c r="Q361" s="189" t="n"/>
      <c r="R361" s="189" t="n"/>
      <c r="S361" s="189" t="n"/>
      <c r="T361" s="189" t="n"/>
      <c r="U361" s="189" t="n"/>
      <c r="V361" s="189" t="n"/>
      <c r="W361" s="189" t="n"/>
      <c r="X361" s="189" t="n"/>
      <c r="Y361" s="189" t="n"/>
      <c r="Z361" s="189" t="n"/>
      <c r="AA361" s="189" t="n"/>
      <c r="AB361" s="189" t="n"/>
      <c r="AC361" s="189" t="n"/>
      <c r="AD361" s="189" t="n"/>
      <c r="AE361" s="189" t="n"/>
      <c r="AF361" s="189" t="n"/>
      <c r="AG361" s="189" t="n"/>
      <c r="AH361" s="189" t="n"/>
      <c r="AI361" s="51" t="inlineStr">
        <is>
          <t>U6θ</t>
        </is>
      </c>
    </row>
    <row r="362">
      <c r="B362" s="189" t="n"/>
      <c r="C362" s="189" t="n"/>
      <c r="D362" s="189" t="n"/>
      <c r="E362" s="189" t="n"/>
      <c r="F362" s="189" t="n"/>
      <c r="G362" s="189" t="n"/>
      <c r="H362" s="189" t="n"/>
      <c r="I362" s="189" t="n"/>
      <c r="J362" s="189" t="n"/>
      <c r="K362" s="189" t="n"/>
      <c r="L362" s="189" t="n"/>
      <c r="M362" s="189" t="n"/>
      <c r="N362" s="189" t="n"/>
      <c r="O362" s="189" t="n"/>
      <c r="P362" s="189" t="n"/>
      <c r="Q362" s="189" t="n"/>
      <c r="R362" s="189" t="n"/>
      <c r="S362" s="189" t="n"/>
      <c r="T362" s="189" t="n"/>
      <c r="U362" s="189" t="n"/>
      <c r="V362" s="189" t="n"/>
      <c r="W362" s="189" t="n"/>
      <c r="X362" s="189" t="n"/>
      <c r="Y362" s="189" t="n"/>
      <c r="Z362" s="189" t="n"/>
      <c r="AA362" s="189" t="n"/>
      <c r="AB362" s="189" t="n"/>
      <c r="AC362" s="189" t="n"/>
      <c r="AD362" s="189" t="n"/>
      <c r="AE362" s="189" t="n"/>
      <c r="AF362" s="189" t="n"/>
      <c r="AG362" s="189" t="n"/>
      <c r="AH362" s="189" t="n"/>
      <c r="AI362" s="51" t="inlineStr">
        <is>
          <t>U7X</t>
        </is>
      </c>
    </row>
    <row r="363">
      <c r="B363" s="189" t="n"/>
      <c r="C363" s="189" t="n"/>
      <c r="D363" s="189" t="n"/>
      <c r="E363" s="189" t="n"/>
      <c r="F363" s="189" t="n"/>
      <c r="G363" s="189" t="n"/>
      <c r="H363" s="189" t="n"/>
      <c r="I363" s="189" t="n"/>
      <c r="J363" s="189" t="n"/>
      <c r="K363" s="189" t="n"/>
      <c r="L363" s="189" t="n"/>
      <c r="M363" s="189" t="n"/>
      <c r="N363" s="189" t="n"/>
      <c r="O363" s="189" t="n"/>
      <c r="P363" s="189" t="n"/>
      <c r="Q363" s="189" t="n"/>
      <c r="R363" s="189" t="n"/>
      <c r="S363" s="189" t="n"/>
      <c r="T363" s="189" t="n"/>
      <c r="U363" s="189" t="n"/>
      <c r="V363" s="189" t="n"/>
      <c r="W363" s="189" t="n"/>
      <c r="X363" s="189" t="n"/>
      <c r="Y363" s="189" t="n"/>
      <c r="Z363" s="189" t="n"/>
      <c r="AA363" s="189" t="n"/>
      <c r="AB363" s="189" t="n"/>
      <c r="AC363" s="189" t="n"/>
      <c r="AD363" s="189" t="n"/>
      <c r="AE363" s="189" t="n"/>
      <c r="AF363" s="189" t="n"/>
      <c r="AG363" s="189" t="n"/>
      <c r="AH363" s="189" t="n"/>
      <c r="AI363" s="51" t="inlineStr">
        <is>
          <t>U7Y</t>
        </is>
      </c>
    </row>
    <row r="364">
      <c r="B364" s="189" t="n"/>
      <c r="C364" s="189" t="n"/>
      <c r="D364" s="189" t="n"/>
      <c r="E364" s="189" t="n"/>
      <c r="F364" s="189" t="n"/>
      <c r="G364" s="189" t="n"/>
      <c r="H364" s="189" t="n"/>
      <c r="I364" s="189" t="n"/>
      <c r="J364" s="189" t="n"/>
      <c r="K364" s="189" t="n"/>
      <c r="L364" s="189" t="n"/>
      <c r="M364" s="189" t="n"/>
      <c r="N364" s="189" t="n"/>
      <c r="O364" s="189" t="n"/>
      <c r="P364" s="189" t="n"/>
      <c r="Q364" s="189" t="n"/>
      <c r="R364" s="189" t="n"/>
      <c r="S364" s="189" t="n"/>
      <c r="T364" s="189" t="n"/>
      <c r="U364" s="189" t="n"/>
      <c r="V364" s="189" t="n"/>
      <c r="W364" s="189" t="n"/>
      <c r="X364" s="189" t="n"/>
      <c r="Y364" s="189" t="n"/>
      <c r="Z364" s="189" t="n"/>
      <c r="AA364" s="189" t="n"/>
      <c r="AB364" s="189" t="n"/>
      <c r="AC364" s="189" t="n"/>
      <c r="AD364" s="189" t="n"/>
      <c r="AE364" s="189" t="n"/>
      <c r="AF364" s="189" t="n"/>
      <c r="AG364" s="189" t="n"/>
      <c r="AH364" s="189" t="n"/>
      <c r="AI364" s="51" t="inlineStr">
        <is>
          <t>U7θ</t>
        </is>
      </c>
    </row>
    <row r="365">
      <c r="B365" s="189" t="n"/>
      <c r="C365" s="189" t="n"/>
      <c r="D365" s="189" t="n"/>
      <c r="E365" s="189" t="n"/>
      <c r="F365" s="189" t="n"/>
      <c r="G365" s="189" t="n"/>
      <c r="H365" s="189" t="n"/>
      <c r="I365" s="189" t="n"/>
      <c r="J365" s="189" t="n"/>
      <c r="K365" s="189" t="n"/>
      <c r="L365" s="189" t="n"/>
      <c r="M365" s="189" t="n"/>
      <c r="N365" s="189" t="n"/>
      <c r="O365" s="189" t="n"/>
      <c r="P365" s="189" t="n"/>
      <c r="Q365" s="189" t="n"/>
      <c r="R365" s="189" t="n"/>
      <c r="S365" s="189" t="n"/>
      <c r="T365" s="189" t="n"/>
      <c r="U365" s="189" t="n"/>
      <c r="V365" s="189" t="n"/>
      <c r="W365" s="189">
        <f>B336</f>
        <v/>
      </c>
      <c r="X365" s="189">
        <f>C336</f>
        <v/>
      </c>
      <c r="Y365" s="189">
        <f>D336</f>
        <v/>
      </c>
      <c r="Z365" s="189">
        <f>E336</f>
        <v/>
      </c>
      <c r="AA365" s="189">
        <f>F336</f>
        <v/>
      </c>
      <c r="AB365" s="189">
        <f>G336</f>
        <v/>
      </c>
      <c r="AC365" s="189" t="n"/>
      <c r="AD365" s="189" t="n"/>
      <c r="AE365" s="189" t="n"/>
      <c r="AF365" s="189" t="n"/>
      <c r="AG365" s="189" t="n"/>
      <c r="AH365" s="189" t="n"/>
      <c r="AI365" s="51" t="inlineStr">
        <is>
          <t>U8X</t>
        </is>
      </c>
    </row>
    <row r="366">
      <c r="B366" s="189" t="n"/>
      <c r="C366" s="189" t="n"/>
      <c r="D366" s="189" t="n"/>
      <c r="E366" s="189" t="n"/>
      <c r="F366" s="189" t="n"/>
      <c r="G366" s="189" t="n"/>
      <c r="H366" s="189" t="n"/>
      <c r="I366" s="189" t="n"/>
      <c r="J366" s="189" t="n"/>
      <c r="K366" s="189" t="n"/>
      <c r="L366" s="189" t="n"/>
      <c r="M366" s="189" t="n"/>
      <c r="N366" s="189" t="n"/>
      <c r="O366" s="189" t="n"/>
      <c r="P366" s="189" t="n"/>
      <c r="Q366" s="189" t="n"/>
      <c r="R366" s="189" t="n"/>
      <c r="S366" s="189" t="n"/>
      <c r="T366" s="189" t="n"/>
      <c r="U366" s="189" t="n"/>
      <c r="V366" s="189" t="n"/>
      <c r="W366" s="189">
        <f>B337</f>
        <v/>
      </c>
      <c r="X366" s="189">
        <f>C337</f>
        <v/>
      </c>
      <c r="Y366" s="189">
        <f>D337</f>
        <v/>
      </c>
      <c r="Z366" s="189">
        <f>E337</f>
        <v/>
      </c>
      <c r="AA366" s="189">
        <f>F337</f>
        <v/>
      </c>
      <c r="AB366" s="189">
        <f>G337</f>
        <v/>
      </c>
      <c r="AC366" s="189" t="n"/>
      <c r="AD366" s="189" t="n"/>
      <c r="AE366" s="189" t="n"/>
      <c r="AF366" s="189" t="n"/>
      <c r="AG366" s="189" t="n"/>
      <c r="AH366" s="189" t="n"/>
      <c r="AI366" s="51" t="inlineStr">
        <is>
          <t>U8Y</t>
        </is>
      </c>
    </row>
    <row r="367">
      <c r="B367" s="189" t="n"/>
      <c r="C367" s="189" t="n"/>
      <c r="D367" s="189" t="n"/>
      <c r="E367" s="189" t="n"/>
      <c r="F367" s="189" t="n"/>
      <c r="G367" s="189" t="n"/>
      <c r="H367" s="189" t="n"/>
      <c r="I367" s="189" t="n"/>
      <c r="J367" s="189" t="n"/>
      <c r="K367" s="189" t="n"/>
      <c r="L367" s="189" t="n"/>
      <c r="M367" s="189" t="n"/>
      <c r="N367" s="189" t="n"/>
      <c r="O367" s="189" t="n"/>
      <c r="P367" s="189" t="n"/>
      <c r="Q367" s="189" t="n"/>
      <c r="R367" s="189" t="n"/>
      <c r="S367" s="189" t="n"/>
      <c r="T367" s="189" t="n"/>
      <c r="U367" s="189" t="n"/>
      <c r="V367" s="189" t="n"/>
      <c r="W367" s="189">
        <f>B338</f>
        <v/>
      </c>
      <c r="X367" s="189">
        <f>C338</f>
        <v/>
      </c>
      <c r="Y367" s="189">
        <f>D338</f>
        <v/>
      </c>
      <c r="Z367" s="189">
        <f>E338</f>
        <v/>
      </c>
      <c r="AA367" s="189">
        <f>F338</f>
        <v/>
      </c>
      <c r="AB367" s="189">
        <f>G338</f>
        <v/>
      </c>
      <c r="AC367" s="189" t="n"/>
      <c r="AD367" s="189" t="n"/>
      <c r="AE367" s="189" t="n"/>
      <c r="AF367" s="189" t="n"/>
      <c r="AG367" s="189" t="n"/>
      <c r="AH367" s="189" t="n"/>
      <c r="AI367" s="51" t="inlineStr">
        <is>
          <t>U8θ</t>
        </is>
      </c>
    </row>
    <row r="368">
      <c r="B368" s="189" t="n"/>
      <c r="C368" s="189" t="n"/>
      <c r="D368" s="189" t="n"/>
      <c r="E368" s="189" t="n"/>
      <c r="F368" s="189" t="n"/>
      <c r="G368" s="189" t="n"/>
      <c r="H368" s="189" t="n"/>
      <c r="I368" s="189" t="n"/>
      <c r="J368" s="189" t="n"/>
      <c r="K368" s="189" t="n"/>
      <c r="L368" s="189" t="n"/>
      <c r="M368" s="189" t="n"/>
      <c r="N368" s="189" t="n"/>
      <c r="O368" s="189" t="n"/>
      <c r="P368" s="189" t="n"/>
      <c r="Q368" s="189" t="n"/>
      <c r="R368" s="189" t="n"/>
      <c r="S368" s="189" t="n"/>
      <c r="T368" s="189" t="n"/>
      <c r="U368" s="189" t="n"/>
      <c r="V368" s="189" t="n"/>
      <c r="W368" s="189">
        <f>B339</f>
        <v/>
      </c>
      <c r="X368" s="189">
        <f>C339</f>
        <v/>
      </c>
      <c r="Y368" s="189">
        <f>D339</f>
        <v/>
      </c>
      <c r="Z368" s="189">
        <f>E339</f>
        <v/>
      </c>
      <c r="AA368" s="189">
        <f>F339</f>
        <v/>
      </c>
      <c r="AB368" s="189">
        <f>G339</f>
        <v/>
      </c>
      <c r="AC368" s="189" t="n"/>
      <c r="AD368" s="189" t="n"/>
      <c r="AE368" s="189" t="n"/>
      <c r="AF368" s="189" t="n"/>
      <c r="AG368" s="189" t="n"/>
      <c r="AH368" s="189" t="n"/>
      <c r="AI368" s="51" t="inlineStr">
        <is>
          <t>U9X</t>
        </is>
      </c>
    </row>
    <row r="369">
      <c r="B369" s="189" t="n"/>
      <c r="C369" s="189" t="n"/>
      <c r="D369" s="189" t="n"/>
      <c r="E369" s="189" t="n"/>
      <c r="F369" s="189" t="n"/>
      <c r="G369" s="189" t="n"/>
      <c r="H369" s="189" t="n"/>
      <c r="I369" s="189" t="n"/>
      <c r="J369" s="189" t="n"/>
      <c r="K369" s="189" t="n"/>
      <c r="L369" s="189" t="n"/>
      <c r="M369" s="189" t="n"/>
      <c r="N369" s="189" t="n"/>
      <c r="O369" s="189" t="n"/>
      <c r="P369" s="189" t="n"/>
      <c r="Q369" s="189" t="n"/>
      <c r="R369" s="189" t="n"/>
      <c r="S369" s="189" t="n"/>
      <c r="T369" s="189" t="n"/>
      <c r="U369" s="189" t="n"/>
      <c r="V369" s="189" t="n"/>
      <c r="W369" s="189">
        <f>B340</f>
        <v/>
      </c>
      <c r="X369" s="189">
        <f>C340</f>
        <v/>
      </c>
      <c r="Y369" s="189">
        <f>D340</f>
        <v/>
      </c>
      <c r="Z369" s="189">
        <f>E340</f>
        <v/>
      </c>
      <c r="AA369" s="189">
        <f>F340</f>
        <v/>
      </c>
      <c r="AB369" s="189">
        <f>G340</f>
        <v/>
      </c>
      <c r="AC369" s="189" t="n"/>
      <c r="AD369" s="189" t="n"/>
      <c r="AE369" s="189" t="n"/>
      <c r="AF369" s="189" t="n"/>
      <c r="AG369" s="189" t="n"/>
      <c r="AH369" s="189" t="n"/>
      <c r="AI369" s="51" t="inlineStr">
        <is>
          <t>U9Y</t>
        </is>
      </c>
    </row>
    <row r="370">
      <c r="B370" s="189" t="n"/>
      <c r="C370" s="189" t="n"/>
      <c r="D370" s="189" t="n"/>
      <c r="E370" s="189" t="n"/>
      <c r="F370" s="189" t="n"/>
      <c r="G370" s="189" t="n"/>
      <c r="H370" s="189" t="n"/>
      <c r="I370" s="189" t="n"/>
      <c r="J370" s="189" t="n"/>
      <c r="K370" s="189" t="n"/>
      <c r="L370" s="189" t="n"/>
      <c r="M370" s="189" t="n"/>
      <c r="N370" s="189" t="n"/>
      <c r="O370" s="189" t="n"/>
      <c r="P370" s="189" t="n"/>
      <c r="Q370" s="189" t="n"/>
      <c r="R370" s="189" t="n"/>
      <c r="S370" s="189" t="n"/>
      <c r="T370" s="189" t="n"/>
      <c r="U370" s="189" t="n"/>
      <c r="V370" s="189" t="n"/>
      <c r="W370" s="189">
        <f>B341</f>
        <v/>
      </c>
      <c r="X370" s="189">
        <f>C341</f>
        <v/>
      </c>
      <c r="Y370" s="189">
        <f>D341</f>
        <v/>
      </c>
      <c r="Z370" s="189">
        <f>E341</f>
        <v/>
      </c>
      <c r="AA370" s="189">
        <f>F341</f>
        <v/>
      </c>
      <c r="AB370" s="189">
        <f>G341</f>
        <v/>
      </c>
      <c r="AC370" s="189" t="n"/>
      <c r="AD370" s="189" t="n"/>
      <c r="AE370" s="189" t="n"/>
      <c r="AF370" s="189" t="n"/>
      <c r="AG370" s="189" t="n"/>
      <c r="AH370" s="189" t="n"/>
      <c r="AI370" s="51" t="inlineStr">
        <is>
          <t>U9θ</t>
        </is>
      </c>
    </row>
    <row r="371">
      <c r="B371" s="189" t="n"/>
      <c r="C371" s="189" t="n"/>
      <c r="D371" s="189" t="n"/>
      <c r="E371" s="189" t="n"/>
      <c r="F371" s="189" t="n"/>
      <c r="G371" s="189" t="n"/>
      <c r="H371" s="189" t="n"/>
      <c r="I371" s="189" t="n"/>
      <c r="J371" s="189" t="n"/>
      <c r="K371" s="189" t="n"/>
      <c r="L371" s="189" t="n"/>
      <c r="M371" s="189" t="n"/>
      <c r="N371" s="189" t="n"/>
      <c r="O371" s="189" t="n"/>
      <c r="P371" s="189" t="n"/>
      <c r="Q371" s="189" t="n"/>
      <c r="R371" s="189" t="n"/>
      <c r="S371" s="189" t="n"/>
      <c r="T371" s="189" t="n"/>
      <c r="U371" s="189" t="n"/>
      <c r="V371" s="189" t="n"/>
      <c r="W371" s="189" t="n"/>
      <c r="X371" s="189" t="n"/>
      <c r="Y371" s="189" t="n"/>
      <c r="Z371" s="189" t="n"/>
      <c r="AA371" s="189" t="n"/>
      <c r="AB371" s="189" t="n"/>
      <c r="AC371" s="189" t="n"/>
      <c r="AD371" s="189" t="n"/>
      <c r="AE371" s="189" t="n"/>
      <c r="AF371" s="189" t="n"/>
      <c r="AG371" s="189" t="n"/>
      <c r="AH371" s="189" t="n"/>
      <c r="AI371" s="51" t="inlineStr">
        <is>
          <t>U10X</t>
        </is>
      </c>
    </row>
    <row r="372">
      <c r="B372" s="189" t="n"/>
      <c r="C372" s="189" t="n"/>
      <c r="D372" s="189" t="n"/>
      <c r="E372" s="189" t="n"/>
      <c r="F372" s="189" t="n"/>
      <c r="G372" s="189" t="n"/>
      <c r="H372" s="189" t="n"/>
      <c r="I372" s="189" t="n"/>
      <c r="J372" s="189" t="n"/>
      <c r="K372" s="189" t="n"/>
      <c r="L372" s="189" t="n"/>
      <c r="M372" s="189" t="n"/>
      <c r="N372" s="189" t="n"/>
      <c r="O372" s="189" t="n"/>
      <c r="P372" s="189" t="n"/>
      <c r="Q372" s="189" t="n"/>
      <c r="R372" s="189" t="n"/>
      <c r="S372" s="189" t="n"/>
      <c r="T372" s="189" t="n"/>
      <c r="U372" s="189" t="n"/>
      <c r="V372" s="189" t="n"/>
      <c r="W372" s="189" t="n"/>
      <c r="X372" s="189" t="n"/>
      <c r="Y372" s="189" t="n"/>
      <c r="Z372" s="189" t="n"/>
      <c r="AA372" s="189" t="n"/>
      <c r="AB372" s="189" t="n"/>
      <c r="AC372" s="189" t="n"/>
      <c r="AD372" s="189" t="n"/>
      <c r="AE372" s="189" t="n"/>
      <c r="AF372" s="189" t="n"/>
      <c r="AG372" s="189" t="n"/>
      <c r="AH372" s="189" t="n"/>
      <c r="AI372" s="51" t="inlineStr">
        <is>
          <t>U10Y</t>
        </is>
      </c>
    </row>
    <row r="373">
      <c r="B373" s="189" t="n"/>
      <c r="C373" s="189" t="n"/>
      <c r="D373" s="189" t="n"/>
      <c r="E373" s="189" t="n"/>
      <c r="F373" s="189" t="n"/>
      <c r="G373" s="189" t="n"/>
      <c r="H373" s="189" t="n"/>
      <c r="I373" s="189" t="n"/>
      <c r="J373" s="189" t="n"/>
      <c r="K373" s="189" t="n"/>
      <c r="L373" s="189" t="n"/>
      <c r="M373" s="189" t="n"/>
      <c r="N373" s="189" t="n"/>
      <c r="O373" s="189" t="n"/>
      <c r="P373" s="189" t="n"/>
      <c r="Q373" s="189" t="n"/>
      <c r="R373" s="189" t="n"/>
      <c r="S373" s="189" t="n"/>
      <c r="T373" s="189" t="n"/>
      <c r="U373" s="189" t="n"/>
      <c r="V373" s="189" t="n"/>
      <c r="W373" s="189" t="n"/>
      <c r="X373" s="189" t="n"/>
      <c r="Y373" s="189" t="n"/>
      <c r="Z373" s="189" t="n"/>
      <c r="AA373" s="189" t="n"/>
      <c r="AB373" s="189" t="n"/>
      <c r="AC373" s="189" t="n"/>
      <c r="AD373" s="189" t="n"/>
      <c r="AE373" s="189" t="n"/>
      <c r="AF373" s="189" t="n"/>
      <c r="AG373" s="189" t="n"/>
      <c r="AH373" s="189" t="n"/>
      <c r="AI373" s="51" t="inlineStr">
        <is>
          <t>U10θ</t>
        </is>
      </c>
    </row>
    <row r="374">
      <c r="B374" s="189" t="n"/>
      <c r="C374" s="189" t="n"/>
      <c r="D374" s="189" t="n"/>
      <c r="E374" s="189" t="n"/>
      <c r="F374" s="189" t="n"/>
      <c r="G374" s="189" t="n"/>
      <c r="H374" s="189" t="n"/>
      <c r="I374" s="189" t="n"/>
      <c r="J374" s="189" t="n"/>
      <c r="K374" s="189" t="n"/>
      <c r="L374" s="189" t="n"/>
      <c r="M374" s="189" t="n"/>
      <c r="N374" s="189" t="n"/>
      <c r="O374" s="189" t="n"/>
      <c r="P374" s="189" t="n"/>
      <c r="Q374" s="189" t="n"/>
      <c r="R374" s="189" t="n"/>
      <c r="S374" s="189" t="n"/>
      <c r="T374" s="189" t="n"/>
      <c r="U374" s="189" t="n"/>
      <c r="V374" s="189" t="n"/>
      <c r="W374" s="189" t="n"/>
      <c r="X374" s="189" t="n"/>
      <c r="Y374" s="189" t="n"/>
      <c r="Z374" s="189" t="n"/>
      <c r="AA374" s="189" t="n"/>
      <c r="AB374" s="189" t="n"/>
      <c r="AC374" s="189" t="n"/>
      <c r="AD374" s="189" t="n"/>
      <c r="AE374" s="189" t="n"/>
      <c r="AF374" s="189" t="n"/>
      <c r="AG374" s="189" t="n"/>
      <c r="AH374" s="189" t="n"/>
      <c r="AI374" s="51" t="inlineStr">
        <is>
          <t>U11X</t>
        </is>
      </c>
    </row>
    <row r="375">
      <c r="B375" s="189" t="n"/>
      <c r="C375" s="189" t="n"/>
      <c r="D375" s="189" t="n"/>
      <c r="E375" s="189" t="n"/>
      <c r="F375" s="189" t="n"/>
      <c r="G375" s="189" t="n"/>
      <c r="H375" s="189" t="n"/>
      <c r="I375" s="189" t="n"/>
      <c r="J375" s="189" t="n"/>
      <c r="K375" s="189" t="n"/>
      <c r="L375" s="189" t="n"/>
      <c r="M375" s="189" t="n"/>
      <c r="N375" s="189" t="n"/>
      <c r="O375" s="189" t="n"/>
      <c r="P375" s="189" t="n"/>
      <c r="Q375" s="189" t="n"/>
      <c r="R375" s="189" t="n"/>
      <c r="S375" s="189" t="n"/>
      <c r="T375" s="189" t="n"/>
      <c r="U375" s="189" t="n"/>
      <c r="V375" s="189" t="n"/>
      <c r="W375" s="189" t="n"/>
      <c r="X375" s="189" t="n"/>
      <c r="Y375" s="189" t="n"/>
      <c r="Z375" s="189" t="n"/>
      <c r="AA375" s="189" t="n"/>
      <c r="AB375" s="189" t="n"/>
      <c r="AC375" s="189" t="n"/>
      <c r="AD375" s="189" t="n"/>
      <c r="AE375" s="189" t="n"/>
      <c r="AF375" s="189" t="n"/>
      <c r="AG375" s="189" t="n"/>
      <c r="AH375" s="189" t="n"/>
      <c r="AI375" s="51" t="inlineStr">
        <is>
          <t>U11Y</t>
        </is>
      </c>
    </row>
    <row r="376">
      <c r="B376" s="189" t="n"/>
      <c r="C376" s="189" t="n"/>
      <c r="D376" s="189" t="n"/>
      <c r="E376" s="189" t="n"/>
      <c r="F376" s="189" t="n"/>
      <c r="G376" s="189" t="n"/>
      <c r="H376" s="189" t="n"/>
      <c r="I376" s="189" t="n"/>
      <c r="J376" s="189" t="n"/>
      <c r="K376" s="189" t="n"/>
      <c r="L376" s="189" t="n"/>
      <c r="M376" s="189" t="n"/>
      <c r="N376" s="189" t="n"/>
      <c r="O376" s="189" t="n"/>
      <c r="P376" s="189" t="n"/>
      <c r="Q376" s="189" t="n"/>
      <c r="R376" s="189" t="n"/>
      <c r="S376" s="189" t="n"/>
      <c r="T376" s="189" t="n"/>
      <c r="U376" s="189" t="n"/>
      <c r="V376" s="189" t="n"/>
      <c r="W376" s="189" t="n"/>
      <c r="X376" s="189" t="n"/>
      <c r="Y376" s="189" t="n"/>
      <c r="Z376" s="189" t="n"/>
      <c r="AA376" s="189" t="n"/>
      <c r="AB376" s="189" t="n"/>
      <c r="AC376" s="189" t="n"/>
      <c r="AD376" s="189" t="n"/>
      <c r="AE376" s="189" t="n"/>
      <c r="AF376" s="189" t="n"/>
      <c r="AG376" s="189" t="n"/>
      <c r="AH376" s="189" t="n"/>
      <c r="AI376" s="51" t="inlineStr">
        <is>
          <t>U11θ</t>
        </is>
      </c>
    </row>
    <row r="378">
      <c r="B378" s="51">
        <f>IF(C30="","", CONCATENATE("U",C30,C$21))</f>
        <v/>
      </c>
      <c r="C378" s="51">
        <f>IF(D30="","", CONCATENATE("U",D30,D$21))</f>
        <v/>
      </c>
      <c r="D378" s="51">
        <f>IF(E30="","", CONCATENATE("U",E30,E$21))</f>
        <v/>
      </c>
      <c r="E378" s="51">
        <f>IF(F30="","", CONCATENATE("U",F30,F$21))</f>
        <v/>
      </c>
      <c r="F378" s="51">
        <f>IF(G30="","", CONCATENATE("U",G30,G$21))</f>
        <v/>
      </c>
      <c r="G378" s="51">
        <f>IF(H30="","", CONCATENATE("U",H30,H$21))</f>
        <v/>
      </c>
    </row>
    <row r="379">
      <c r="B379" s="8">
        <f>IF(I17="", 0, O17*J17*J17+P17*K17*K17)</f>
        <v/>
      </c>
      <c r="C379" s="189">
        <f>IF(I17="", 0, (O17-P17)*(J17*K17))</f>
        <v/>
      </c>
      <c r="D379" s="189">
        <f>IF(I17="", 0, -Q17*K17)</f>
        <v/>
      </c>
      <c r="E379" s="189">
        <f>-B379</f>
        <v/>
      </c>
      <c r="F379" s="189">
        <f>-C379</f>
        <v/>
      </c>
      <c r="G379" s="189">
        <f>D379</f>
        <v/>
      </c>
      <c r="H379" s="51">
        <f>B378</f>
        <v/>
      </c>
    </row>
    <row r="380">
      <c r="B380" s="189">
        <f>C379</f>
        <v/>
      </c>
      <c r="C380" s="8">
        <f>IF(I17="", 0, O17*K17*K17+P17*J17*J17)</f>
        <v/>
      </c>
      <c r="D380" s="189">
        <f>IF(I17="", 0, Q17*J17)</f>
        <v/>
      </c>
      <c r="E380" s="189">
        <f>-B380</f>
        <v/>
      </c>
      <c r="F380" s="189">
        <f>-C380</f>
        <v/>
      </c>
      <c r="G380" s="189">
        <f>D380</f>
        <v/>
      </c>
      <c r="H380" s="51">
        <f>C378</f>
        <v/>
      </c>
    </row>
    <row r="381">
      <c r="A381" s="118" t="inlineStr">
        <is>
          <t>K9 =</t>
        </is>
      </c>
      <c r="B381" s="189">
        <f>D379</f>
        <v/>
      </c>
      <c r="C381" s="189">
        <f>D380</f>
        <v/>
      </c>
      <c r="D381" s="8">
        <f>IF(I17="", 0, R17)</f>
        <v/>
      </c>
      <c r="E381" s="189">
        <f>-B381</f>
        <v/>
      </c>
      <c r="F381" s="189">
        <f>-C381</f>
        <v/>
      </c>
      <c r="G381" s="189">
        <f>IF(I17="", 0, S17)</f>
        <v/>
      </c>
      <c r="H381" s="51">
        <f>D378</f>
        <v/>
      </c>
    </row>
    <row r="382">
      <c r="B382" s="189">
        <f>E379</f>
        <v/>
      </c>
      <c r="C382" s="189">
        <f>E380</f>
        <v/>
      </c>
      <c r="D382" s="189">
        <f>E381</f>
        <v/>
      </c>
      <c r="E382" s="8">
        <f>B379</f>
        <v/>
      </c>
      <c r="F382" s="189">
        <f>C379</f>
        <v/>
      </c>
      <c r="G382" s="189">
        <f>-D379</f>
        <v/>
      </c>
      <c r="H382" s="51">
        <f>E378</f>
        <v/>
      </c>
    </row>
    <row r="383">
      <c r="B383" s="189">
        <f>F379</f>
        <v/>
      </c>
      <c r="C383" s="189">
        <f>F380</f>
        <v/>
      </c>
      <c r="D383" s="189">
        <f>F381</f>
        <v/>
      </c>
      <c r="E383" s="189">
        <f>F382</f>
        <v/>
      </c>
      <c r="F383" s="8">
        <f>C380</f>
        <v/>
      </c>
      <c r="G383" s="189">
        <f>-D380</f>
        <v/>
      </c>
      <c r="H383" s="51">
        <f>F378</f>
        <v/>
      </c>
    </row>
    <row r="384">
      <c r="B384" s="189">
        <f>G379</f>
        <v/>
      </c>
      <c r="C384" s="189">
        <f>G380</f>
        <v/>
      </c>
      <c r="D384" s="189">
        <f>G381</f>
        <v/>
      </c>
      <c r="E384" s="189">
        <f>G382</f>
        <v/>
      </c>
      <c r="F384" s="189">
        <f>G383</f>
        <v/>
      </c>
      <c r="G384" s="8">
        <f>D381</f>
        <v/>
      </c>
      <c r="H384" s="51">
        <f>G378</f>
        <v/>
      </c>
    </row>
    <row r="386">
      <c r="B386" s="51" t="inlineStr">
        <is>
          <t>U1X</t>
        </is>
      </c>
      <c r="C386" s="51" t="inlineStr">
        <is>
          <t>U1Y</t>
        </is>
      </c>
      <c r="D386" s="51" t="inlineStr">
        <is>
          <t>U1θ</t>
        </is>
      </c>
      <c r="E386" s="51" t="inlineStr">
        <is>
          <t>U2X</t>
        </is>
      </c>
      <c r="F386" s="51" t="inlineStr">
        <is>
          <t>U2Y</t>
        </is>
      </c>
      <c r="G386" s="51" t="inlineStr">
        <is>
          <t>U2θ</t>
        </is>
      </c>
      <c r="H386" s="51" t="inlineStr">
        <is>
          <t>U3X</t>
        </is>
      </c>
      <c r="I386" s="51" t="inlineStr">
        <is>
          <t>U3Y</t>
        </is>
      </c>
      <c r="J386" s="51" t="inlineStr">
        <is>
          <t>U3θ</t>
        </is>
      </c>
      <c r="K386" s="51" t="inlineStr">
        <is>
          <t>U4X</t>
        </is>
      </c>
      <c r="L386" s="51" t="inlineStr">
        <is>
          <t>U4Y</t>
        </is>
      </c>
      <c r="M386" s="51" t="inlineStr">
        <is>
          <t>U4θ</t>
        </is>
      </c>
      <c r="N386" s="51" t="inlineStr">
        <is>
          <t>U5X</t>
        </is>
      </c>
      <c r="O386" s="51" t="inlineStr">
        <is>
          <t>U5Y</t>
        </is>
      </c>
      <c r="P386" s="51" t="inlineStr">
        <is>
          <t>U5θ</t>
        </is>
      </c>
      <c r="Q386" s="51" t="inlineStr">
        <is>
          <t>U6X</t>
        </is>
      </c>
      <c r="R386" s="51" t="inlineStr">
        <is>
          <t>U6Y</t>
        </is>
      </c>
      <c r="S386" s="51" t="inlineStr">
        <is>
          <t>U6θ</t>
        </is>
      </c>
      <c r="T386" s="51" t="inlineStr">
        <is>
          <t>U7X</t>
        </is>
      </c>
      <c r="U386" s="51" t="inlineStr">
        <is>
          <t>U7Y</t>
        </is>
      </c>
      <c r="V386" s="51" t="inlineStr">
        <is>
          <t>U7θ</t>
        </is>
      </c>
      <c r="W386" s="51" t="inlineStr">
        <is>
          <t>U8X</t>
        </is>
      </c>
      <c r="X386" s="51" t="inlineStr">
        <is>
          <t>U8Y</t>
        </is>
      </c>
      <c r="Y386" s="51" t="inlineStr">
        <is>
          <t>U8θ</t>
        </is>
      </c>
      <c r="Z386" s="51" t="inlineStr">
        <is>
          <t>U9X</t>
        </is>
      </c>
      <c r="AA386" s="51" t="inlineStr">
        <is>
          <t>U9Y</t>
        </is>
      </c>
      <c r="AB386" s="51" t="inlineStr">
        <is>
          <t>U9θ</t>
        </is>
      </c>
      <c r="AC386" s="51" t="inlineStr">
        <is>
          <t>U10X</t>
        </is>
      </c>
      <c r="AD386" s="51" t="inlineStr">
        <is>
          <t>U10Y</t>
        </is>
      </c>
      <c r="AE386" s="51" t="inlineStr">
        <is>
          <t>U10θ</t>
        </is>
      </c>
      <c r="AF386" s="51" t="inlineStr">
        <is>
          <t>U11X</t>
        </is>
      </c>
      <c r="AG386" s="51" t="inlineStr">
        <is>
          <t>U11Y</t>
        </is>
      </c>
      <c r="AH386" s="51" t="inlineStr">
        <is>
          <t>U11θ</t>
        </is>
      </c>
    </row>
    <row r="387">
      <c r="B387" s="189" t="n"/>
      <c r="C387" s="189" t="n"/>
      <c r="D387" s="189" t="n"/>
      <c r="E387" s="189" t="n"/>
      <c r="F387" s="189" t="n"/>
      <c r="G387" s="189" t="n"/>
      <c r="H387" s="189" t="n"/>
      <c r="I387" s="189" t="n"/>
      <c r="J387" s="189" t="n"/>
      <c r="K387" s="189" t="n"/>
      <c r="L387" s="189" t="n"/>
      <c r="M387" s="189" t="n"/>
      <c r="N387" s="189" t="n"/>
      <c r="O387" s="189" t="n"/>
      <c r="P387" s="189" t="n"/>
      <c r="Q387" s="189" t="n"/>
      <c r="R387" s="189" t="n"/>
      <c r="S387" s="189" t="n"/>
      <c r="T387" s="189" t="n"/>
      <c r="U387" s="189" t="n"/>
      <c r="V387" s="189" t="n"/>
      <c r="W387" s="189" t="n"/>
      <c r="X387" s="189" t="n"/>
      <c r="Y387" s="189" t="n"/>
      <c r="Z387" s="189" t="n"/>
      <c r="AA387" s="189" t="n"/>
      <c r="AB387" s="189" t="n"/>
      <c r="AC387" s="189" t="n"/>
      <c r="AD387" s="189" t="n"/>
      <c r="AE387" s="189" t="n"/>
      <c r="AF387" s="189" t="n"/>
      <c r="AG387" s="189" t="n"/>
      <c r="AH387" s="189" t="n"/>
      <c r="AI387" s="51" t="inlineStr">
        <is>
          <t>U1X</t>
        </is>
      </c>
    </row>
    <row r="388">
      <c r="B388" s="189" t="n"/>
      <c r="C388" s="189" t="n"/>
      <c r="D388" s="189" t="n"/>
      <c r="E388" s="189" t="n"/>
      <c r="F388" s="189" t="n"/>
      <c r="G388" s="189" t="n"/>
      <c r="H388" s="189" t="n"/>
      <c r="I388" s="189" t="n"/>
      <c r="J388" s="189" t="n"/>
      <c r="K388" s="189" t="n"/>
      <c r="L388" s="189" t="n"/>
      <c r="M388" s="189" t="n"/>
      <c r="N388" s="189" t="n"/>
      <c r="O388" s="189" t="n"/>
      <c r="P388" s="189" t="n"/>
      <c r="Q388" s="189" t="n"/>
      <c r="R388" s="189" t="n"/>
      <c r="S388" s="189" t="n"/>
      <c r="T388" s="189" t="n"/>
      <c r="U388" s="189" t="n"/>
      <c r="V388" s="189" t="n"/>
      <c r="W388" s="189" t="n"/>
      <c r="X388" s="189" t="n"/>
      <c r="Y388" s="189" t="n"/>
      <c r="Z388" s="189" t="n"/>
      <c r="AA388" s="189" t="n"/>
      <c r="AB388" s="189" t="n"/>
      <c r="AC388" s="189" t="n"/>
      <c r="AD388" s="189" t="n"/>
      <c r="AE388" s="189" t="n"/>
      <c r="AF388" s="189" t="n"/>
      <c r="AG388" s="189" t="n"/>
      <c r="AH388" s="189" t="n"/>
      <c r="AI388" s="51" t="inlineStr">
        <is>
          <t>U1Y</t>
        </is>
      </c>
    </row>
    <row r="389">
      <c r="B389" s="189" t="n"/>
      <c r="C389" s="189" t="n"/>
      <c r="D389" s="189" t="n"/>
      <c r="E389" s="189" t="n"/>
      <c r="F389" s="189" t="n"/>
      <c r="G389" s="189" t="n"/>
      <c r="H389" s="189" t="n"/>
      <c r="I389" s="189" t="n"/>
      <c r="J389" s="189" t="n"/>
      <c r="K389" s="189" t="n"/>
      <c r="L389" s="189" t="n"/>
      <c r="M389" s="189" t="n"/>
      <c r="N389" s="189" t="n"/>
      <c r="O389" s="189" t="n"/>
      <c r="P389" s="189" t="n"/>
      <c r="Q389" s="189" t="n"/>
      <c r="R389" s="189" t="n"/>
      <c r="S389" s="189" t="n"/>
      <c r="T389" s="189" t="n"/>
      <c r="U389" s="189" t="n"/>
      <c r="V389" s="189" t="n"/>
      <c r="W389" s="189" t="n"/>
      <c r="X389" s="189" t="n"/>
      <c r="Y389" s="189" t="n"/>
      <c r="Z389" s="189" t="n"/>
      <c r="AA389" s="189" t="n"/>
      <c r="AB389" s="189" t="n"/>
      <c r="AC389" s="189" t="n"/>
      <c r="AD389" s="189" t="n"/>
      <c r="AE389" s="189" t="n"/>
      <c r="AF389" s="189" t="n"/>
      <c r="AG389" s="189" t="n"/>
      <c r="AH389" s="189" t="n"/>
      <c r="AI389" s="51" t="inlineStr">
        <is>
          <t>U1θ</t>
        </is>
      </c>
    </row>
    <row r="390">
      <c r="B390" s="189" t="n"/>
      <c r="C390" s="189" t="n"/>
      <c r="D390" s="189" t="n"/>
      <c r="E390" s="189" t="n"/>
      <c r="F390" s="189" t="n"/>
      <c r="G390" s="189" t="n"/>
      <c r="H390" s="189" t="n"/>
      <c r="I390" s="189" t="n"/>
      <c r="J390" s="189" t="n"/>
      <c r="K390" s="189" t="n"/>
      <c r="L390" s="189" t="n"/>
      <c r="M390" s="189" t="n"/>
      <c r="N390" s="189" t="n"/>
      <c r="O390" s="189" t="n"/>
      <c r="P390" s="189" t="n"/>
      <c r="Q390" s="189" t="n"/>
      <c r="R390" s="189" t="n"/>
      <c r="S390" s="189" t="n"/>
      <c r="T390" s="189" t="n"/>
      <c r="U390" s="189" t="n"/>
      <c r="V390" s="189" t="n"/>
      <c r="W390" s="189" t="n"/>
      <c r="X390" s="189" t="n"/>
      <c r="Y390" s="189" t="n"/>
      <c r="Z390" s="189" t="n"/>
      <c r="AA390" s="189" t="n"/>
      <c r="AB390" s="189" t="n"/>
      <c r="AC390" s="189" t="n"/>
      <c r="AD390" s="189" t="n"/>
      <c r="AE390" s="189" t="n"/>
      <c r="AF390" s="189" t="n"/>
      <c r="AG390" s="189" t="n"/>
      <c r="AH390" s="189" t="n"/>
      <c r="AI390" s="51" t="inlineStr">
        <is>
          <t>U2X</t>
        </is>
      </c>
    </row>
    <row r="391">
      <c r="B391" s="189" t="n"/>
      <c r="C391" s="189" t="n"/>
      <c r="D391" s="189" t="n"/>
      <c r="E391" s="189" t="n"/>
      <c r="F391" s="189" t="n"/>
      <c r="G391" s="189" t="n"/>
      <c r="H391" s="189" t="n"/>
      <c r="I391" s="189" t="n"/>
      <c r="J391" s="189" t="n"/>
      <c r="K391" s="189" t="n"/>
      <c r="L391" s="189" t="n"/>
      <c r="M391" s="189" t="n"/>
      <c r="N391" s="189" t="n"/>
      <c r="O391" s="189" t="n"/>
      <c r="P391" s="189" t="n"/>
      <c r="Q391" s="189" t="n"/>
      <c r="R391" s="189" t="n"/>
      <c r="S391" s="189" t="n"/>
      <c r="T391" s="189" t="n"/>
      <c r="U391" s="189" t="n"/>
      <c r="V391" s="189" t="n"/>
      <c r="W391" s="189" t="n"/>
      <c r="X391" s="189" t="n"/>
      <c r="Y391" s="189" t="n"/>
      <c r="Z391" s="189" t="n"/>
      <c r="AA391" s="189" t="n"/>
      <c r="AB391" s="189" t="n"/>
      <c r="AC391" s="189" t="n"/>
      <c r="AD391" s="189" t="n"/>
      <c r="AE391" s="189" t="n"/>
      <c r="AF391" s="189" t="n"/>
      <c r="AG391" s="189" t="n"/>
      <c r="AH391" s="189" t="n"/>
      <c r="AI391" s="51" t="inlineStr">
        <is>
          <t>U2Y</t>
        </is>
      </c>
    </row>
    <row r="392">
      <c r="B392" s="189" t="n"/>
      <c r="C392" s="189" t="n"/>
      <c r="D392" s="189" t="n"/>
      <c r="E392" s="189" t="n"/>
      <c r="F392" s="189" t="n"/>
      <c r="G392" s="189" t="n"/>
      <c r="H392" s="189" t="n"/>
      <c r="I392" s="189" t="n"/>
      <c r="J392" s="189" t="n"/>
      <c r="K392" s="189" t="n"/>
      <c r="L392" s="189" t="n"/>
      <c r="M392" s="189" t="n"/>
      <c r="N392" s="189" t="n"/>
      <c r="O392" s="189" t="n"/>
      <c r="P392" s="189" t="n"/>
      <c r="Q392" s="189" t="n"/>
      <c r="R392" s="189" t="n"/>
      <c r="S392" s="189" t="n"/>
      <c r="T392" s="189" t="n"/>
      <c r="U392" s="189" t="n"/>
      <c r="V392" s="189" t="n"/>
      <c r="W392" s="189" t="n"/>
      <c r="X392" s="189" t="n"/>
      <c r="Y392" s="189" t="n"/>
      <c r="Z392" s="189" t="n"/>
      <c r="AA392" s="189" t="n"/>
      <c r="AB392" s="189" t="n"/>
      <c r="AC392" s="189" t="n"/>
      <c r="AD392" s="189" t="n"/>
      <c r="AE392" s="189" t="n"/>
      <c r="AF392" s="189" t="n"/>
      <c r="AG392" s="189" t="n"/>
      <c r="AH392" s="189" t="n"/>
      <c r="AI392" s="51" t="inlineStr">
        <is>
          <t>U2θ</t>
        </is>
      </c>
    </row>
    <row r="393">
      <c r="B393" s="189" t="n"/>
      <c r="C393" s="189" t="n"/>
      <c r="D393" s="189" t="n"/>
      <c r="E393" s="189" t="n"/>
      <c r="F393" s="189" t="n"/>
      <c r="G393" s="189" t="n"/>
      <c r="H393" s="189" t="n"/>
      <c r="I393" s="189" t="n"/>
      <c r="J393" s="189" t="n"/>
      <c r="K393" s="189" t="n"/>
      <c r="L393" s="189" t="n"/>
      <c r="M393" s="189" t="n"/>
      <c r="N393" s="189" t="n"/>
      <c r="O393" s="189" t="n"/>
      <c r="P393" s="189" t="n"/>
      <c r="Q393" s="189" t="n"/>
      <c r="R393" s="189" t="n"/>
      <c r="S393" s="189" t="n"/>
      <c r="T393" s="189" t="n"/>
      <c r="U393" s="189" t="n"/>
      <c r="V393" s="189" t="n"/>
      <c r="W393" s="189" t="n"/>
      <c r="X393" s="189" t="n"/>
      <c r="Y393" s="189" t="n"/>
      <c r="Z393" s="189" t="n"/>
      <c r="AA393" s="189" t="n"/>
      <c r="AB393" s="189" t="n"/>
      <c r="AC393" s="189" t="n"/>
      <c r="AD393" s="189" t="n"/>
      <c r="AE393" s="189" t="n"/>
      <c r="AF393" s="189" t="n"/>
      <c r="AG393" s="189" t="n"/>
      <c r="AH393" s="189" t="n"/>
      <c r="AI393" s="51" t="inlineStr">
        <is>
          <t>U3X</t>
        </is>
      </c>
    </row>
    <row r="394">
      <c r="B394" s="189" t="n"/>
      <c r="C394" s="189" t="n"/>
      <c r="D394" s="189" t="n"/>
      <c r="E394" s="189" t="n"/>
      <c r="F394" s="189" t="n"/>
      <c r="G394" s="189" t="n"/>
      <c r="H394" s="189" t="n"/>
      <c r="I394" s="189" t="n"/>
      <c r="J394" s="189" t="n"/>
      <c r="K394" s="189" t="n"/>
      <c r="L394" s="189" t="n"/>
      <c r="M394" s="189" t="n"/>
      <c r="N394" s="189" t="n"/>
      <c r="O394" s="189" t="n"/>
      <c r="P394" s="189" t="n"/>
      <c r="Q394" s="189" t="n"/>
      <c r="R394" s="189" t="n"/>
      <c r="S394" s="189" t="n"/>
      <c r="T394" s="189" t="n"/>
      <c r="U394" s="189" t="n"/>
      <c r="V394" s="189" t="n"/>
      <c r="W394" s="189" t="n"/>
      <c r="X394" s="189" t="n"/>
      <c r="Y394" s="189" t="n"/>
      <c r="Z394" s="189" t="n"/>
      <c r="AA394" s="189" t="n"/>
      <c r="AB394" s="189" t="n"/>
      <c r="AC394" s="189" t="n"/>
      <c r="AD394" s="189" t="n"/>
      <c r="AE394" s="189" t="n"/>
      <c r="AF394" s="189" t="n"/>
      <c r="AG394" s="189" t="n"/>
      <c r="AH394" s="189" t="n"/>
      <c r="AI394" s="51" t="inlineStr">
        <is>
          <t>U3Y</t>
        </is>
      </c>
    </row>
    <row r="395">
      <c r="B395" s="189" t="n"/>
      <c r="C395" s="189" t="n"/>
      <c r="D395" s="189" t="n"/>
      <c r="E395" s="189" t="n"/>
      <c r="F395" s="189" t="n"/>
      <c r="G395" s="189" t="n"/>
      <c r="H395" s="189" t="n"/>
      <c r="I395" s="189" t="n"/>
      <c r="J395" s="189" t="n"/>
      <c r="K395" s="189" t="n"/>
      <c r="L395" s="189" t="n"/>
      <c r="M395" s="189" t="n"/>
      <c r="N395" s="189" t="n"/>
      <c r="O395" s="189" t="n"/>
      <c r="P395" s="189" t="n"/>
      <c r="Q395" s="189" t="n"/>
      <c r="R395" s="189" t="n"/>
      <c r="S395" s="189" t="n"/>
      <c r="T395" s="189" t="n"/>
      <c r="U395" s="189" t="n"/>
      <c r="V395" s="189" t="n"/>
      <c r="W395" s="189" t="n"/>
      <c r="X395" s="189" t="n"/>
      <c r="Y395" s="189" t="n"/>
      <c r="Z395" s="189" t="n"/>
      <c r="AA395" s="189" t="n"/>
      <c r="AB395" s="189" t="n"/>
      <c r="AC395" s="189" t="n"/>
      <c r="AD395" s="189" t="n"/>
      <c r="AE395" s="189" t="n"/>
      <c r="AF395" s="189" t="n"/>
      <c r="AG395" s="189" t="n"/>
      <c r="AH395" s="189" t="n"/>
      <c r="AI395" s="51" t="inlineStr">
        <is>
          <t>U3θ</t>
        </is>
      </c>
    </row>
    <row r="396">
      <c r="B396" s="189" t="n"/>
      <c r="C396" s="189" t="n"/>
      <c r="D396" s="189" t="n"/>
      <c r="E396" s="189" t="n"/>
      <c r="F396" s="189" t="n"/>
      <c r="G396" s="189" t="n"/>
      <c r="H396" s="189" t="n"/>
      <c r="I396" s="189" t="n"/>
      <c r="J396" s="189" t="n"/>
      <c r="K396" s="189" t="n"/>
      <c r="L396" s="189" t="n"/>
      <c r="M396" s="189" t="n"/>
      <c r="N396" s="189" t="n"/>
      <c r="O396" s="189" t="n"/>
      <c r="P396" s="189" t="n"/>
      <c r="Q396" s="189" t="n"/>
      <c r="R396" s="189" t="n"/>
      <c r="S396" s="189" t="n"/>
      <c r="T396" s="189" t="n"/>
      <c r="U396" s="189" t="n"/>
      <c r="V396" s="189" t="n"/>
      <c r="W396" s="189" t="n"/>
      <c r="X396" s="189" t="n"/>
      <c r="Y396" s="189" t="n"/>
      <c r="Z396" s="189" t="n"/>
      <c r="AA396" s="189" t="n"/>
      <c r="AB396" s="189" t="n"/>
      <c r="AC396" s="189" t="n"/>
      <c r="AD396" s="189" t="n"/>
      <c r="AE396" s="189" t="n"/>
      <c r="AF396" s="189" t="n"/>
      <c r="AG396" s="189" t="n"/>
      <c r="AH396" s="189" t="n"/>
      <c r="AI396" s="51" t="inlineStr">
        <is>
          <t>U4X</t>
        </is>
      </c>
    </row>
    <row r="397">
      <c r="B397" s="189" t="n"/>
      <c r="C397" s="189" t="n"/>
      <c r="D397" s="189" t="n"/>
      <c r="E397" s="189" t="n"/>
      <c r="F397" s="189" t="n"/>
      <c r="G397" s="189" t="n"/>
      <c r="H397" s="189" t="n"/>
      <c r="I397" s="189" t="n"/>
      <c r="J397" s="189" t="n"/>
      <c r="K397" s="189" t="n"/>
      <c r="L397" s="189" t="n"/>
      <c r="M397" s="189" t="n"/>
      <c r="N397" s="189" t="n"/>
      <c r="O397" s="189" t="n"/>
      <c r="P397" s="189" t="n"/>
      <c r="Q397" s="189" t="n"/>
      <c r="R397" s="189" t="n"/>
      <c r="S397" s="189" t="n"/>
      <c r="T397" s="189" t="n"/>
      <c r="U397" s="189" t="n"/>
      <c r="V397" s="189" t="n"/>
      <c r="W397" s="189" t="n"/>
      <c r="X397" s="189" t="n"/>
      <c r="Y397" s="189" t="n"/>
      <c r="Z397" s="189" t="n"/>
      <c r="AA397" s="189" t="n"/>
      <c r="AB397" s="189" t="n"/>
      <c r="AC397" s="189" t="n"/>
      <c r="AD397" s="189" t="n"/>
      <c r="AE397" s="189" t="n"/>
      <c r="AF397" s="189" t="n"/>
      <c r="AG397" s="189" t="n"/>
      <c r="AH397" s="189" t="n"/>
      <c r="AI397" s="51" t="inlineStr">
        <is>
          <t>U4Y</t>
        </is>
      </c>
    </row>
    <row r="398">
      <c r="B398" s="189" t="n"/>
      <c r="C398" s="189" t="n"/>
      <c r="D398" s="189" t="n"/>
      <c r="E398" s="189" t="n"/>
      <c r="F398" s="189" t="n"/>
      <c r="G398" s="189" t="n"/>
      <c r="H398" s="189" t="n"/>
      <c r="I398" s="189" t="n"/>
      <c r="J398" s="189" t="n"/>
      <c r="K398" s="189" t="n"/>
      <c r="L398" s="189" t="n"/>
      <c r="M398" s="189" t="n"/>
      <c r="N398" s="189" t="n"/>
      <c r="O398" s="189" t="n"/>
      <c r="P398" s="189" t="n"/>
      <c r="Q398" s="189" t="n"/>
      <c r="R398" s="189" t="n"/>
      <c r="S398" s="189" t="n"/>
      <c r="T398" s="189" t="n"/>
      <c r="U398" s="189" t="n"/>
      <c r="V398" s="189" t="n"/>
      <c r="W398" s="189" t="n"/>
      <c r="X398" s="189" t="n"/>
      <c r="Y398" s="189" t="n"/>
      <c r="Z398" s="189" t="n"/>
      <c r="AA398" s="189" t="n"/>
      <c r="AB398" s="189" t="n"/>
      <c r="AC398" s="189" t="n"/>
      <c r="AD398" s="189" t="n"/>
      <c r="AE398" s="189" t="n"/>
      <c r="AF398" s="189" t="n"/>
      <c r="AG398" s="189" t="n"/>
      <c r="AH398" s="189" t="n"/>
      <c r="AI398" s="51" t="inlineStr">
        <is>
          <t>U4θ</t>
        </is>
      </c>
    </row>
    <row r="399">
      <c r="B399" s="189" t="n"/>
      <c r="C399" s="189" t="n"/>
      <c r="D399" s="189" t="n"/>
      <c r="E399" s="189" t="n"/>
      <c r="F399" s="189" t="n"/>
      <c r="G399" s="189" t="n"/>
      <c r="H399" s="189" t="n"/>
      <c r="I399" s="189" t="n"/>
      <c r="J399" s="189" t="n"/>
      <c r="K399" s="189" t="n"/>
      <c r="L399" s="189" t="n"/>
      <c r="M399" s="189" t="n"/>
      <c r="N399" s="189" t="n"/>
      <c r="O399" s="189" t="n"/>
      <c r="P399" s="189" t="n"/>
      <c r="Q399" s="189" t="n"/>
      <c r="R399" s="189" t="n"/>
      <c r="S399" s="189" t="n"/>
      <c r="T399" s="189" t="n"/>
      <c r="U399" s="189" t="n"/>
      <c r="V399" s="189" t="n"/>
      <c r="W399" s="189" t="n"/>
      <c r="X399" s="189" t="n"/>
      <c r="Y399" s="189" t="n"/>
      <c r="Z399" s="189" t="n"/>
      <c r="AA399" s="189" t="n"/>
      <c r="AB399" s="189" t="n"/>
      <c r="AC399" s="189" t="n"/>
      <c r="AD399" s="189" t="n"/>
      <c r="AE399" s="189" t="n"/>
      <c r="AF399" s="189" t="n"/>
      <c r="AG399" s="189" t="n"/>
      <c r="AH399" s="189" t="n"/>
      <c r="AI399" s="51" t="inlineStr">
        <is>
          <t>U5X</t>
        </is>
      </c>
    </row>
    <row r="400">
      <c r="B400" s="189" t="n"/>
      <c r="C400" s="189" t="n"/>
      <c r="D400" s="189" t="n"/>
      <c r="E400" s="189" t="n"/>
      <c r="F400" s="189" t="n"/>
      <c r="G400" s="189" t="n"/>
      <c r="H400" s="189" t="n"/>
      <c r="I400" s="189" t="n"/>
      <c r="J400" s="189" t="n"/>
      <c r="K400" s="189" t="n"/>
      <c r="L400" s="189" t="n"/>
      <c r="M400" s="189" t="n"/>
      <c r="N400" s="189" t="n"/>
      <c r="O400" s="189" t="n"/>
      <c r="P400" s="189" t="n"/>
      <c r="Q400" s="189" t="n"/>
      <c r="R400" s="189" t="n"/>
      <c r="S400" s="189" t="n"/>
      <c r="T400" s="189" t="n"/>
      <c r="U400" s="189" t="n"/>
      <c r="V400" s="189" t="n"/>
      <c r="W400" s="189" t="n"/>
      <c r="X400" s="189" t="n"/>
      <c r="Y400" s="189" t="n"/>
      <c r="Z400" s="189" t="n"/>
      <c r="AA400" s="189" t="n"/>
      <c r="AB400" s="189" t="n"/>
      <c r="AC400" s="189" t="n"/>
      <c r="AD400" s="189" t="n"/>
      <c r="AE400" s="189" t="n"/>
      <c r="AF400" s="189" t="n"/>
      <c r="AG400" s="189" t="n"/>
      <c r="AH400" s="189" t="n"/>
      <c r="AI400" s="51" t="inlineStr">
        <is>
          <t>U5Y</t>
        </is>
      </c>
    </row>
    <row r="401">
      <c r="B401" s="189" t="n"/>
      <c r="C401" s="189" t="n"/>
      <c r="D401" s="189" t="n"/>
      <c r="E401" s="189" t="n"/>
      <c r="F401" s="189" t="n"/>
      <c r="G401" s="189" t="n"/>
      <c r="H401" s="189" t="n"/>
      <c r="I401" s="189" t="n"/>
      <c r="J401" s="189" t="n"/>
      <c r="K401" s="189" t="n"/>
      <c r="L401" s="189" t="n"/>
      <c r="M401" s="189" t="n"/>
      <c r="N401" s="189" t="n"/>
      <c r="O401" s="189" t="n"/>
      <c r="P401" s="189" t="n"/>
      <c r="Q401" s="189" t="n"/>
      <c r="R401" s="189" t="n"/>
      <c r="S401" s="189" t="n"/>
      <c r="T401" s="189" t="n"/>
      <c r="U401" s="189" t="n"/>
      <c r="V401" s="189" t="n"/>
      <c r="W401" s="189" t="n"/>
      <c r="X401" s="189" t="n"/>
      <c r="Y401" s="189" t="n"/>
      <c r="Z401" s="189" t="n"/>
      <c r="AA401" s="189" t="n"/>
      <c r="AB401" s="189" t="n"/>
      <c r="AC401" s="189" t="n"/>
      <c r="AD401" s="189" t="n"/>
      <c r="AE401" s="189" t="n"/>
      <c r="AF401" s="189" t="n"/>
      <c r="AG401" s="189" t="n"/>
      <c r="AH401" s="189" t="n"/>
      <c r="AI401" s="51" t="inlineStr">
        <is>
          <t>U5θ</t>
        </is>
      </c>
    </row>
    <row r="402">
      <c r="A402" s="118" t="inlineStr">
        <is>
          <t>K9 =</t>
        </is>
      </c>
      <c r="B402" s="189" t="n"/>
      <c r="C402" s="189" t="n"/>
      <c r="D402" s="189" t="n"/>
      <c r="E402" s="189" t="n"/>
      <c r="F402" s="189" t="n"/>
      <c r="G402" s="189" t="n"/>
      <c r="H402" s="189" t="n"/>
      <c r="I402" s="189" t="n"/>
      <c r="J402" s="189" t="n"/>
      <c r="K402" s="189" t="n"/>
      <c r="L402" s="189" t="n"/>
      <c r="M402" s="189" t="n"/>
      <c r="N402" s="189" t="n"/>
      <c r="O402" s="189" t="n"/>
      <c r="P402" s="189" t="n"/>
      <c r="Q402" s="189" t="n"/>
      <c r="R402" s="189" t="n"/>
      <c r="S402" s="189" t="n"/>
      <c r="T402" s="189" t="n"/>
      <c r="U402" s="189" t="n"/>
      <c r="V402" s="189" t="n"/>
      <c r="W402" s="189" t="n"/>
      <c r="X402" s="189" t="n"/>
      <c r="Y402" s="189" t="n"/>
      <c r="Z402" s="189" t="n"/>
      <c r="AA402" s="189" t="n"/>
      <c r="AB402" s="189" t="n"/>
      <c r="AC402" s="189" t="n"/>
      <c r="AD402" s="189" t="n"/>
      <c r="AE402" s="189" t="n"/>
      <c r="AF402" s="189" t="n"/>
      <c r="AG402" s="189" t="n"/>
      <c r="AH402" s="189" t="n"/>
      <c r="AI402" s="51" t="inlineStr">
        <is>
          <t>U6X</t>
        </is>
      </c>
    </row>
    <row r="403">
      <c r="B403" s="189" t="n"/>
      <c r="C403" s="189" t="n"/>
      <c r="D403" s="189" t="n"/>
      <c r="E403" s="189" t="n"/>
      <c r="F403" s="189" t="n"/>
      <c r="G403" s="189" t="n"/>
      <c r="H403" s="189" t="n"/>
      <c r="I403" s="189" t="n"/>
      <c r="J403" s="189" t="n"/>
      <c r="K403" s="189" t="n"/>
      <c r="L403" s="189" t="n"/>
      <c r="M403" s="189" t="n"/>
      <c r="N403" s="189" t="n"/>
      <c r="O403" s="189" t="n"/>
      <c r="P403" s="189" t="n"/>
      <c r="Q403" s="189" t="n"/>
      <c r="R403" s="189" t="n"/>
      <c r="S403" s="189" t="n"/>
      <c r="T403" s="189" t="n"/>
      <c r="U403" s="189" t="n"/>
      <c r="V403" s="189" t="n"/>
      <c r="W403" s="189" t="n"/>
      <c r="X403" s="189" t="n"/>
      <c r="Y403" s="189" t="n"/>
      <c r="Z403" s="189" t="n"/>
      <c r="AA403" s="189" t="n"/>
      <c r="AB403" s="189" t="n"/>
      <c r="AC403" s="189" t="n"/>
      <c r="AD403" s="189" t="n"/>
      <c r="AE403" s="189" t="n"/>
      <c r="AF403" s="189" t="n"/>
      <c r="AG403" s="189" t="n"/>
      <c r="AH403" s="189" t="n"/>
      <c r="AI403" s="51" t="inlineStr">
        <is>
          <t>U6Y</t>
        </is>
      </c>
    </row>
    <row r="404">
      <c r="B404" s="189" t="n"/>
      <c r="C404" s="189" t="n"/>
      <c r="D404" s="189" t="n"/>
      <c r="E404" s="189" t="n"/>
      <c r="F404" s="189" t="n"/>
      <c r="G404" s="189" t="n"/>
      <c r="H404" s="189" t="n"/>
      <c r="I404" s="189" t="n"/>
      <c r="J404" s="189" t="n"/>
      <c r="K404" s="189" t="n"/>
      <c r="L404" s="189" t="n"/>
      <c r="M404" s="189" t="n"/>
      <c r="N404" s="189" t="n"/>
      <c r="O404" s="189" t="n"/>
      <c r="P404" s="189" t="n"/>
      <c r="Q404" s="189" t="n"/>
      <c r="R404" s="189" t="n"/>
      <c r="S404" s="189" t="n"/>
      <c r="T404" s="189" t="n"/>
      <c r="U404" s="189" t="n"/>
      <c r="V404" s="189" t="n"/>
      <c r="W404" s="189" t="n"/>
      <c r="X404" s="189" t="n"/>
      <c r="Y404" s="189" t="n"/>
      <c r="Z404" s="189" t="n"/>
      <c r="AA404" s="189" t="n"/>
      <c r="AB404" s="189" t="n"/>
      <c r="AC404" s="189" t="n"/>
      <c r="AD404" s="189" t="n"/>
      <c r="AE404" s="189" t="n"/>
      <c r="AF404" s="189" t="n"/>
      <c r="AG404" s="189" t="n"/>
      <c r="AH404" s="189" t="n"/>
      <c r="AI404" s="51" t="inlineStr">
        <is>
          <t>U6θ</t>
        </is>
      </c>
    </row>
    <row r="405">
      <c r="B405" s="189" t="n"/>
      <c r="C405" s="189" t="n"/>
      <c r="D405" s="189" t="n"/>
      <c r="E405" s="189" t="n"/>
      <c r="F405" s="189" t="n"/>
      <c r="G405" s="189" t="n"/>
      <c r="H405" s="189" t="n"/>
      <c r="I405" s="189" t="n"/>
      <c r="J405" s="189" t="n"/>
      <c r="K405" s="189" t="n"/>
      <c r="L405" s="189" t="n"/>
      <c r="M405" s="189" t="n"/>
      <c r="N405" s="189" t="n"/>
      <c r="O405" s="189" t="n"/>
      <c r="P405" s="189" t="n"/>
      <c r="Q405" s="189" t="n"/>
      <c r="R405" s="189" t="n"/>
      <c r="S405" s="189" t="n"/>
      <c r="T405" s="189" t="n"/>
      <c r="U405" s="189" t="n"/>
      <c r="V405" s="189" t="n"/>
      <c r="W405" s="189" t="n"/>
      <c r="X405" s="189" t="n"/>
      <c r="Y405" s="189" t="n"/>
      <c r="Z405" s="189" t="n"/>
      <c r="AA405" s="189" t="n"/>
      <c r="AB405" s="189" t="n"/>
      <c r="AC405" s="189" t="n"/>
      <c r="AD405" s="189" t="n"/>
      <c r="AE405" s="189" t="n"/>
      <c r="AF405" s="189" t="n"/>
      <c r="AG405" s="189" t="n"/>
      <c r="AH405" s="189" t="n"/>
      <c r="AI405" s="51" t="inlineStr">
        <is>
          <t>U7X</t>
        </is>
      </c>
    </row>
    <row r="406">
      <c r="B406" s="189" t="n"/>
      <c r="C406" s="189" t="n"/>
      <c r="D406" s="189" t="n"/>
      <c r="E406" s="189" t="n"/>
      <c r="F406" s="189" t="n"/>
      <c r="G406" s="189" t="n"/>
      <c r="H406" s="189" t="n"/>
      <c r="I406" s="189" t="n"/>
      <c r="J406" s="189" t="n"/>
      <c r="K406" s="189" t="n"/>
      <c r="L406" s="189" t="n"/>
      <c r="M406" s="189" t="n"/>
      <c r="N406" s="189" t="n"/>
      <c r="O406" s="189" t="n"/>
      <c r="P406" s="189" t="n"/>
      <c r="Q406" s="189" t="n"/>
      <c r="R406" s="189" t="n"/>
      <c r="S406" s="189" t="n"/>
      <c r="T406" s="189" t="n"/>
      <c r="U406" s="189" t="n"/>
      <c r="V406" s="189" t="n"/>
      <c r="W406" s="189" t="n"/>
      <c r="X406" s="189" t="n"/>
      <c r="Y406" s="189" t="n"/>
      <c r="Z406" s="189" t="n"/>
      <c r="AA406" s="189" t="n"/>
      <c r="AB406" s="189" t="n"/>
      <c r="AC406" s="189" t="n"/>
      <c r="AD406" s="189" t="n"/>
      <c r="AE406" s="189" t="n"/>
      <c r="AF406" s="189" t="n"/>
      <c r="AG406" s="189" t="n"/>
      <c r="AH406" s="189" t="n"/>
      <c r="AI406" s="51" t="inlineStr">
        <is>
          <t>U7Y</t>
        </is>
      </c>
    </row>
    <row r="407">
      <c r="B407" s="189" t="n"/>
      <c r="C407" s="189" t="n"/>
      <c r="D407" s="189" t="n"/>
      <c r="E407" s="189" t="n"/>
      <c r="F407" s="189" t="n"/>
      <c r="G407" s="189" t="n"/>
      <c r="H407" s="189" t="n"/>
      <c r="I407" s="189" t="n"/>
      <c r="J407" s="189" t="n"/>
      <c r="K407" s="189" t="n"/>
      <c r="L407" s="189" t="n"/>
      <c r="M407" s="189" t="n"/>
      <c r="N407" s="189" t="n"/>
      <c r="O407" s="189" t="n"/>
      <c r="P407" s="189" t="n"/>
      <c r="Q407" s="189" t="n"/>
      <c r="R407" s="189" t="n"/>
      <c r="S407" s="189" t="n"/>
      <c r="T407" s="189" t="n"/>
      <c r="U407" s="189" t="n"/>
      <c r="V407" s="189" t="n"/>
      <c r="W407" s="189" t="n"/>
      <c r="X407" s="189" t="n"/>
      <c r="Y407" s="189" t="n"/>
      <c r="Z407" s="189" t="n"/>
      <c r="AA407" s="189" t="n"/>
      <c r="AB407" s="189" t="n"/>
      <c r="AC407" s="189" t="n"/>
      <c r="AD407" s="189" t="n"/>
      <c r="AE407" s="189" t="n"/>
      <c r="AF407" s="189" t="n"/>
      <c r="AG407" s="189" t="n"/>
      <c r="AH407" s="189" t="n"/>
      <c r="AI407" s="51" t="inlineStr">
        <is>
          <t>U7θ</t>
        </is>
      </c>
    </row>
    <row r="408">
      <c r="B408" s="189" t="n"/>
      <c r="C408" s="189" t="n"/>
      <c r="D408" s="189" t="n"/>
      <c r="E408" s="189" t="n"/>
      <c r="F408" s="189" t="n"/>
      <c r="G408" s="189" t="n"/>
      <c r="H408" s="189" t="n"/>
      <c r="I408" s="189" t="n"/>
      <c r="J408" s="189" t="n"/>
      <c r="K408" s="189" t="n"/>
      <c r="L408" s="189" t="n"/>
      <c r="M408" s="189" t="n"/>
      <c r="N408" s="189" t="n"/>
      <c r="O408" s="189" t="n"/>
      <c r="P408" s="189" t="n"/>
      <c r="Q408" s="189" t="n"/>
      <c r="R408" s="189" t="n"/>
      <c r="S408" s="189" t="n"/>
      <c r="T408" s="189" t="n"/>
      <c r="U408" s="189" t="n"/>
      <c r="V408" s="189" t="n"/>
      <c r="W408" s="189" t="n"/>
      <c r="X408" s="189" t="n"/>
      <c r="Y408" s="189" t="n"/>
      <c r="Z408" s="189" t="n"/>
      <c r="AA408" s="189" t="n"/>
      <c r="AB408" s="189" t="n"/>
      <c r="AC408" s="189" t="n"/>
      <c r="AD408" s="189" t="n"/>
      <c r="AE408" s="189" t="n"/>
      <c r="AF408" s="189" t="n"/>
      <c r="AG408" s="189" t="n"/>
      <c r="AH408" s="189" t="n"/>
      <c r="AI408" s="51" t="inlineStr">
        <is>
          <t>U8X</t>
        </is>
      </c>
    </row>
    <row r="409">
      <c r="B409" s="189" t="n"/>
      <c r="C409" s="189" t="n"/>
      <c r="D409" s="189" t="n"/>
      <c r="E409" s="189" t="n"/>
      <c r="F409" s="189" t="n"/>
      <c r="G409" s="189" t="n"/>
      <c r="H409" s="189" t="n"/>
      <c r="I409" s="189" t="n"/>
      <c r="J409" s="189" t="n"/>
      <c r="K409" s="189" t="n"/>
      <c r="L409" s="189" t="n"/>
      <c r="M409" s="189" t="n"/>
      <c r="N409" s="189" t="n"/>
      <c r="O409" s="189" t="n"/>
      <c r="P409" s="189" t="n"/>
      <c r="Q409" s="189" t="n"/>
      <c r="R409" s="189" t="n"/>
      <c r="S409" s="189" t="n"/>
      <c r="T409" s="189" t="n"/>
      <c r="U409" s="189" t="n"/>
      <c r="V409" s="189" t="n"/>
      <c r="W409" s="189" t="n"/>
      <c r="X409" s="189" t="n"/>
      <c r="Y409" s="189" t="n"/>
      <c r="Z409" s="189" t="n"/>
      <c r="AA409" s="189" t="n"/>
      <c r="AB409" s="189" t="n"/>
      <c r="AC409" s="189" t="n"/>
      <c r="AD409" s="189" t="n"/>
      <c r="AE409" s="189" t="n"/>
      <c r="AF409" s="189" t="n"/>
      <c r="AG409" s="189" t="n"/>
      <c r="AH409" s="189" t="n"/>
      <c r="AI409" s="51" t="inlineStr">
        <is>
          <t>U8Y</t>
        </is>
      </c>
    </row>
    <row r="410">
      <c r="B410" s="189" t="n"/>
      <c r="C410" s="189" t="n"/>
      <c r="D410" s="189" t="n"/>
      <c r="E410" s="189" t="n"/>
      <c r="F410" s="189" t="n"/>
      <c r="G410" s="189" t="n"/>
      <c r="H410" s="189" t="n"/>
      <c r="I410" s="189" t="n"/>
      <c r="J410" s="189" t="n"/>
      <c r="K410" s="189" t="n"/>
      <c r="L410" s="189" t="n"/>
      <c r="M410" s="189" t="n"/>
      <c r="N410" s="189" t="n"/>
      <c r="O410" s="189" t="n"/>
      <c r="P410" s="189" t="n"/>
      <c r="Q410" s="189" t="n"/>
      <c r="R410" s="189" t="n"/>
      <c r="S410" s="189" t="n"/>
      <c r="T410" s="189" t="n"/>
      <c r="U410" s="189" t="n"/>
      <c r="V410" s="189" t="n"/>
      <c r="W410" s="189" t="n"/>
      <c r="X410" s="189" t="n"/>
      <c r="Y410" s="189" t="n"/>
      <c r="Z410" s="189" t="n"/>
      <c r="AA410" s="189" t="n"/>
      <c r="AB410" s="189" t="n"/>
      <c r="AC410" s="189" t="n"/>
      <c r="AD410" s="189" t="n"/>
      <c r="AE410" s="189" t="n"/>
      <c r="AF410" s="189" t="n"/>
      <c r="AG410" s="189" t="n"/>
      <c r="AH410" s="189" t="n"/>
      <c r="AI410" s="51" t="inlineStr">
        <is>
          <t>U8θ</t>
        </is>
      </c>
    </row>
    <row r="411">
      <c r="B411" s="189" t="n"/>
      <c r="C411" s="189" t="n"/>
      <c r="D411" s="189" t="n"/>
      <c r="E411" s="189" t="n"/>
      <c r="F411" s="189" t="n"/>
      <c r="G411" s="189" t="n"/>
      <c r="H411" s="189" t="n"/>
      <c r="I411" s="189" t="n"/>
      <c r="J411" s="189" t="n"/>
      <c r="K411" s="189" t="n"/>
      <c r="L411" s="189" t="n"/>
      <c r="M411" s="189" t="n"/>
      <c r="N411" s="189" t="n"/>
      <c r="O411" s="189" t="n"/>
      <c r="P411" s="189" t="n"/>
      <c r="Q411" s="189" t="n"/>
      <c r="R411" s="189" t="n"/>
      <c r="S411" s="189" t="n"/>
      <c r="T411" s="189" t="n"/>
      <c r="U411" s="189" t="n"/>
      <c r="V411" s="189" t="n"/>
      <c r="W411" s="189" t="n"/>
      <c r="X411" s="189" t="n"/>
      <c r="Y411" s="189" t="n"/>
      <c r="Z411" s="189">
        <f>B379</f>
        <v/>
      </c>
      <c r="AA411" s="189">
        <f>C379</f>
        <v/>
      </c>
      <c r="AB411" s="189">
        <f>D379</f>
        <v/>
      </c>
      <c r="AC411" s="189">
        <f>E379</f>
        <v/>
      </c>
      <c r="AD411" s="189">
        <f>F379</f>
        <v/>
      </c>
      <c r="AE411" s="189">
        <f>G379</f>
        <v/>
      </c>
      <c r="AF411" s="189" t="n"/>
      <c r="AG411" s="189" t="n"/>
      <c r="AH411" s="189" t="n"/>
      <c r="AI411" s="51" t="inlineStr">
        <is>
          <t>U9X</t>
        </is>
      </c>
    </row>
    <row r="412">
      <c r="B412" s="189" t="n"/>
      <c r="C412" s="189" t="n"/>
      <c r="D412" s="189" t="n"/>
      <c r="E412" s="189" t="n"/>
      <c r="F412" s="189" t="n"/>
      <c r="G412" s="189" t="n"/>
      <c r="H412" s="189" t="n"/>
      <c r="I412" s="189" t="n"/>
      <c r="J412" s="189" t="n"/>
      <c r="K412" s="189" t="n"/>
      <c r="L412" s="189" t="n"/>
      <c r="M412" s="189" t="n"/>
      <c r="N412" s="189" t="n"/>
      <c r="O412" s="189" t="n"/>
      <c r="P412" s="189" t="n"/>
      <c r="Q412" s="189" t="n"/>
      <c r="R412" s="189" t="n"/>
      <c r="S412" s="189" t="n"/>
      <c r="T412" s="189" t="n"/>
      <c r="U412" s="189" t="n"/>
      <c r="V412" s="189" t="n"/>
      <c r="W412" s="189" t="n"/>
      <c r="X412" s="189" t="n"/>
      <c r="Y412" s="189" t="n"/>
      <c r="Z412" s="189">
        <f>B380</f>
        <v/>
      </c>
      <c r="AA412" s="189">
        <f>C380</f>
        <v/>
      </c>
      <c r="AB412" s="189">
        <f>D380</f>
        <v/>
      </c>
      <c r="AC412" s="189">
        <f>E380</f>
        <v/>
      </c>
      <c r="AD412" s="189">
        <f>F380</f>
        <v/>
      </c>
      <c r="AE412" s="189">
        <f>G380</f>
        <v/>
      </c>
      <c r="AF412" s="189" t="n"/>
      <c r="AG412" s="189" t="n"/>
      <c r="AH412" s="189" t="n"/>
      <c r="AI412" s="51" t="inlineStr">
        <is>
          <t>U9Y</t>
        </is>
      </c>
    </row>
    <row r="413">
      <c r="B413" s="189" t="n"/>
      <c r="C413" s="189" t="n"/>
      <c r="D413" s="189" t="n"/>
      <c r="E413" s="189" t="n"/>
      <c r="F413" s="189" t="n"/>
      <c r="G413" s="189" t="n"/>
      <c r="H413" s="189" t="n"/>
      <c r="I413" s="189" t="n"/>
      <c r="J413" s="189" t="n"/>
      <c r="K413" s="189" t="n"/>
      <c r="L413" s="189" t="n"/>
      <c r="M413" s="189" t="n"/>
      <c r="N413" s="189" t="n"/>
      <c r="O413" s="189" t="n"/>
      <c r="P413" s="189" t="n"/>
      <c r="Q413" s="189" t="n"/>
      <c r="R413" s="189" t="n"/>
      <c r="S413" s="189" t="n"/>
      <c r="T413" s="189" t="n"/>
      <c r="U413" s="189" t="n"/>
      <c r="V413" s="189" t="n"/>
      <c r="W413" s="189" t="n"/>
      <c r="X413" s="189" t="n"/>
      <c r="Y413" s="189" t="n"/>
      <c r="Z413" s="189">
        <f>B381</f>
        <v/>
      </c>
      <c r="AA413" s="189">
        <f>C381</f>
        <v/>
      </c>
      <c r="AB413" s="189">
        <f>D381</f>
        <v/>
      </c>
      <c r="AC413" s="189">
        <f>E381</f>
        <v/>
      </c>
      <c r="AD413" s="189">
        <f>F381</f>
        <v/>
      </c>
      <c r="AE413" s="189">
        <f>G381</f>
        <v/>
      </c>
      <c r="AF413" s="189" t="n"/>
      <c r="AG413" s="189" t="n"/>
      <c r="AH413" s="189" t="n"/>
      <c r="AI413" s="51" t="inlineStr">
        <is>
          <t>U9θ</t>
        </is>
      </c>
    </row>
    <row r="414">
      <c r="B414" s="189" t="n"/>
      <c r="C414" s="189" t="n"/>
      <c r="D414" s="189" t="n"/>
      <c r="E414" s="189" t="n"/>
      <c r="F414" s="189" t="n"/>
      <c r="G414" s="189" t="n"/>
      <c r="H414" s="189" t="n"/>
      <c r="I414" s="189" t="n"/>
      <c r="J414" s="189" t="n"/>
      <c r="K414" s="189" t="n"/>
      <c r="L414" s="189" t="n"/>
      <c r="M414" s="189" t="n"/>
      <c r="N414" s="189" t="n"/>
      <c r="O414" s="189" t="n"/>
      <c r="P414" s="189" t="n"/>
      <c r="Q414" s="189" t="n"/>
      <c r="R414" s="189" t="n"/>
      <c r="S414" s="189" t="n"/>
      <c r="T414" s="189" t="n"/>
      <c r="U414" s="189" t="n"/>
      <c r="V414" s="189" t="n"/>
      <c r="W414" s="189" t="n"/>
      <c r="X414" s="189" t="n"/>
      <c r="Y414" s="189" t="n"/>
      <c r="Z414" s="189">
        <f>B382</f>
        <v/>
      </c>
      <c r="AA414" s="189">
        <f>C382</f>
        <v/>
      </c>
      <c r="AB414" s="189">
        <f>D382</f>
        <v/>
      </c>
      <c r="AC414" s="189">
        <f>E382</f>
        <v/>
      </c>
      <c r="AD414" s="189">
        <f>F382</f>
        <v/>
      </c>
      <c r="AE414" s="189">
        <f>G382</f>
        <v/>
      </c>
      <c r="AF414" s="189" t="n"/>
      <c r="AG414" s="189" t="n"/>
      <c r="AH414" s="189" t="n"/>
      <c r="AI414" s="51" t="inlineStr">
        <is>
          <t>U10X</t>
        </is>
      </c>
    </row>
    <row r="415">
      <c r="B415" s="189" t="n"/>
      <c r="C415" s="189" t="n"/>
      <c r="D415" s="189" t="n"/>
      <c r="E415" s="189" t="n"/>
      <c r="F415" s="189" t="n"/>
      <c r="G415" s="189" t="n"/>
      <c r="H415" s="189" t="n"/>
      <c r="I415" s="189" t="n"/>
      <c r="J415" s="189" t="n"/>
      <c r="K415" s="189" t="n"/>
      <c r="L415" s="189" t="n"/>
      <c r="M415" s="189" t="n"/>
      <c r="N415" s="189" t="n"/>
      <c r="O415" s="189" t="n"/>
      <c r="P415" s="189" t="n"/>
      <c r="Q415" s="189" t="n"/>
      <c r="R415" s="189" t="n"/>
      <c r="S415" s="189" t="n"/>
      <c r="T415" s="189" t="n"/>
      <c r="U415" s="189" t="n"/>
      <c r="V415" s="189" t="n"/>
      <c r="W415" s="189" t="n"/>
      <c r="X415" s="189" t="n"/>
      <c r="Y415" s="189" t="n"/>
      <c r="Z415" s="189">
        <f>B383</f>
        <v/>
      </c>
      <c r="AA415" s="189">
        <f>C383</f>
        <v/>
      </c>
      <c r="AB415" s="189">
        <f>D383</f>
        <v/>
      </c>
      <c r="AC415" s="189">
        <f>E383</f>
        <v/>
      </c>
      <c r="AD415" s="189">
        <f>F383</f>
        <v/>
      </c>
      <c r="AE415" s="189">
        <f>G383</f>
        <v/>
      </c>
      <c r="AF415" s="189" t="n"/>
      <c r="AG415" s="189" t="n"/>
      <c r="AH415" s="189" t="n"/>
      <c r="AI415" s="51" t="inlineStr">
        <is>
          <t>U10Y</t>
        </is>
      </c>
    </row>
    <row r="416">
      <c r="B416" s="189" t="n"/>
      <c r="C416" s="189" t="n"/>
      <c r="D416" s="189" t="n"/>
      <c r="E416" s="189" t="n"/>
      <c r="F416" s="189" t="n"/>
      <c r="G416" s="189" t="n"/>
      <c r="H416" s="189" t="n"/>
      <c r="I416" s="189" t="n"/>
      <c r="J416" s="189" t="n"/>
      <c r="K416" s="189" t="n"/>
      <c r="L416" s="189" t="n"/>
      <c r="M416" s="189" t="n"/>
      <c r="N416" s="189" t="n"/>
      <c r="O416" s="189" t="n"/>
      <c r="P416" s="189" t="n"/>
      <c r="Q416" s="189" t="n"/>
      <c r="R416" s="189" t="n"/>
      <c r="S416" s="189" t="n"/>
      <c r="T416" s="189" t="n"/>
      <c r="U416" s="189" t="n"/>
      <c r="V416" s="189" t="n"/>
      <c r="W416" s="189" t="n"/>
      <c r="X416" s="189" t="n"/>
      <c r="Y416" s="189" t="n"/>
      <c r="Z416" s="189">
        <f>B384</f>
        <v/>
      </c>
      <c r="AA416" s="189">
        <f>C384</f>
        <v/>
      </c>
      <c r="AB416" s="189">
        <f>D384</f>
        <v/>
      </c>
      <c r="AC416" s="189">
        <f>E384</f>
        <v/>
      </c>
      <c r="AD416" s="189">
        <f>F384</f>
        <v/>
      </c>
      <c r="AE416" s="189">
        <f>G384</f>
        <v/>
      </c>
      <c r="AF416" s="189" t="n"/>
      <c r="AG416" s="189" t="n"/>
      <c r="AH416" s="189" t="n"/>
      <c r="AI416" s="51" t="inlineStr">
        <is>
          <t>U10θ</t>
        </is>
      </c>
    </row>
    <row r="417">
      <c r="B417" s="189" t="n"/>
      <c r="C417" s="189" t="n"/>
      <c r="D417" s="189" t="n"/>
      <c r="E417" s="189" t="n"/>
      <c r="F417" s="189" t="n"/>
      <c r="G417" s="189" t="n"/>
      <c r="H417" s="189" t="n"/>
      <c r="I417" s="189" t="n"/>
      <c r="J417" s="189" t="n"/>
      <c r="K417" s="189" t="n"/>
      <c r="L417" s="189" t="n"/>
      <c r="M417" s="189" t="n"/>
      <c r="N417" s="189" t="n"/>
      <c r="O417" s="189" t="n"/>
      <c r="P417" s="189" t="n"/>
      <c r="Q417" s="189" t="n"/>
      <c r="R417" s="189" t="n"/>
      <c r="S417" s="189" t="n"/>
      <c r="T417" s="189" t="n"/>
      <c r="U417" s="189" t="n"/>
      <c r="V417" s="189" t="n"/>
      <c r="W417" s="189" t="n"/>
      <c r="X417" s="189" t="n"/>
      <c r="Y417" s="189" t="n"/>
      <c r="Z417" s="189" t="n"/>
      <c r="AA417" s="189" t="n"/>
      <c r="AB417" s="189" t="n"/>
      <c r="AC417" s="189" t="n"/>
      <c r="AD417" s="189" t="n"/>
      <c r="AE417" s="189" t="n"/>
      <c r="AF417" s="189" t="n"/>
      <c r="AG417" s="189" t="n"/>
      <c r="AH417" s="189" t="n"/>
      <c r="AI417" s="51" t="inlineStr">
        <is>
          <t>U11X</t>
        </is>
      </c>
    </row>
    <row r="418">
      <c r="B418" s="189" t="n"/>
      <c r="C418" s="189" t="n"/>
      <c r="D418" s="189" t="n"/>
      <c r="E418" s="189" t="n"/>
      <c r="F418" s="189" t="n"/>
      <c r="G418" s="189" t="n"/>
      <c r="H418" s="189" t="n"/>
      <c r="I418" s="189" t="n"/>
      <c r="J418" s="189" t="n"/>
      <c r="K418" s="189" t="n"/>
      <c r="L418" s="189" t="n"/>
      <c r="M418" s="189" t="n"/>
      <c r="N418" s="189" t="n"/>
      <c r="O418" s="189" t="n"/>
      <c r="P418" s="189" t="n"/>
      <c r="Q418" s="189" t="n"/>
      <c r="R418" s="189" t="n"/>
      <c r="S418" s="189" t="n"/>
      <c r="T418" s="189" t="n"/>
      <c r="U418" s="189" t="n"/>
      <c r="V418" s="189" t="n"/>
      <c r="W418" s="189" t="n"/>
      <c r="X418" s="189" t="n"/>
      <c r="Y418" s="189" t="n"/>
      <c r="Z418" s="189" t="n"/>
      <c r="AA418" s="189" t="n"/>
      <c r="AB418" s="189" t="n"/>
      <c r="AC418" s="189" t="n"/>
      <c r="AD418" s="189" t="n"/>
      <c r="AE418" s="189" t="n"/>
      <c r="AF418" s="189" t="n"/>
      <c r="AG418" s="189" t="n"/>
      <c r="AH418" s="189" t="n"/>
      <c r="AI418" s="51" t="inlineStr">
        <is>
          <t>U11Y</t>
        </is>
      </c>
    </row>
    <row r="419">
      <c r="B419" s="189" t="n"/>
      <c r="C419" s="189" t="n"/>
      <c r="D419" s="189" t="n"/>
      <c r="E419" s="189" t="n"/>
      <c r="F419" s="189" t="n"/>
      <c r="G419" s="189" t="n"/>
      <c r="H419" s="189" t="n"/>
      <c r="I419" s="189" t="n"/>
      <c r="J419" s="189" t="n"/>
      <c r="K419" s="189" t="n"/>
      <c r="L419" s="189" t="n"/>
      <c r="M419" s="189" t="n"/>
      <c r="N419" s="189" t="n"/>
      <c r="O419" s="189" t="n"/>
      <c r="P419" s="189" t="n"/>
      <c r="Q419" s="189" t="n"/>
      <c r="R419" s="189" t="n"/>
      <c r="S419" s="189" t="n"/>
      <c r="T419" s="189" t="n"/>
      <c r="U419" s="189" t="n"/>
      <c r="V419" s="189" t="n"/>
      <c r="W419" s="189" t="n"/>
      <c r="X419" s="189" t="n"/>
      <c r="Y419" s="189" t="n"/>
      <c r="Z419" s="189" t="n"/>
      <c r="AA419" s="189" t="n"/>
      <c r="AB419" s="189" t="n"/>
      <c r="AC419" s="189" t="n"/>
      <c r="AD419" s="189" t="n"/>
      <c r="AE419" s="189" t="n"/>
      <c r="AF419" s="189" t="n"/>
      <c r="AG419" s="189" t="n"/>
      <c r="AH419" s="189" t="n"/>
      <c r="AI419" s="51" t="inlineStr">
        <is>
          <t>U11θ</t>
        </is>
      </c>
    </row>
    <row r="421">
      <c r="B421" s="51">
        <f>IF(C31="","", CONCATENATE("U",C31,C$21))</f>
        <v/>
      </c>
      <c r="C421" s="51">
        <f>IF(D31="","", CONCATENATE("U",D31,D$21))</f>
        <v/>
      </c>
      <c r="D421" s="51">
        <f>IF(E31="","", CONCATENATE("U",E31,E$21))</f>
        <v/>
      </c>
      <c r="E421" s="51">
        <f>IF(F31="","", CONCATENATE("U",F31,F$21))</f>
        <v/>
      </c>
      <c r="F421" s="51">
        <f>IF(G31="","", CONCATENATE("U",G31,G$21))</f>
        <v/>
      </c>
      <c r="G421" s="51">
        <f>IF(H31="","", CONCATENATE("U",H31,H$21))</f>
        <v/>
      </c>
    </row>
    <row r="422">
      <c r="B422" s="8">
        <f>IF(I18="", 0, O18*J18*J18+P18*K18*K18)</f>
        <v/>
      </c>
      <c r="C422" s="189">
        <f>IF(I18="", 0, (O18-P18)*(J18*K18))</f>
        <v/>
      </c>
      <c r="D422" s="189">
        <f>IF(I18="", 0, -Q18*K18)</f>
        <v/>
      </c>
      <c r="E422" s="189">
        <f>-B422</f>
        <v/>
      </c>
      <c r="F422" s="189">
        <f>-C422</f>
        <v/>
      </c>
      <c r="G422" s="189">
        <f>D422</f>
        <v/>
      </c>
      <c r="H422" s="51">
        <f>B421</f>
        <v/>
      </c>
    </row>
    <row r="423">
      <c r="B423" s="189">
        <f>C422</f>
        <v/>
      </c>
      <c r="C423" s="8">
        <f>IF(I18="", 0, O18*K18*K18+P18*J18*J18)</f>
        <v/>
      </c>
      <c r="D423" s="189">
        <f>IF(I18="", 0, Q18*J18)</f>
        <v/>
      </c>
      <c r="E423" s="189">
        <f>-B423</f>
        <v/>
      </c>
      <c r="F423" s="189">
        <f>-C423</f>
        <v/>
      </c>
      <c r="G423" s="189">
        <f>D423</f>
        <v/>
      </c>
      <c r="H423" s="51">
        <f>C421</f>
        <v/>
      </c>
    </row>
    <row r="424">
      <c r="A424" s="118" t="inlineStr">
        <is>
          <t>K10 =</t>
        </is>
      </c>
      <c r="B424" s="189">
        <f>D422</f>
        <v/>
      </c>
      <c r="C424" s="189">
        <f>D423</f>
        <v/>
      </c>
      <c r="D424" s="8">
        <f>IF(I18="", 0, R18)</f>
        <v/>
      </c>
      <c r="E424" s="189">
        <f>-B424</f>
        <v/>
      </c>
      <c r="F424" s="189">
        <f>-C424</f>
        <v/>
      </c>
      <c r="G424" s="189">
        <f>IF(I18="", 0, S18)</f>
        <v/>
      </c>
      <c r="H424" s="51">
        <f>D421</f>
        <v/>
      </c>
    </row>
    <row r="425">
      <c r="B425" s="189">
        <f>E422</f>
        <v/>
      </c>
      <c r="C425" s="189">
        <f>E423</f>
        <v/>
      </c>
      <c r="D425" s="189">
        <f>E424</f>
        <v/>
      </c>
      <c r="E425" s="8">
        <f>B422</f>
        <v/>
      </c>
      <c r="F425" s="189">
        <f>C422</f>
        <v/>
      </c>
      <c r="G425" s="189">
        <f>-D422</f>
        <v/>
      </c>
      <c r="H425" s="51">
        <f>E421</f>
        <v/>
      </c>
    </row>
    <row r="426">
      <c r="B426" s="189">
        <f>F422</f>
        <v/>
      </c>
      <c r="C426" s="189">
        <f>F423</f>
        <v/>
      </c>
      <c r="D426" s="189">
        <f>F424</f>
        <v/>
      </c>
      <c r="E426" s="189">
        <f>F425</f>
        <v/>
      </c>
      <c r="F426" s="8">
        <f>C423</f>
        <v/>
      </c>
      <c r="G426" s="189">
        <f>-D423</f>
        <v/>
      </c>
      <c r="H426" s="51">
        <f>F421</f>
        <v/>
      </c>
    </row>
    <row r="427">
      <c r="B427" s="189">
        <f>G422</f>
        <v/>
      </c>
      <c r="C427" s="189">
        <f>G423</f>
        <v/>
      </c>
      <c r="D427" s="189">
        <f>G424</f>
        <v/>
      </c>
      <c r="E427" s="189">
        <f>G425</f>
        <v/>
      </c>
      <c r="F427" s="189">
        <f>G426</f>
        <v/>
      </c>
      <c r="G427" s="8">
        <f>D424</f>
        <v/>
      </c>
      <c r="H427" s="51">
        <f>G421</f>
        <v/>
      </c>
    </row>
    <row r="429">
      <c r="B429" s="51" t="inlineStr">
        <is>
          <t>U1X</t>
        </is>
      </c>
      <c r="C429" s="51" t="inlineStr">
        <is>
          <t>U1Y</t>
        </is>
      </c>
      <c r="D429" s="51" t="inlineStr">
        <is>
          <t>U1θ</t>
        </is>
      </c>
      <c r="E429" s="51" t="inlineStr">
        <is>
          <t>U2X</t>
        </is>
      </c>
      <c r="F429" s="51" t="inlineStr">
        <is>
          <t>U2Y</t>
        </is>
      </c>
      <c r="G429" s="51" t="inlineStr">
        <is>
          <t>U2θ</t>
        </is>
      </c>
      <c r="H429" s="51" t="inlineStr">
        <is>
          <t>U3X</t>
        </is>
      </c>
      <c r="I429" s="51" t="inlineStr">
        <is>
          <t>U3Y</t>
        </is>
      </c>
      <c r="J429" s="51" t="inlineStr">
        <is>
          <t>U3θ</t>
        </is>
      </c>
      <c r="K429" s="51" t="inlineStr">
        <is>
          <t>U4X</t>
        </is>
      </c>
      <c r="L429" s="51" t="inlineStr">
        <is>
          <t>U4Y</t>
        </is>
      </c>
      <c r="M429" s="51" t="inlineStr">
        <is>
          <t>U4θ</t>
        </is>
      </c>
      <c r="N429" s="51" t="inlineStr">
        <is>
          <t>U5X</t>
        </is>
      </c>
      <c r="O429" s="51" t="inlineStr">
        <is>
          <t>U5Y</t>
        </is>
      </c>
      <c r="P429" s="51" t="inlineStr">
        <is>
          <t>U5θ</t>
        </is>
      </c>
      <c r="Q429" s="51" t="inlineStr">
        <is>
          <t>U6X</t>
        </is>
      </c>
      <c r="R429" s="51" t="inlineStr">
        <is>
          <t>U6Y</t>
        </is>
      </c>
      <c r="S429" s="51" t="inlineStr">
        <is>
          <t>U6θ</t>
        </is>
      </c>
      <c r="T429" s="51" t="inlineStr">
        <is>
          <t>U7X</t>
        </is>
      </c>
      <c r="U429" s="51" t="inlineStr">
        <is>
          <t>U7Y</t>
        </is>
      </c>
      <c r="V429" s="51" t="inlineStr">
        <is>
          <t>U7θ</t>
        </is>
      </c>
      <c r="W429" s="51" t="inlineStr">
        <is>
          <t>U8X</t>
        </is>
      </c>
      <c r="X429" s="51" t="inlineStr">
        <is>
          <t>U8Y</t>
        </is>
      </c>
      <c r="Y429" s="51" t="inlineStr">
        <is>
          <t>U8θ</t>
        </is>
      </c>
      <c r="Z429" s="51" t="inlineStr">
        <is>
          <t>U9X</t>
        </is>
      </c>
      <c r="AA429" s="51" t="inlineStr">
        <is>
          <t>U9Y</t>
        </is>
      </c>
      <c r="AB429" s="51" t="inlineStr">
        <is>
          <t>U9θ</t>
        </is>
      </c>
      <c r="AC429" s="51" t="inlineStr">
        <is>
          <t>U10X</t>
        </is>
      </c>
      <c r="AD429" s="51" t="inlineStr">
        <is>
          <t>U10Y</t>
        </is>
      </c>
      <c r="AE429" s="51" t="inlineStr">
        <is>
          <t>U10θ</t>
        </is>
      </c>
      <c r="AF429" s="51" t="inlineStr">
        <is>
          <t>U11X</t>
        </is>
      </c>
      <c r="AG429" s="51" t="inlineStr">
        <is>
          <t>U11Y</t>
        </is>
      </c>
      <c r="AH429" s="51" t="inlineStr">
        <is>
          <t>U11θ</t>
        </is>
      </c>
    </row>
    <row r="430">
      <c r="B430" s="189" t="n"/>
      <c r="C430" s="189" t="n"/>
      <c r="D430" s="189" t="n"/>
      <c r="E430" s="189" t="n"/>
      <c r="F430" s="189" t="n"/>
      <c r="G430" s="189" t="n"/>
      <c r="H430" s="189" t="n"/>
      <c r="I430" s="189" t="n"/>
      <c r="J430" s="189" t="n"/>
      <c r="K430" s="189" t="n"/>
      <c r="L430" s="189" t="n"/>
      <c r="M430" s="189" t="n"/>
      <c r="N430" s="189" t="n"/>
      <c r="O430" s="189" t="n"/>
      <c r="P430" s="189" t="n"/>
      <c r="Q430" s="189" t="n"/>
      <c r="R430" s="189" t="n"/>
      <c r="S430" s="189" t="n"/>
      <c r="T430" s="189" t="n"/>
      <c r="U430" s="189" t="n"/>
      <c r="V430" s="189" t="n"/>
      <c r="W430" s="189" t="n"/>
      <c r="X430" s="189" t="n"/>
      <c r="Y430" s="189" t="n"/>
      <c r="Z430" s="189" t="n"/>
      <c r="AA430" s="189" t="n"/>
      <c r="AB430" s="189" t="n"/>
      <c r="AC430" s="189" t="n"/>
      <c r="AD430" s="189" t="n"/>
      <c r="AE430" s="189" t="n"/>
      <c r="AF430" s="189" t="n"/>
      <c r="AG430" s="189" t="n"/>
      <c r="AH430" s="189" t="n"/>
      <c r="AI430" s="51" t="inlineStr">
        <is>
          <t>U1X</t>
        </is>
      </c>
    </row>
    <row r="431">
      <c r="B431" s="189" t="n"/>
      <c r="C431" s="189" t="n"/>
      <c r="D431" s="189" t="n"/>
      <c r="E431" s="189" t="n"/>
      <c r="F431" s="189" t="n"/>
      <c r="G431" s="189" t="n"/>
      <c r="H431" s="189" t="n"/>
      <c r="I431" s="189" t="n"/>
      <c r="J431" s="189" t="n"/>
      <c r="K431" s="189" t="n"/>
      <c r="L431" s="189" t="n"/>
      <c r="M431" s="189" t="n"/>
      <c r="N431" s="189" t="n"/>
      <c r="O431" s="189" t="n"/>
      <c r="P431" s="189" t="n"/>
      <c r="Q431" s="189" t="n"/>
      <c r="R431" s="189" t="n"/>
      <c r="S431" s="189" t="n"/>
      <c r="T431" s="189" t="n"/>
      <c r="U431" s="189" t="n"/>
      <c r="V431" s="189" t="n"/>
      <c r="W431" s="189" t="n"/>
      <c r="X431" s="189" t="n"/>
      <c r="Y431" s="189" t="n"/>
      <c r="Z431" s="189" t="n"/>
      <c r="AA431" s="189" t="n"/>
      <c r="AB431" s="189" t="n"/>
      <c r="AC431" s="189" t="n"/>
      <c r="AD431" s="189" t="n"/>
      <c r="AE431" s="189" t="n"/>
      <c r="AF431" s="189" t="n"/>
      <c r="AG431" s="189" t="n"/>
      <c r="AH431" s="189" t="n"/>
      <c r="AI431" s="51" t="inlineStr">
        <is>
          <t>U1Y</t>
        </is>
      </c>
    </row>
    <row r="432">
      <c r="B432" s="189" t="n"/>
      <c r="C432" s="189" t="n"/>
      <c r="D432" s="189" t="n"/>
      <c r="E432" s="189" t="n"/>
      <c r="F432" s="189" t="n"/>
      <c r="G432" s="189" t="n"/>
      <c r="H432" s="189" t="n"/>
      <c r="I432" s="189" t="n"/>
      <c r="J432" s="189" t="n"/>
      <c r="K432" s="189" t="n"/>
      <c r="L432" s="189" t="n"/>
      <c r="M432" s="189" t="n"/>
      <c r="N432" s="189" t="n"/>
      <c r="O432" s="189" t="n"/>
      <c r="P432" s="189" t="n"/>
      <c r="Q432" s="189" t="n"/>
      <c r="R432" s="189" t="n"/>
      <c r="S432" s="189" t="n"/>
      <c r="T432" s="189" t="n"/>
      <c r="U432" s="189" t="n"/>
      <c r="V432" s="189" t="n"/>
      <c r="W432" s="189" t="n"/>
      <c r="X432" s="189" t="n"/>
      <c r="Y432" s="189" t="n"/>
      <c r="Z432" s="189" t="n"/>
      <c r="AA432" s="189" t="n"/>
      <c r="AB432" s="189" t="n"/>
      <c r="AC432" s="189" t="n"/>
      <c r="AD432" s="189" t="n"/>
      <c r="AE432" s="189" t="n"/>
      <c r="AF432" s="189" t="n"/>
      <c r="AG432" s="189" t="n"/>
      <c r="AH432" s="189" t="n"/>
      <c r="AI432" s="51" t="inlineStr">
        <is>
          <t>U1θ</t>
        </is>
      </c>
    </row>
    <row r="433">
      <c r="B433" s="189" t="n"/>
      <c r="C433" s="189" t="n"/>
      <c r="D433" s="189" t="n"/>
      <c r="E433" s="189" t="n"/>
      <c r="F433" s="189" t="n"/>
      <c r="G433" s="189" t="n"/>
      <c r="H433" s="189" t="n"/>
      <c r="I433" s="189" t="n"/>
      <c r="J433" s="189" t="n"/>
      <c r="K433" s="189" t="n"/>
      <c r="L433" s="189" t="n"/>
      <c r="M433" s="189" t="n"/>
      <c r="N433" s="189" t="n"/>
      <c r="O433" s="189" t="n"/>
      <c r="P433" s="189" t="n"/>
      <c r="Q433" s="189" t="n"/>
      <c r="R433" s="189" t="n"/>
      <c r="S433" s="189" t="n"/>
      <c r="T433" s="189" t="n"/>
      <c r="U433" s="189" t="n"/>
      <c r="V433" s="189" t="n"/>
      <c r="W433" s="189" t="n"/>
      <c r="X433" s="189" t="n"/>
      <c r="Y433" s="189" t="n"/>
      <c r="Z433" s="189" t="n"/>
      <c r="AA433" s="189" t="n"/>
      <c r="AB433" s="189" t="n"/>
      <c r="AC433" s="189" t="n"/>
      <c r="AD433" s="189" t="n"/>
      <c r="AE433" s="189" t="n"/>
      <c r="AF433" s="189" t="n"/>
      <c r="AG433" s="189" t="n"/>
      <c r="AH433" s="189" t="n"/>
      <c r="AI433" s="51" t="inlineStr">
        <is>
          <t>U2X</t>
        </is>
      </c>
    </row>
    <row r="434">
      <c r="B434" s="189" t="n"/>
      <c r="C434" s="189" t="n"/>
      <c r="D434" s="189" t="n"/>
      <c r="E434" s="189" t="n"/>
      <c r="F434" s="189" t="n"/>
      <c r="G434" s="189" t="n"/>
      <c r="H434" s="189" t="n"/>
      <c r="I434" s="189" t="n"/>
      <c r="J434" s="189" t="n"/>
      <c r="K434" s="189" t="n"/>
      <c r="L434" s="189" t="n"/>
      <c r="M434" s="189" t="n"/>
      <c r="N434" s="189" t="n"/>
      <c r="O434" s="189" t="n"/>
      <c r="P434" s="189" t="n"/>
      <c r="Q434" s="189" t="n"/>
      <c r="R434" s="189" t="n"/>
      <c r="S434" s="189" t="n"/>
      <c r="T434" s="189" t="n"/>
      <c r="U434" s="189" t="n"/>
      <c r="V434" s="189" t="n"/>
      <c r="W434" s="189" t="n"/>
      <c r="X434" s="189" t="n"/>
      <c r="Y434" s="189" t="n"/>
      <c r="Z434" s="189" t="n"/>
      <c r="AA434" s="189" t="n"/>
      <c r="AB434" s="189" t="n"/>
      <c r="AC434" s="189" t="n"/>
      <c r="AD434" s="189" t="n"/>
      <c r="AE434" s="189" t="n"/>
      <c r="AF434" s="189" t="n"/>
      <c r="AG434" s="189" t="n"/>
      <c r="AH434" s="189" t="n"/>
      <c r="AI434" s="51" t="inlineStr">
        <is>
          <t>U2Y</t>
        </is>
      </c>
    </row>
    <row r="435">
      <c r="B435" s="189" t="n"/>
      <c r="C435" s="189" t="n"/>
      <c r="D435" s="189" t="n"/>
      <c r="E435" s="189" t="n"/>
      <c r="F435" s="189" t="n"/>
      <c r="G435" s="189" t="n"/>
      <c r="H435" s="189" t="n"/>
      <c r="I435" s="189" t="n"/>
      <c r="J435" s="189" t="n"/>
      <c r="K435" s="189" t="n"/>
      <c r="L435" s="189" t="n"/>
      <c r="M435" s="189" t="n"/>
      <c r="N435" s="189" t="n"/>
      <c r="O435" s="189" t="n"/>
      <c r="P435" s="189" t="n"/>
      <c r="Q435" s="189" t="n"/>
      <c r="R435" s="189" t="n"/>
      <c r="S435" s="189" t="n"/>
      <c r="T435" s="189" t="n"/>
      <c r="U435" s="189" t="n"/>
      <c r="V435" s="189" t="n"/>
      <c r="W435" s="189" t="n"/>
      <c r="X435" s="189" t="n"/>
      <c r="Y435" s="189" t="n"/>
      <c r="Z435" s="189" t="n"/>
      <c r="AA435" s="189" t="n"/>
      <c r="AB435" s="189" t="n"/>
      <c r="AC435" s="189" t="n"/>
      <c r="AD435" s="189" t="n"/>
      <c r="AE435" s="189" t="n"/>
      <c r="AF435" s="189" t="n"/>
      <c r="AG435" s="189" t="n"/>
      <c r="AH435" s="189" t="n"/>
      <c r="AI435" s="51" t="inlineStr">
        <is>
          <t>U2θ</t>
        </is>
      </c>
    </row>
    <row r="436">
      <c r="B436" s="189" t="n"/>
      <c r="C436" s="189" t="n"/>
      <c r="D436" s="189" t="n"/>
      <c r="E436" s="189" t="n"/>
      <c r="F436" s="189" t="n"/>
      <c r="G436" s="189" t="n"/>
      <c r="H436" s="189" t="n"/>
      <c r="I436" s="189" t="n"/>
      <c r="J436" s="189" t="n"/>
      <c r="K436" s="189" t="n"/>
      <c r="L436" s="189" t="n"/>
      <c r="M436" s="189" t="n"/>
      <c r="N436" s="189" t="n"/>
      <c r="O436" s="189" t="n"/>
      <c r="P436" s="189" t="n"/>
      <c r="Q436" s="189" t="n"/>
      <c r="R436" s="189" t="n"/>
      <c r="S436" s="189" t="n"/>
      <c r="T436" s="189" t="n"/>
      <c r="U436" s="189" t="n"/>
      <c r="V436" s="189" t="n"/>
      <c r="W436" s="189" t="n"/>
      <c r="X436" s="189" t="n"/>
      <c r="Y436" s="189" t="n"/>
      <c r="Z436" s="189" t="n"/>
      <c r="AA436" s="189" t="n"/>
      <c r="AB436" s="189" t="n"/>
      <c r="AC436" s="189" t="n"/>
      <c r="AD436" s="189" t="n"/>
      <c r="AE436" s="189" t="n"/>
      <c r="AF436" s="189" t="n"/>
      <c r="AG436" s="189" t="n"/>
      <c r="AH436" s="189" t="n"/>
      <c r="AI436" s="51" t="inlineStr">
        <is>
          <t>U3X</t>
        </is>
      </c>
    </row>
    <row r="437">
      <c r="B437" s="189" t="n"/>
      <c r="C437" s="189" t="n"/>
      <c r="D437" s="189" t="n"/>
      <c r="E437" s="189" t="n"/>
      <c r="F437" s="189" t="n"/>
      <c r="G437" s="189" t="n"/>
      <c r="H437" s="189" t="n"/>
      <c r="I437" s="189" t="n"/>
      <c r="J437" s="189" t="n"/>
      <c r="K437" s="189" t="n"/>
      <c r="L437" s="189" t="n"/>
      <c r="M437" s="189" t="n"/>
      <c r="N437" s="189" t="n"/>
      <c r="O437" s="189" t="n"/>
      <c r="P437" s="189" t="n"/>
      <c r="Q437" s="189" t="n"/>
      <c r="R437" s="189" t="n"/>
      <c r="S437" s="189" t="n"/>
      <c r="T437" s="189" t="n"/>
      <c r="U437" s="189" t="n"/>
      <c r="V437" s="189" t="n"/>
      <c r="W437" s="189" t="n"/>
      <c r="X437" s="189" t="n"/>
      <c r="Y437" s="189" t="n"/>
      <c r="Z437" s="189" t="n"/>
      <c r="AA437" s="189" t="n"/>
      <c r="AB437" s="189" t="n"/>
      <c r="AC437" s="189" t="n"/>
      <c r="AD437" s="189" t="n"/>
      <c r="AE437" s="189" t="n"/>
      <c r="AF437" s="189" t="n"/>
      <c r="AG437" s="189" t="n"/>
      <c r="AH437" s="189" t="n"/>
      <c r="AI437" s="51" t="inlineStr">
        <is>
          <t>U3Y</t>
        </is>
      </c>
    </row>
    <row r="438">
      <c r="B438" s="189" t="n"/>
      <c r="C438" s="189" t="n"/>
      <c r="D438" s="189" t="n"/>
      <c r="E438" s="189" t="n"/>
      <c r="F438" s="189" t="n"/>
      <c r="G438" s="189" t="n"/>
      <c r="H438" s="189" t="n"/>
      <c r="I438" s="189" t="n"/>
      <c r="J438" s="189" t="n"/>
      <c r="K438" s="189" t="n"/>
      <c r="L438" s="189" t="n"/>
      <c r="M438" s="189" t="n"/>
      <c r="N438" s="189" t="n"/>
      <c r="O438" s="189" t="n"/>
      <c r="P438" s="189" t="n"/>
      <c r="Q438" s="189" t="n"/>
      <c r="R438" s="189" t="n"/>
      <c r="S438" s="189" t="n"/>
      <c r="T438" s="189" t="n"/>
      <c r="U438" s="189" t="n"/>
      <c r="V438" s="189" t="n"/>
      <c r="W438" s="189" t="n"/>
      <c r="X438" s="189" t="n"/>
      <c r="Y438" s="189" t="n"/>
      <c r="Z438" s="189" t="n"/>
      <c r="AA438" s="189" t="n"/>
      <c r="AB438" s="189" t="n"/>
      <c r="AC438" s="189" t="n"/>
      <c r="AD438" s="189" t="n"/>
      <c r="AE438" s="189" t="n"/>
      <c r="AF438" s="189" t="n"/>
      <c r="AG438" s="189" t="n"/>
      <c r="AH438" s="189" t="n"/>
      <c r="AI438" s="51" t="inlineStr">
        <is>
          <t>U3θ</t>
        </is>
      </c>
    </row>
    <row r="439">
      <c r="B439" s="189" t="n"/>
      <c r="C439" s="189" t="n"/>
      <c r="D439" s="189" t="n"/>
      <c r="E439" s="189" t="n"/>
      <c r="F439" s="189" t="n"/>
      <c r="G439" s="189" t="n"/>
      <c r="H439" s="189" t="n"/>
      <c r="I439" s="189" t="n"/>
      <c r="J439" s="189" t="n"/>
      <c r="K439" s="189" t="n"/>
      <c r="L439" s="189" t="n"/>
      <c r="M439" s="189" t="n"/>
      <c r="N439" s="189" t="n"/>
      <c r="O439" s="189" t="n"/>
      <c r="P439" s="189" t="n"/>
      <c r="Q439" s="189" t="n"/>
      <c r="R439" s="189" t="n"/>
      <c r="S439" s="189" t="n"/>
      <c r="T439" s="189" t="n"/>
      <c r="U439" s="189" t="n"/>
      <c r="V439" s="189" t="n"/>
      <c r="W439" s="189" t="n"/>
      <c r="X439" s="189" t="n"/>
      <c r="Y439" s="189" t="n"/>
      <c r="Z439" s="189" t="n"/>
      <c r="AA439" s="189" t="n"/>
      <c r="AB439" s="189" t="n"/>
      <c r="AC439" s="189" t="n"/>
      <c r="AD439" s="189" t="n"/>
      <c r="AE439" s="189" t="n"/>
      <c r="AF439" s="189" t="n"/>
      <c r="AG439" s="189" t="n"/>
      <c r="AH439" s="189" t="n"/>
      <c r="AI439" s="51" t="inlineStr">
        <is>
          <t>U4X</t>
        </is>
      </c>
    </row>
    <row r="440">
      <c r="B440" s="189" t="n"/>
      <c r="C440" s="189" t="n"/>
      <c r="D440" s="189" t="n"/>
      <c r="E440" s="189" t="n"/>
      <c r="F440" s="189" t="n"/>
      <c r="G440" s="189" t="n"/>
      <c r="H440" s="189" t="n"/>
      <c r="I440" s="189" t="n"/>
      <c r="J440" s="189" t="n"/>
      <c r="K440" s="189" t="n"/>
      <c r="L440" s="189" t="n"/>
      <c r="M440" s="189" t="n"/>
      <c r="N440" s="189" t="n"/>
      <c r="O440" s="189" t="n"/>
      <c r="P440" s="189" t="n"/>
      <c r="Q440" s="189" t="n"/>
      <c r="R440" s="189" t="n"/>
      <c r="S440" s="189" t="n"/>
      <c r="T440" s="189" t="n"/>
      <c r="U440" s="189" t="n"/>
      <c r="V440" s="189" t="n"/>
      <c r="W440" s="189" t="n"/>
      <c r="X440" s="189" t="n"/>
      <c r="Y440" s="189" t="n"/>
      <c r="Z440" s="189" t="n"/>
      <c r="AA440" s="189" t="n"/>
      <c r="AB440" s="189" t="n"/>
      <c r="AC440" s="189" t="n"/>
      <c r="AD440" s="189" t="n"/>
      <c r="AE440" s="189" t="n"/>
      <c r="AF440" s="189" t="n"/>
      <c r="AG440" s="189" t="n"/>
      <c r="AH440" s="189" t="n"/>
      <c r="AI440" s="51" t="inlineStr">
        <is>
          <t>U4Y</t>
        </is>
      </c>
    </row>
    <row r="441">
      <c r="B441" s="189" t="n"/>
      <c r="C441" s="189" t="n"/>
      <c r="D441" s="189" t="n"/>
      <c r="E441" s="189" t="n"/>
      <c r="F441" s="189" t="n"/>
      <c r="G441" s="189" t="n"/>
      <c r="H441" s="189" t="n"/>
      <c r="I441" s="189" t="n"/>
      <c r="J441" s="189" t="n"/>
      <c r="K441" s="189" t="n"/>
      <c r="L441" s="189" t="n"/>
      <c r="M441" s="189" t="n"/>
      <c r="N441" s="189" t="n"/>
      <c r="O441" s="189" t="n"/>
      <c r="P441" s="189" t="n"/>
      <c r="Q441" s="189" t="n"/>
      <c r="R441" s="189" t="n"/>
      <c r="S441" s="189" t="n"/>
      <c r="T441" s="189" t="n"/>
      <c r="U441" s="189" t="n"/>
      <c r="V441" s="189" t="n"/>
      <c r="W441" s="189" t="n"/>
      <c r="X441" s="189" t="n"/>
      <c r="Y441" s="189" t="n"/>
      <c r="Z441" s="189" t="n"/>
      <c r="AA441" s="189" t="n"/>
      <c r="AB441" s="189" t="n"/>
      <c r="AC441" s="189" t="n"/>
      <c r="AD441" s="189" t="n"/>
      <c r="AE441" s="189" t="n"/>
      <c r="AF441" s="189" t="n"/>
      <c r="AG441" s="189" t="n"/>
      <c r="AH441" s="189" t="n"/>
      <c r="AI441" s="51" t="inlineStr">
        <is>
          <t>U4θ</t>
        </is>
      </c>
    </row>
    <row r="442">
      <c r="B442" s="189" t="n"/>
      <c r="C442" s="189" t="n"/>
      <c r="D442" s="189" t="n"/>
      <c r="E442" s="189" t="n"/>
      <c r="F442" s="189" t="n"/>
      <c r="G442" s="189" t="n"/>
      <c r="H442" s="189" t="n"/>
      <c r="I442" s="189" t="n"/>
      <c r="J442" s="189" t="n"/>
      <c r="K442" s="189" t="n"/>
      <c r="L442" s="189" t="n"/>
      <c r="M442" s="189" t="n"/>
      <c r="N442" s="189" t="n"/>
      <c r="O442" s="189" t="n"/>
      <c r="P442" s="189" t="n"/>
      <c r="Q442" s="189" t="n"/>
      <c r="R442" s="189" t="n"/>
      <c r="S442" s="189" t="n"/>
      <c r="T442" s="189" t="n"/>
      <c r="U442" s="189" t="n"/>
      <c r="V442" s="189" t="n"/>
      <c r="W442" s="189" t="n"/>
      <c r="X442" s="189" t="n"/>
      <c r="Y442" s="189" t="n"/>
      <c r="Z442" s="189" t="n"/>
      <c r="AA442" s="189" t="n"/>
      <c r="AB442" s="189" t="n"/>
      <c r="AC442" s="189" t="n"/>
      <c r="AD442" s="189" t="n"/>
      <c r="AE442" s="189" t="n"/>
      <c r="AF442" s="189" t="n"/>
      <c r="AG442" s="189" t="n"/>
      <c r="AH442" s="189" t="n"/>
      <c r="AI442" s="51" t="inlineStr">
        <is>
          <t>U5X</t>
        </is>
      </c>
    </row>
    <row r="443">
      <c r="B443" s="189" t="n"/>
      <c r="C443" s="189" t="n"/>
      <c r="D443" s="189" t="n"/>
      <c r="E443" s="189" t="n"/>
      <c r="F443" s="189" t="n"/>
      <c r="G443" s="189" t="n"/>
      <c r="H443" s="189" t="n"/>
      <c r="I443" s="189" t="n"/>
      <c r="J443" s="189" t="n"/>
      <c r="K443" s="189" t="n"/>
      <c r="L443" s="189" t="n"/>
      <c r="M443" s="189" t="n"/>
      <c r="N443" s="189" t="n"/>
      <c r="O443" s="189" t="n"/>
      <c r="P443" s="189" t="n"/>
      <c r="Q443" s="189" t="n"/>
      <c r="R443" s="189" t="n"/>
      <c r="S443" s="189" t="n"/>
      <c r="T443" s="189" t="n"/>
      <c r="U443" s="189" t="n"/>
      <c r="V443" s="189" t="n"/>
      <c r="W443" s="189" t="n"/>
      <c r="X443" s="189" t="n"/>
      <c r="Y443" s="189" t="n"/>
      <c r="Z443" s="189" t="n"/>
      <c r="AA443" s="189" t="n"/>
      <c r="AB443" s="189" t="n"/>
      <c r="AC443" s="189" t="n"/>
      <c r="AD443" s="189" t="n"/>
      <c r="AE443" s="189" t="n"/>
      <c r="AF443" s="189" t="n"/>
      <c r="AG443" s="189" t="n"/>
      <c r="AH443" s="189" t="n"/>
      <c r="AI443" s="51" t="inlineStr">
        <is>
          <t>U5Y</t>
        </is>
      </c>
    </row>
    <row r="444">
      <c r="B444" s="189" t="n"/>
      <c r="C444" s="189" t="n"/>
      <c r="D444" s="189" t="n"/>
      <c r="E444" s="189" t="n"/>
      <c r="F444" s="189" t="n"/>
      <c r="G444" s="189" t="n"/>
      <c r="H444" s="189" t="n"/>
      <c r="I444" s="189" t="n"/>
      <c r="J444" s="189" t="n"/>
      <c r="K444" s="189" t="n"/>
      <c r="L444" s="189" t="n"/>
      <c r="M444" s="189" t="n"/>
      <c r="N444" s="189" t="n"/>
      <c r="O444" s="189" t="n"/>
      <c r="P444" s="189" t="n"/>
      <c r="Q444" s="189" t="n"/>
      <c r="R444" s="189" t="n"/>
      <c r="S444" s="189" t="n"/>
      <c r="T444" s="189" t="n"/>
      <c r="U444" s="189" t="n"/>
      <c r="V444" s="189" t="n"/>
      <c r="W444" s="189" t="n"/>
      <c r="X444" s="189" t="n"/>
      <c r="Y444" s="189" t="n"/>
      <c r="Z444" s="189" t="n"/>
      <c r="AA444" s="189" t="n"/>
      <c r="AB444" s="189" t="n"/>
      <c r="AC444" s="189" t="n"/>
      <c r="AD444" s="189" t="n"/>
      <c r="AE444" s="189" t="n"/>
      <c r="AF444" s="189" t="n"/>
      <c r="AG444" s="189" t="n"/>
      <c r="AH444" s="189" t="n"/>
      <c r="AI444" s="51" t="inlineStr">
        <is>
          <t>U5θ</t>
        </is>
      </c>
    </row>
    <row r="445">
      <c r="A445" s="118" t="inlineStr">
        <is>
          <t>K10 =</t>
        </is>
      </c>
      <c r="B445" s="189" t="n"/>
      <c r="C445" s="189" t="n"/>
      <c r="D445" s="189" t="n"/>
      <c r="E445" s="189" t="n"/>
      <c r="F445" s="189" t="n"/>
      <c r="G445" s="189" t="n"/>
      <c r="H445" s="189" t="n"/>
      <c r="I445" s="189" t="n"/>
      <c r="J445" s="189" t="n"/>
      <c r="K445" s="189" t="n"/>
      <c r="L445" s="189" t="n"/>
      <c r="M445" s="189" t="n"/>
      <c r="N445" s="189" t="n"/>
      <c r="O445" s="189" t="n"/>
      <c r="P445" s="189" t="n"/>
      <c r="Q445" s="189" t="n"/>
      <c r="R445" s="189" t="n"/>
      <c r="S445" s="189" t="n"/>
      <c r="T445" s="189" t="n"/>
      <c r="U445" s="189" t="n"/>
      <c r="V445" s="189" t="n"/>
      <c r="W445" s="189" t="n"/>
      <c r="X445" s="189" t="n"/>
      <c r="Y445" s="189" t="n"/>
      <c r="Z445" s="189" t="n"/>
      <c r="AA445" s="189" t="n"/>
      <c r="AB445" s="189" t="n"/>
      <c r="AC445" s="189" t="n"/>
      <c r="AD445" s="189" t="n"/>
      <c r="AE445" s="189" t="n"/>
      <c r="AF445" s="189" t="n"/>
      <c r="AG445" s="189" t="n"/>
      <c r="AH445" s="189" t="n"/>
      <c r="AI445" s="51" t="inlineStr">
        <is>
          <t>U6X</t>
        </is>
      </c>
    </row>
    <row r="446">
      <c r="B446" s="189" t="n"/>
      <c r="C446" s="189" t="n"/>
      <c r="D446" s="189" t="n"/>
      <c r="E446" s="189" t="n"/>
      <c r="F446" s="189" t="n"/>
      <c r="G446" s="189" t="n"/>
      <c r="H446" s="189" t="n"/>
      <c r="I446" s="189" t="n"/>
      <c r="J446" s="189" t="n"/>
      <c r="K446" s="189" t="n"/>
      <c r="L446" s="189" t="n"/>
      <c r="M446" s="189" t="n"/>
      <c r="N446" s="189" t="n"/>
      <c r="O446" s="189" t="n"/>
      <c r="P446" s="189" t="n"/>
      <c r="Q446" s="189" t="n"/>
      <c r="R446" s="189" t="n"/>
      <c r="S446" s="189" t="n"/>
      <c r="T446" s="189" t="n"/>
      <c r="U446" s="189" t="n"/>
      <c r="V446" s="189" t="n"/>
      <c r="W446" s="189" t="n"/>
      <c r="X446" s="189" t="n"/>
      <c r="Y446" s="189" t="n"/>
      <c r="Z446" s="189" t="n"/>
      <c r="AA446" s="189" t="n"/>
      <c r="AB446" s="189" t="n"/>
      <c r="AC446" s="189" t="n"/>
      <c r="AD446" s="189" t="n"/>
      <c r="AE446" s="189" t="n"/>
      <c r="AF446" s="189" t="n"/>
      <c r="AG446" s="189" t="n"/>
      <c r="AH446" s="189" t="n"/>
      <c r="AI446" s="51" t="inlineStr">
        <is>
          <t>U6Y</t>
        </is>
      </c>
    </row>
    <row r="447">
      <c r="B447" s="189" t="n"/>
      <c r="C447" s="189" t="n"/>
      <c r="D447" s="189" t="n"/>
      <c r="E447" s="189" t="n"/>
      <c r="F447" s="189" t="n"/>
      <c r="G447" s="189" t="n"/>
      <c r="H447" s="189" t="n"/>
      <c r="I447" s="189" t="n"/>
      <c r="J447" s="189" t="n"/>
      <c r="K447" s="189" t="n"/>
      <c r="L447" s="189" t="n"/>
      <c r="M447" s="189" t="n"/>
      <c r="N447" s="189" t="n"/>
      <c r="O447" s="189" t="n"/>
      <c r="P447" s="189" t="n"/>
      <c r="Q447" s="189" t="n"/>
      <c r="R447" s="189" t="n"/>
      <c r="S447" s="189" t="n"/>
      <c r="T447" s="189" t="n"/>
      <c r="U447" s="189" t="n"/>
      <c r="V447" s="189" t="n"/>
      <c r="W447" s="189" t="n"/>
      <c r="X447" s="189" t="n"/>
      <c r="Y447" s="189" t="n"/>
      <c r="Z447" s="189" t="n"/>
      <c r="AA447" s="189" t="n"/>
      <c r="AB447" s="189" t="n"/>
      <c r="AC447" s="189" t="n"/>
      <c r="AD447" s="189" t="n"/>
      <c r="AE447" s="189" t="n"/>
      <c r="AF447" s="189" t="n"/>
      <c r="AG447" s="189" t="n"/>
      <c r="AH447" s="189" t="n"/>
      <c r="AI447" s="51" t="inlineStr">
        <is>
          <t>U6θ</t>
        </is>
      </c>
    </row>
    <row r="448">
      <c r="B448" s="189" t="n"/>
      <c r="C448" s="189" t="n"/>
      <c r="D448" s="189" t="n"/>
      <c r="E448" s="189" t="n"/>
      <c r="F448" s="189" t="n"/>
      <c r="G448" s="189" t="n"/>
      <c r="H448" s="189" t="n"/>
      <c r="I448" s="189" t="n"/>
      <c r="J448" s="189" t="n"/>
      <c r="K448" s="189" t="n"/>
      <c r="L448" s="189" t="n"/>
      <c r="M448" s="189" t="n"/>
      <c r="N448" s="189" t="n"/>
      <c r="O448" s="189" t="n"/>
      <c r="P448" s="189" t="n"/>
      <c r="Q448" s="189" t="n"/>
      <c r="R448" s="189" t="n"/>
      <c r="S448" s="189" t="n"/>
      <c r="T448" s="189" t="n"/>
      <c r="U448" s="189" t="n"/>
      <c r="V448" s="189" t="n"/>
      <c r="W448" s="189" t="n"/>
      <c r="X448" s="189" t="n"/>
      <c r="Y448" s="189" t="n"/>
      <c r="Z448" s="189" t="n"/>
      <c r="AA448" s="189" t="n"/>
      <c r="AB448" s="189" t="n"/>
      <c r="AC448" s="189" t="n"/>
      <c r="AD448" s="189" t="n"/>
      <c r="AE448" s="189" t="n"/>
      <c r="AF448" s="189" t="n"/>
      <c r="AG448" s="189" t="n"/>
      <c r="AH448" s="189" t="n"/>
      <c r="AI448" s="51" t="inlineStr">
        <is>
          <t>U7X</t>
        </is>
      </c>
    </row>
    <row r="449">
      <c r="B449" s="189" t="n"/>
      <c r="C449" s="189" t="n"/>
      <c r="D449" s="189" t="n"/>
      <c r="E449" s="189" t="n"/>
      <c r="F449" s="189" t="n"/>
      <c r="G449" s="189" t="n"/>
      <c r="H449" s="189" t="n"/>
      <c r="I449" s="189" t="n"/>
      <c r="J449" s="189" t="n"/>
      <c r="K449" s="189" t="n"/>
      <c r="L449" s="189" t="n"/>
      <c r="M449" s="189" t="n"/>
      <c r="N449" s="189" t="n"/>
      <c r="O449" s="189" t="n"/>
      <c r="P449" s="189" t="n"/>
      <c r="Q449" s="189" t="n"/>
      <c r="R449" s="189" t="n"/>
      <c r="S449" s="189" t="n"/>
      <c r="T449" s="189" t="n"/>
      <c r="U449" s="189" t="n"/>
      <c r="V449" s="189" t="n"/>
      <c r="W449" s="189" t="n"/>
      <c r="X449" s="189" t="n"/>
      <c r="Y449" s="189" t="n"/>
      <c r="Z449" s="189" t="n"/>
      <c r="AA449" s="189" t="n"/>
      <c r="AB449" s="189" t="n"/>
      <c r="AC449" s="189" t="n"/>
      <c r="AD449" s="189" t="n"/>
      <c r="AE449" s="189" t="n"/>
      <c r="AF449" s="189" t="n"/>
      <c r="AG449" s="189" t="n"/>
      <c r="AH449" s="189" t="n"/>
      <c r="AI449" s="51" t="inlineStr">
        <is>
          <t>U7Y</t>
        </is>
      </c>
    </row>
    <row r="450">
      <c r="B450" s="189" t="n"/>
      <c r="C450" s="189" t="n"/>
      <c r="D450" s="189" t="n"/>
      <c r="E450" s="189" t="n"/>
      <c r="F450" s="189" t="n"/>
      <c r="G450" s="189" t="n"/>
      <c r="H450" s="189" t="n"/>
      <c r="I450" s="189" t="n"/>
      <c r="J450" s="189" t="n"/>
      <c r="K450" s="189" t="n"/>
      <c r="L450" s="189" t="n"/>
      <c r="M450" s="189" t="n"/>
      <c r="N450" s="189" t="n"/>
      <c r="O450" s="189" t="n"/>
      <c r="P450" s="189" t="n"/>
      <c r="Q450" s="189" t="n"/>
      <c r="R450" s="189" t="n"/>
      <c r="S450" s="189" t="n"/>
      <c r="T450" s="189" t="n"/>
      <c r="U450" s="189" t="n"/>
      <c r="V450" s="189" t="n"/>
      <c r="W450" s="189" t="n"/>
      <c r="X450" s="189" t="n"/>
      <c r="Y450" s="189" t="n"/>
      <c r="Z450" s="189" t="n"/>
      <c r="AA450" s="189" t="n"/>
      <c r="AB450" s="189" t="n"/>
      <c r="AC450" s="189" t="n"/>
      <c r="AD450" s="189" t="n"/>
      <c r="AE450" s="189" t="n"/>
      <c r="AF450" s="189" t="n"/>
      <c r="AG450" s="189" t="n"/>
      <c r="AH450" s="189" t="n"/>
      <c r="AI450" s="51" t="inlineStr">
        <is>
          <t>U7θ</t>
        </is>
      </c>
    </row>
    <row r="451">
      <c r="B451" s="189" t="n"/>
      <c r="C451" s="189" t="n"/>
      <c r="D451" s="189" t="n"/>
      <c r="E451" s="189" t="n"/>
      <c r="F451" s="189" t="n"/>
      <c r="G451" s="189" t="n"/>
      <c r="H451" s="189" t="n"/>
      <c r="I451" s="189" t="n"/>
      <c r="J451" s="189" t="n"/>
      <c r="K451" s="189" t="n"/>
      <c r="L451" s="189" t="n"/>
      <c r="M451" s="189" t="n"/>
      <c r="N451" s="189" t="n"/>
      <c r="O451" s="189" t="n"/>
      <c r="P451" s="189" t="n"/>
      <c r="Q451" s="189" t="n"/>
      <c r="R451" s="189" t="n"/>
      <c r="S451" s="189" t="n"/>
      <c r="T451" s="189" t="n"/>
      <c r="U451" s="189" t="n"/>
      <c r="V451" s="189" t="n"/>
      <c r="W451" s="189" t="n"/>
      <c r="X451" s="189" t="n"/>
      <c r="Y451" s="189" t="n"/>
      <c r="Z451" s="189" t="n"/>
      <c r="AA451" s="189" t="n"/>
      <c r="AB451" s="189" t="n"/>
      <c r="AC451" s="189" t="n"/>
      <c r="AD451" s="189" t="n"/>
      <c r="AE451" s="189" t="n"/>
      <c r="AF451" s="189" t="n"/>
      <c r="AG451" s="189" t="n"/>
      <c r="AH451" s="189" t="n"/>
      <c r="AI451" s="51" t="inlineStr">
        <is>
          <t>U8X</t>
        </is>
      </c>
    </row>
    <row r="452">
      <c r="B452" s="189" t="n"/>
      <c r="C452" s="189" t="n"/>
      <c r="D452" s="189" t="n"/>
      <c r="E452" s="189" t="n"/>
      <c r="F452" s="189" t="n"/>
      <c r="G452" s="189" t="n"/>
      <c r="H452" s="189" t="n"/>
      <c r="I452" s="189" t="n"/>
      <c r="J452" s="189" t="n"/>
      <c r="K452" s="189" t="n"/>
      <c r="L452" s="189" t="n"/>
      <c r="M452" s="189" t="n"/>
      <c r="N452" s="189" t="n"/>
      <c r="O452" s="189" t="n"/>
      <c r="P452" s="189" t="n"/>
      <c r="Q452" s="189" t="n"/>
      <c r="R452" s="189" t="n"/>
      <c r="S452" s="189" t="n"/>
      <c r="T452" s="189" t="n"/>
      <c r="U452" s="189" t="n"/>
      <c r="V452" s="189" t="n"/>
      <c r="W452" s="189" t="n"/>
      <c r="X452" s="189" t="n"/>
      <c r="Y452" s="189" t="n"/>
      <c r="Z452" s="189" t="n"/>
      <c r="AA452" s="189" t="n"/>
      <c r="AB452" s="189" t="n"/>
      <c r="AC452" s="189" t="n"/>
      <c r="AD452" s="189" t="n"/>
      <c r="AE452" s="189" t="n"/>
      <c r="AF452" s="189" t="n"/>
      <c r="AG452" s="189" t="n"/>
      <c r="AH452" s="189" t="n"/>
      <c r="AI452" s="51" t="inlineStr">
        <is>
          <t>U8Y</t>
        </is>
      </c>
    </row>
    <row r="453">
      <c r="B453" s="189" t="n"/>
      <c r="C453" s="189" t="n"/>
      <c r="D453" s="189" t="n"/>
      <c r="E453" s="189" t="n"/>
      <c r="F453" s="189" t="n"/>
      <c r="G453" s="189" t="n"/>
      <c r="H453" s="189" t="n"/>
      <c r="I453" s="189" t="n"/>
      <c r="J453" s="189" t="n"/>
      <c r="K453" s="189" t="n"/>
      <c r="L453" s="189" t="n"/>
      <c r="M453" s="189" t="n"/>
      <c r="N453" s="189" t="n"/>
      <c r="O453" s="189" t="n"/>
      <c r="P453" s="189" t="n"/>
      <c r="Q453" s="189" t="n"/>
      <c r="R453" s="189" t="n"/>
      <c r="S453" s="189" t="n"/>
      <c r="T453" s="189" t="n"/>
      <c r="U453" s="189" t="n"/>
      <c r="V453" s="189" t="n"/>
      <c r="W453" s="189" t="n"/>
      <c r="X453" s="189" t="n"/>
      <c r="Y453" s="189" t="n"/>
      <c r="Z453" s="189" t="n"/>
      <c r="AA453" s="189" t="n"/>
      <c r="AB453" s="189" t="n"/>
      <c r="AC453" s="189" t="n"/>
      <c r="AD453" s="189" t="n"/>
      <c r="AE453" s="189" t="n"/>
      <c r="AF453" s="189" t="n"/>
      <c r="AG453" s="189" t="n"/>
      <c r="AH453" s="189" t="n"/>
      <c r="AI453" s="51" t="inlineStr">
        <is>
          <t>U8θ</t>
        </is>
      </c>
    </row>
    <row r="454">
      <c r="B454" s="189" t="n"/>
      <c r="C454" s="189" t="n"/>
      <c r="D454" s="189" t="n"/>
      <c r="E454" s="189" t="n"/>
      <c r="F454" s="189" t="n"/>
      <c r="G454" s="189" t="n"/>
      <c r="H454" s="189" t="n"/>
      <c r="I454" s="189" t="n"/>
      <c r="J454" s="189" t="n"/>
      <c r="K454" s="189" t="n"/>
      <c r="L454" s="189" t="n"/>
      <c r="M454" s="189" t="n"/>
      <c r="N454" s="189" t="n"/>
      <c r="O454" s="189" t="n"/>
      <c r="P454" s="189" t="n"/>
      <c r="Q454" s="189" t="n"/>
      <c r="R454" s="189" t="n"/>
      <c r="S454" s="189" t="n"/>
      <c r="T454" s="189" t="n"/>
      <c r="U454" s="189" t="n"/>
      <c r="V454" s="189" t="n"/>
      <c r="W454" s="189" t="n"/>
      <c r="X454" s="189" t="n"/>
      <c r="Y454" s="189" t="n"/>
      <c r="Z454" s="189" t="n"/>
      <c r="AA454" s="189" t="n"/>
      <c r="AB454" s="189" t="n"/>
      <c r="AC454" s="189" t="n"/>
      <c r="AD454" s="189" t="n"/>
      <c r="AE454" s="189" t="n"/>
      <c r="AF454" s="189" t="n"/>
      <c r="AG454" s="189" t="n"/>
      <c r="AH454" s="189" t="n"/>
      <c r="AI454" s="51" t="inlineStr">
        <is>
          <t>U9X</t>
        </is>
      </c>
    </row>
    <row r="455">
      <c r="B455" s="189" t="n"/>
      <c r="C455" s="189" t="n"/>
      <c r="D455" s="189" t="n"/>
      <c r="E455" s="189" t="n"/>
      <c r="F455" s="189" t="n"/>
      <c r="G455" s="189" t="n"/>
      <c r="H455" s="189" t="n"/>
      <c r="I455" s="189" t="n"/>
      <c r="J455" s="189" t="n"/>
      <c r="K455" s="189" t="n"/>
      <c r="L455" s="189" t="n"/>
      <c r="M455" s="189" t="n"/>
      <c r="N455" s="189" t="n"/>
      <c r="O455" s="189" t="n"/>
      <c r="P455" s="189" t="n"/>
      <c r="Q455" s="189" t="n"/>
      <c r="R455" s="189" t="n"/>
      <c r="S455" s="189" t="n"/>
      <c r="T455" s="189" t="n"/>
      <c r="U455" s="189" t="n"/>
      <c r="V455" s="189" t="n"/>
      <c r="W455" s="189" t="n"/>
      <c r="X455" s="189" t="n"/>
      <c r="Y455" s="189" t="n"/>
      <c r="Z455" s="189" t="n"/>
      <c r="AA455" s="189" t="n"/>
      <c r="AB455" s="189" t="n"/>
      <c r="AC455" s="189" t="n"/>
      <c r="AD455" s="189" t="n"/>
      <c r="AE455" s="189" t="n"/>
      <c r="AF455" s="189" t="n"/>
      <c r="AG455" s="189" t="n"/>
      <c r="AH455" s="189" t="n"/>
      <c r="AI455" s="51" t="inlineStr">
        <is>
          <t>U9Y</t>
        </is>
      </c>
    </row>
    <row r="456">
      <c r="B456" s="189" t="n"/>
      <c r="C456" s="189" t="n"/>
      <c r="D456" s="189" t="n"/>
      <c r="E456" s="189" t="n"/>
      <c r="F456" s="189" t="n"/>
      <c r="G456" s="189" t="n"/>
      <c r="H456" s="189" t="n"/>
      <c r="I456" s="189" t="n"/>
      <c r="J456" s="189" t="n"/>
      <c r="K456" s="189" t="n"/>
      <c r="L456" s="189" t="n"/>
      <c r="M456" s="189" t="n"/>
      <c r="N456" s="189" t="n"/>
      <c r="O456" s="189" t="n"/>
      <c r="P456" s="189" t="n"/>
      <c r="Q456" s="189" t="n"/>
      <c r="R456" s="189" t="n"/>
      <c r="S456" s="189" t="n"/>
      <c r="T456" s="189" t="n"/>
      <c r="U456" s="189" t="n"/>
      <c r="V456" s="189" t="n"/>
      <c r="W456" s="189" t="n"/>
      <c r="X456" s="189" t="n"/>
      <c r="Y456" s="189" t="n"/>
      <c r="Z456" s="189" t="n"/>
      <c r="AA456" s="189" t="n"/>
      <c r="AB456" s="189" t="n"/>
      <c r="AC456" s="189" t="n"/>
      <c r="AD456" s="189" t="n"/>
      <c r="AE456" s="189" t="n"/>
      <c r="AF456" s="189" t="n"/>
      <c r="AG456" s="189" t="n"/>
      <c r="AH456" s="189" t="n"/>
      <c r="AI456" s="51" t="inlineStr">
        <is>
          <t>U9θ</t>
        </is>
      </c>
    </row>
    <row r="457">
      <c r="B457" s="189" t="n"/>
      <c r="C457" s="189" t="n"/>
      <c r="D457" s="189" t="n"/>
      <c r="E457" s="189" t="n"/>
      <c r="F457" s="189" t="n"/>
      <c r="G457" s="189" t="n"/>
      <c r="H457" s="189" t="n"/>
      <c r="I457" s="189" t="n"/>
      <c r="J457" s="189" t="n"/>
      <c r="K457" s="189" t="n"/>
      <c r="L457" s="189" t="n"/>
      <c r="M457" s="189" t="n"/>
      <c r="N457" s="189" t="n"/>
      <c r="O457" s="189" t="n"/>
      <c r="P457" s="189" t="n"/>
      <c r="Q457" s="189" t="n"/>
      <c r="R457" s="189" t="n"/>
      <c r="S457" s="189" t="n"/>
      <c r="T457" s="189" t="n"/>
      <c r="U457" s="189" t="n"/>
      <c r="V457" s="189" t="n"/>
      <c r="W457" s="189" t="n"/>
      <c r="X457" s="189" t="n"/>
      <c r="Y457" s="189" t="n"/>
      <c r="Z457" s="189" t="n"/>
      <c r="AA457" s="189" t="n"/>
      <c r="AB457" s="189" t="n"/>
      <c r="AC457" s="189">
        <f>B422</f>
        <v/>
      </c>
      <c r="AD457" s="189">
        <f>C422</f>
        <v/>
      </c>
      <c r="AE457" s="189">
        <f>D422</f>
        <v/>
      </c>
      <c r="AF457" s="189">
        <f>E422</f>
        <v/>
      </c>
      <c r="AG457" s="189">
        <f>F422</f>
        <v/>
      </c>
      <c r="AH457" s="189">
        <f>G422</f>
        <v/>
      </c>
      <c r="AI457" s="51" t="inlineStr">
        <is>
          <t>U10X</t>
        </is>
      </c>
    </row>
    <row r="458">
      <c r="B458" s="189" t="n"/>
      <c r="C458" s="189" t="n"/>
      <c r="D458" s="189" t="n"/>
      <c r="E458" s="189" t="n"/>
      <c r="F458" s="189" t="n"/>
      <c r="G458" s="189" t="n"/>
      <c r="H458" s="189" t="n"/>
      <c r="I458" s="189" t="n"/>
      <c r="J458" s="189" t="n"/>
      <c r="K458" s="189" t="n"/>
      <c r="L458" s="189" t="n"/>
      <c r="M458" s="189" t="n"/>
      <c r="N458" s="189" t="n"/>
      <c r="O458" s="189" t="n"/>
      <c r="P458" s="189" t="n"/>
      <c r="Q458" s="189" t="n"/>
      <c r="R458" s="189" t="n"/>
      <c r="S458" s="189" t="n"/>
      <c r="T458" s="189" t="n"/>
      <c r="U458" s="189" t="n"/>
      <c r="V458" s="189" t="n"/>
      <c r="W458" s="189" t="n"/>
      <c r="X458" s="189" t="n"/>
      <c r="Y458" s="189" t="n"/>
      <c r="Z458" s="189" t="n"/>
      <c r="AA458" s="189" t="n"/>
      <c r="AB458" s="189" t="n"/>
      <c r="AC458" s="189">
        <f>B423</f>
        <v/>
      </c>
      <c r="AD458" s="189">
        <f>C423</f>
        <v/>
      </c>
      <c r="AE458" s="189">
        <f>D423</f>
        <v/>
      </c>
      <c r="AF458" s="189">
        <f>E423</f>
        <v/>
      </c>
      <c r="AG458" s="189">
        <f>F423</f>
        <v/>
      </c>
      <c r="AH458" s="189">
        <f>G423</f>
        <v/>
      </c>
      <c r="AI458" s="51" t="inlineStr">
        <is>
          <t>U10Y</t>
        </is>
      </c>
    </row>
    <row r="459">
      <c r="B459" s="189" t="n"/>
      <c r="C459" s="189" t="n"/>
      <c r="D459" s="189" t="n"/>
      <c r="E459" s="189" t="n"/>
      <c r="F459" s="189" t="n"/>
      <c r="G459" s="189" t="n"/>
      <c r="H459" s="189" t="n"/>
      <c r="I459" s="189" t="n"/>
      <c r="J459" s="189" t="n"/>
      <c r="K459" s="189" t="n"/>
      <c r="L459" s="189" t="n"/>
      <c r="M459" s="189" t="n"/>
      <c r="N459" s="189" t="n"/>
      <c r="O459" s="189" t="n"/>
      <c r="P459" s="189" t="n"/>
      <c r="Q459" s="189" t="n"/>
      <c r="R459" s="189" t="n"/>
      <c r="S459" s="189" t="n"/>
      <c r="T459" s="189" t="n"/>
      <c r="U459" s="189" t="n"/>
      <c r="V459" s="189" t="n"/>
      <c r="W459" s="189" t="n"/>
      <c r="X459" s="189" t="n"/>
      <c r="Y459" s="189" t="n"/>
      <c r="Z459" s="189" t="n"/>
      <c r="AA459" s="189" t="n"/>
      <c r="AB459" s="189" t="n"/>
      <c r="AC459" s="189">
        <f>B424</f>
        <v/>
      </c>
      <c r="AD459" s="189">
        <f>C424</f>
        <v/>
      </c>
      <c r="AE459" s="189">
        <f>D424</f>
        <v/>
      </c>
      <c r="AF459" s="189">
        <f>E424</f>
        <v/>
      </c>
      <c r="AG459" s="189">
        <f>F424</f>
        <v/>
      </c>
      <c r="AH459" s="189">
        <f>G424</f>
        <v/>
      </c>
      <c r="AI459" s="51" t="inlineStr">
        <is>
          <t>U10θ</t>
        </is>
      </c>
    </row>
    <row r="460">
      <c r="B460" s="189" t="n"/>
      <c r="C460" s="189" t="n"/>
      <c r="D460" s="189" t="n"/>
      <c r="E460" s="189" t="n"/>
      <c r="F460" s="189" t="n"/>
      <c r="G460" s="189" t="n"/>
      <c r="H460" s="189" t="n"/>
      <c r="I460" s="189" t="n"/>
      <c r="J460" s="189" t="n"/>
      <c r="K460" s="189" t="n"/>
      <c r="L460" s="189" t="n"/>
      <c r="M460" s="189" t="n"/>
      <c r="N460" s="189" t="n"/>
      <c r="O460" s="189" t="n"/>
      <c r="P460" s="189" t="n"/>
      <c r="Q460" s="189" t="n"/>
      <c r="R460" s="189" t="n"/>
      <c r="S460" s="189" t="n"/>
      <c r="T460" s="189" t="n"/>
      <c r="U460" s="189" t="n"/>
      <c r="V460" s="189" t="n"/>
      <c r="W460" s="189" t="n"/>
      <c r="X460" s="189" t="n"/>
      <c r="Y460" s="189" t="n"/>
      <c r="Z460" s="189" t="n"/>
      <c r="AA460" s="189" t="n"/>
      <c r="AB460" s="189" t="n"/>
      <c r="AC460" s="189">
        <f>B425</f>
        <v/>
      </c>
      <c r="AD460" s="189">
        <f>C425</f>
        <v/>
      </c>
      <c r="AE460" s="189">
        <f>D425</f>
        <v/>
      </c>
      <c r="AF460" s="189">
        <f>E425</f>
        <v/>
      </c>
      <c r="AG460" s="189">
        <f>F425</f>
        <v/>
      </c>
      <c r="AH460" s="189">
        <f>G425</f>
        <v/>
      </c>
      <c r="AI460" s="51" t="inlineStr">
        <is>
          <t>U11X</t>
        </is>
      </c>
    </row>
    <row r="461">
      <c r="B461" s="189" t="n"/>
      <c r="C461" s="189" t="n"/>
      <c r="D461" s="189" t="n"/>
      <c r="E461" s="189" t="n"/>
      <c r="F461" s="189" t="n"/>
      <c r="G461" s="189" t="n"/>
      <c r="H461" s="189" t="n"/>
      <c r="I461" s="189" t="n"/>
      <c r="J461" s="189" t="n"/>
      <c r="K461" s="189" t="n"/>
      <c r="L461" s="189" t="n"/>
      <c r="M461" s="189" t="n"/>
      <c r="N461" s="189" t="n"/>
      <c r="O461" s="189" t="n"/>
      <c r="P461" s="189" t="n"/>
      <c r="Q461" s="189" t="n"/>
      <c r="R461" s="189" t="n"/>
      <c r="S461" s="189" t="n"/>
      <c r="T461" s="189" t="n"/>
      <c r="U461" s="189" t="n"/>
      <c r="V461" s="189" t="n"/>
      <c r="W461" s="189" t="n"/>
      <c r="X461" s="189" t="n"/>
      <c r="Y461" s="189" t="n"/>
      <c r="Z461" s="189" t="n"/>
      <c r="AA461" s="189" t="n"/>
      <c r="AB461" s="189" t="n"/>
      <c r="AC461" s="189">
        <f>B426</f>
        <v/>
      </c>
      <c r="AD461" s="189">
        <f>C426</f>
        <v/>
      </c>
      <c r="AE461" s="189">
        <f>D426</f>
        <v/>
      </c>
      <c r="AF461" s="189">
        <f>E426</f>
        <v/>
      </c>
      <c r="AG461" s="189">
        <f>F426</f>
        <v/>
      </c>
      <c r="AH461" s="189">
        <f>G426</f>
        <v/>
      </c>
      <c r="AI461" s="51" t="inlineStr">
        <is>
          <t>U11Y</t>
        </is>
      </c>
    </row>
    <row r="462">
      <c r="B462" s="189" t="n"/>
      <c r="C462" s="189" t="n"/>
      <c r="D462" s="189" t="n"/>
      <c r="E462" s="189" t="n"/>
      <c r="F462" s="189" t="n"/>
      <c r="G462" s="189" t="n"/>
      <c r="H462" s="189" t="n"/>
      <c r="I462" s="189" t="n"/>
      <c r="J462" s="189" t="n"/>
      <c r="K462" s="189" t="n"/>
      <c r="L462" s="189" t="n"/>
      <c r="M462" s="189" t="n"/>
      <c r="N462" s="189" t="n"/>
      <c r="O462" s="189" t="n"/>
      <c r="P462" s="189" t="n"/>
      <c r="Q462" s="189" t="n"/>
      <c r="R462" s="189" t="n"/>
      <c r="S462" s="189" t="n"/>
      <c r="T462" s="189" t="n"/>
      <c r="U462" s="189" t="n"/>
      <c r="V462" s="189" t="n"/>
      <c r="W462" s="189" t="n"/>
      <c r="X462" s="189" t="n"/>
      <c r="Y462" s="189" t="n"/>
      <c r="Z462" s="189" t="n"/>
      <c r="AA462" s="189" t="n"/>
      <c r="AB462" s="189" t="n"/>
      <c r="AC462" s="189">
        <f>B427</f>
        <v/>
      </c>
      <c r="AD462" s="189">
        <f>C427</f>
        <v/>
      </c>
      <c r="AE462" s="189">
        <f>D427</f>
        <v/>
      </c>
      <c r="AF462" s="189">
        <f>E427</f>
        <v/>
      </c>
      <c r="AG462" s="189">
        <f>F427</f>
        <v/>
      </c>
      <c r="AH462" s="189">
        <f>G427</f>
        <v/>
      </c>
      <c r="AI462" s="51" t="inlineStr">
        <is>
          <t>U11θ</t>
        </is>
      </c>
    </row>
    <row r="465">
      <c r="B465" s="53" t="inlineStr">
        <is>
          <t>MATRIZ DE RIGIDEZ GLOBAL DE LA VIGA [Kviga] (ENSAMBLE COMPLETO 10 TRAMOS / 11 NODOS / 33 GDL)</t>
        </is>
      </c>
      <c r="C465" s="190" t="n"/>
      <c r="D465" s="190" t="n"/>
      <c r="E465" s="190" t="n"/>
      <c r="F465" s="190" t="n"/>
      <c r="G465" s="190" t="n"/>
      <c r="H465" s="190" t="n"/>
      <c r="I465" s="190" t="n"/>
      <c r="J465" s="190" t="n"/>
      <c r="K465" s="190" t="n"/>
      <c r="L465" s="190" t="n"/>
      <c r="M465" s="190" t="n"/>
      <c r="N465" s="190" t="n"/>
      <c r="O465" s="190" t="n"/>
      <c r="P465" s="190" t="n"/>
      <c r="Q465" s="190" t="n"/>
      <c r="R465" s="190" t="n"/>
      <c r="S465" s="190" t="n"/>
      <c r="T465" s="190" t="n"/>
      <c r="U465" s="190" t="n"/>
      <c r="V465" s="190" t="n"/>
      <c r="W465" s="190" t="n"/>
      <c r="X465" s="190" t="n"/>
      <c r="Y465" s="190" t="n"/>
      <c r="Z465" s="190" t="n"/>
      <c r="AA465" s="190" t="n"/>
      <c r="AB465" s="190" t="n"/>
      <c r="AC465" s="190" t="n"/>
      <c r="AD465" s="190" t="n"/>
      <c r="AE465" s="190" t="n"/>
      <c r="AF465" s="190" t="n"/>
      <c r="AG465" s="190" t="n"/>
      <c r="AH465" s="191" t="n"/>
    </row>
    <row r="466">
      <c r="B466" s="51" t="inlineStr">
        <is>
          <t>U1X</t>
        </is>
      </c>
      <c r="C466" s="51" t="inlineStr">
        <is>
          <t>U1Y</t>
        </is>
      </c>
      <c r="D466" s="51" t="inlineStr">
        <is>
          <t>U1θ</t>
        </is>
      </c>
      <c r="E466" s="51" t="inlineStr">
        <is>
          <t>U2X</t>
        </is>
      </c>
      <c r="F466" s="51" t="inlineStr">
        <is>
          <t>U2Y</t>
        </is>
      </c>
      <c r="G466" s="51" t="inlineStr">
        <is>
          <t>U2θ</t>
        </is>
      </c>
      <c r="H466" s="51" t="inlineStr">
        <is>
          <t>U3X</t>
        </is>
      </c>
      <c r="I466" s="51" t="inlineStr">
        <is>
          <t>U3Y</t>
        </is>
      </c>
      <c r="J466" s="51" t="inlineStr">
        <is>
          <t>U3θ</t>
        </is>
      </c>
      <c r="K466" s="51" t="inlineStr">
        <is>
          <t>U4X</t>
        </is>
      </c>
      <c r="L466" s="51" t="inlineStr">
        <is>
          <t>U4Y</t>
        </is>
      </c>
      <c r="M466" s="51" t="inlineStr">
        <is>
          <t>U4θ</t>
        </is>
      </c>
      <c r="N466" s="51" t="inlineStr">
        <is>
          <t>U5X</t>
        </is>
      </c>
      <c r="O466" s="51" t="inlineStr">
        <is>
          <t>U5Y</t>
        </is>
      </c>
      <c r="P466" s="51" t="inlineStr">
        <is>
          <t>U5θ</t>
        </is>
      </c>
      <c r="Q466" s="51" t="inlineStr">
        <is>
          <t>U6X</t>
        </is>
      </c>
      <c r="R466" s="51" t="inlineStr">
        <is>
          <t>U6Y</t>
        </is>
      </c>
      <c r="S466" s="51" t="inlineStr">
        <is>
          <t>U6θ</t>
        </is>
      </c>
      <c r="T466" s="51" t="inlineStr">
        <is>
          <t>U7X</t>
        </is>
      </c>
      <c r="U466" s="51" t="inlineStr">
        <is>
          <t>U7Y</t>
        </is>
      </c>
      <c r="V466" s="51" t="inlineStr">
        <is>
          <t>U7θ</t>
        </is>
      </c>
      <c r="W466" s="51" t="inlineStr">
        <is>
          <t>U8X</t>
        </is>
      </c>
      <c r="X466" s="51" t="inlineStr">
        <is>
          <t>U8Y</t>
        </is>
      </c>
      <c r="Y466" s="51" t="inlineStr">
        <is>
          <t>U8θ</t>
        </is>
      </c>
      <c r="Z466" s="51" t="inlineStr">
        <is>
          <t>U9X</t>
        </is>
      </c>
      <c r="AA466" s="51" t="inlineStr">
        <is>
          <t>U9Y</t>
        </is>
      </c>
      <c r="AB466" s="51" t="inlineStr">
        <is>
          <t>U9θ</t>
        </is>
      </c>
      <c r="AC466" s="51" t="inlineStr">
        <is>
          <t>U10X</t>
        </is>
      </c>
      <c r="AD466" s="51" t="inlineStr">
        <is>
          <t>U10Y</t>
        </is>
      </c>
      <c r="AE466" s="51" t="inlineStr">
        <is>
          <t>U10θ</t>
        </is>
      </c>
      <c r="AF466" s="51" t="inlineStr">
        <is>
          <t>U11X</t>
        </is>
      </c>
      <c r="AG466" s="51" t="inlineStr">
        <is>
          <t>U11Y</t>
        </is>
      </c>
      <c r="AH466" s="51" t="inlineStr">
        <is>
          <t>U11θ</t>
        </is>
      </c>
    </row>
    <row r="467">
      <c r="B467" s="10">
        <f>B43+B86+B129+B172+B215+B258+B301+B344+B387+B430</f>
        <v/>
      </c>
      <c r="C467" s="189">
        <f>C43+C86+C129+C172+C215+C258+C301+C344+C387+C430</f>
        <v/>
      </c>
      <c r="D467" s="189">
        <f>D43+D86+D129+D172+D215+D258+D301+D344+D387+D430</f>
        <v/>
      </c>
      <c r="E467" s="189">
        <f>E43+E86+E129+E172+E215+E258+E301+E344+E387+E430</f>
        <v/>
      </c>
      <c r="F467" s="189">
        <f>F43+F86+F129+F172+F215+F258+F301+F344+F387+F430</f>
        <v/>
      </c>
      <c r="G467" s="189">
        <f>G43+G86+G129+G172+G215+G258+G301+G344+G387+G430</f>
        <v/>
      </c>
      <c r="H467" s="189">
        <f>H43+H86+H129+H172+H215+H258+H301+H344+H387+H430</f>
        <v/>
      </c>
      <c r="I467" s="189">
        <f>I43+I86+I129+I172+I215+I258+I301+I344+I387+I430</f>
        <v/>
      </c>
      <c r="J467" s="189">
        <f>J43+J86+J129+J172+J215+J258+J301+J344+J387+J430</f>
        <v/>
      </c>
      <c r="K467" s="189">
        <f>K43+K86+K129+K172+K215+K258+K301+K344+K387+K430</f>
        <v/>
      </c>
      <c r="L467" s="189">
        <f>L43+L86+L129+L172+L215+L258+L301+L344+L387+L430</f>
        <v/>
      </c>
      <c r="M467" s="189">
        <f>M43+M86+M129+M172+M215+M258+M301+M344+M387+M430</f>
        <v/>
      </c>
      <c r="N467" s="189">
        <f>N43+N86+N129+N172+N215+N258+N301+N344+N387+N430</f>
        <v/>
      </c>
      <c r="O467" s="189">
        <f>O43+O86+O129+O172+O215+O258+O301+O344+O387+O430</f>
        <v/>
      </c>
      <c r="P467" s="189">
        <f>P43+P86+P129+P172+P215+P258+P301+P344+P387+P430</f>
        <v/>
      </c>
      <c r="Q467" s="189">
        <f>Q43+Q86+Q129+Q172+Q215+Q258+Q301+Q344+Q387+Q430</f>
        <v/>
      </c>
      <c r="R467" s="189">
        <f>R43+R86+R129+R172+R215+R258+R301+R344+R387+R430</f>
        <v/>
      </c>
      <c r="S467" s="189">
        <f>S43+S86+S129+S172+S215+S258+S301+S344+S387+S430</f>
        <v/>
      </c>
      <c r="T467" s="189">
        <f>T43+T86+T129+T172+T215+T258+T301+T344+T387+T430</f>
        <v/>
      </c>
      <c r="U467" s="189">
        <f>U43+U86+U129+U172+U215+U258+U301+U344+U387+U430</f>
        <v/>
      </c>
      <c r="V467" s="189">
        <f>V43+V86+V129+V172+V215+V258+V301+V344+V387+V430</f>
        <v/>
      </c>
      <c r="W467" s="189">
        <f>W43+W86+W129+W172+W215+W258+W301+W344+W387+W430</f>
        <v/>
      </c>
      <c r="X467" s="189">
        <f>X43+X86+X129+X172+X215+X258+X301+X344+X387+X430</f>
        <v/>
      </c>
      <c r="Y467" s="189">
        <f>Y43+Y86+Y129+Y172+Y215+Y258+Y301+Y344+Y387+Y430</f>
        <v/>
      </c>
      <c r="Z467" s="189">
        <f>Z43+Z86+Z129+Z172+Z215+Z258+Z301+Z344+Z387+Z430</f>
        <v/>
      </c>
      <c r="AA467" s="189">
        <f>AA43+AA86+AA129+AA172+AA215+AA258+AA301+AA344+AA387+AA430</f>
        <v/>
      </c>
      <c r="AB467" s="189">
        <f>AB43+AB86+AB129+AB172+AB215+AB258+AB301+AB344+AB387+AB430</f>
        <v/>
      </c>
      <c r="AC467" s="189">
        <f>AC43+AC86+AC129+AC172+AC215+AC258+AC301+AC344+AC387+AC430</f>
        <v/>
      </c>
      <c r="AD467" s="189">
        <f>AD43+AD86+AD129+AD172+AD215+AD258+AD301+AD344+AD387+AD430</f>
        <v/>
      </c>
      <c r="AE467" s="189">
        <f>AE43+AE86+AE129+AE172+AE215+AE258+AE301+AE344+AE387+AE430</f>
        <v/>
      </c>
      <c r="AF467" s="189">
        <f>AF43+AF86+AF129+AF172+AF215+AF258+AF301+AF344+AF387+AF430</f>
        <v/>
      </c>
      <c r="AG467" s="189">
        <f>AG43+AG86+AG129+AG172+AG215+AG258+AG301+AG344+AG387+AG430</f>
        <v/>
      </c>
      <c r="AH467" s="189">
        <f>AH43+AH86+AH129+AH172+AH215+AH258+AH301+AH344+AH387+AH430</f>
        <v/>
      </c>
      <c r="AI467" s="51" t="inlineStr">
        <is>
          <t>U1X</t>
        </is>
      </c>
    </row>
    <row r="468">
      <c r="B468" s="189">
        <f>B44+B87+B130+B173+B216+B259+B302+B345+B388+B431</f>
        <v/>
      </c>
      <c r="C468" s="10">
        <f>C44+C87+C130+C173+C216+C259+C302+C345+C388+C431</f>
        <v/>
      </c>
      <c r="D468" s="189">
        <f>D44+D87+D130+D173+D216+D259+D302+D345+D388+D431</f>
        <v/>
      </c>
      <c r="E468" s="189">
        <f>E44+E87+E130+E173+E216+E259+E302+E345+E388+E431</f>
        <v/>
      </c>
      <c r="F468" s="189">
        <f>F44+F87+F130+F173+F216+F259+F302+F345+F388+F431</f>
        <v/>
      </c>
      <c r="G468" s="189">
        <f>G44+G87+G130+G173+G216+G259+G302+G345+G388+G431</f>
        <v/>
      </c>
      <c r="H468" s="189">
        <f>H44+H87+H130+H173+H216+H259+H302+H345+H388+H431</f>
        <v/>
      </c>
      <c r="I468" s="189">
        <f>I44+I87+I130+I173+I216+I259+I302+I345+I388+I431</f>
        <v/>
      </c>
      <c r="J468" s="189">
        <f>J44+J87+J130+J173+J216+J259+J302+J345+J388+J431</f>
        <v/>
      </c>
      <c r="K468" s="189">
        <f>K44+K87+K130+K173+K216+K259+K302+K345+K388+K431</f>
        <v/>
      </c>
      <c r="L468" s="189">
        <f>L44+L87+L130+L173+L216+L259+L302+L345+L388+L431</f>
        <v/>
      </c>
      <c r="M468" s="189">
        <f>M44+M87+M130+M173+M216+M259+M302+M345+M388+M431</f>
        <v/>
      </c>
      <c r="N468" s="189">
        <f>N44+N87+N130+N173+N216+N259+N302+N345+N388+N431</f>
        <v/>
      </c>
      <c r="O468" s="189">
        <f>O44+O87+O130+O173+O216+O259+O302+O345+O388+O431</f>
        <v/>
      </c>
      <c r="P468" s="189">
        <f>P44+P87+P130+P173+P216+P259+P302+P345+P388+P431</f>
        <v/>
      </c>
      <c r="Q468" s="189">
        <f>Q44+Q87+Q130+Q173+Q216+Q259+Q302+Q345+Q388+Q431</f>
        <v/>
      </c>
      <c r="R468" s="189">
        <f>R44+R87+R130+R173+R216+R259+R302+R345+R388+R431</f>
        <v/>
      </c>
      <c r="S468" s="189">
        <f>S44+S87+S130+S173+S216+S259+S302+S345+S388+S431</f>
        <v/>
      </c>
      <c r="T468" s="189">
        <f>T44+T87+T130+T173+T216+T259+T302+T345+T388+T431</f>
        <v/>
      </c>
      <c r="U468" s="189">
        <f>U44+U87+U130+U173+U216+U259+U302+U345+U388+U431</f>
        <v/>
      </c>
      <c r="V468" s="189">
        <f>V44+V87+V130+V173+V216+V259+V302+V345+V388+V431</f>
        <v/>
      </c>
      <c r="W468" s="189">
        <f>W44+W87+W130+W173+W216+W259+W302+W345+W388+W431</f>
        <v/>
      </c>
      <c r="X468" s="189">
        <f>X44+X87+X130+X173+X216+X259+X302+X345+X388+X431</f>
        <v/>
      </c>
      <c r="Y468" s="189">
        <f>Y44+Y87+Y130+Y173+Y216+Y259+Y302+Y345+Y388+Y431</f>
        <v/>
      </c>
      <c r="Z468" s="189">
        <f>Z44+Z87+Z130+Z173+Z216+Z259+Z302+Z345+Z388+Z431</f>
        <v/>
      </c>
      <c r="AA468" s="189">
        <f>AA44+AA87+AA130+AA173+AA216+AA259+AA302+AA345+AA388+AA431</f>
        <v/>
      </c>
      <c r="AB468" s="189">
        <f>AB44+AB87+AB130+AB173+AB216+AB259+AB302+AB345+AB388+AB431</f>
        <v/>
      </c>
      <c r="AC468" s="189">
        <f>AC44+AC87+AC130+AC173+AC216+AC259+AC302+AC345+AC388+AC431</f>
        <v/>
      </c>
      <c r="AD468" s="189">
        <f>AD44+AD87+AD130+AD173+AD216+AD259+AD302+AD345+AD388+AD431</f>
        <v/>
      </c>
      <c r="AE468" s="189">
        <f>AE44+AE87+AE130+AE173+AE216+AE259+AE302+AE345+AE388+AE431</f>
        <v/>
      </c>
      <c r="AF468" s="189">
        <f>AF44+AF87+AF130+AF173+AF216+AF259+AF302+AF345+AF388+AF431</f>
        <v/>
      </c>
      <c r="AG468" s="189">
        <f>AG44+AG87+AG130+AG173+AG216+AG259+AG302+AG345+AG388+AG431</f>
        <v/>
      </c>
      <c r="AH468" s="189">
        <f>AH44+AH87+AH130+AH173+AH216+AH259+AH302+AH345+AH388+AH431</f>
        <v/>
      </c>
      <c r="AI468" s="51" t="inlineStr">
        <is>
          <t>U1Y</t>
        </is>
      </c>
    </row>
    <row r="469">
      <c r="B469" s="189">
        <f>B45+B88+B131+B174+B217+B260+B303+B346+B389+B432</f>
        <v/>
      </c>
      <c r="C469" s="189">
        <f>C45+C88+C131+C174+C217+C260+C303+C346+C389+C432</f>
        <v/>
      </c>
      <c r="D469" s="10">
        <f>D45+D88+D131+D174+D217+D260+D303+D346+D389+D432</f>
        <v/>
      </c>
      <c r="E469" s="189">
        <f>E45+E88+E131+E174+E217+E260+E303+E346+E389+E432</f>
        <v/>
      </c>
      <c r="F469" s="189">
        <f>F45+F88+F131+F174+F217+F260+F303+F346+F389+F432</f>
        <v/>
      </c>
      <c r="G469" s="189">
        <f>G45+G88+G131+G174+G217+G260+G303+G346+G389+G432</f>
        <v/>
      </c>
      <c r="H469" s="189">
        <f>H45+H88+H131+H174+H217+H260+H303+H346+H389+H432</f>
        <v/>
      </c>
      <c r="I469" s="189">
        <f>I45+I88+I131+I174+I217+I260+I303+I346+I389+I432</f>
        <v/>
      </c>
      <c r="J469" s="189">
        <f>J45+J88+J131+J174+J217+J260+J303+J346+J389+J432</f>
        <v/>
      </c>
      <c r="K469" s="189">
        <f>K45+K88+K131+K174+K217+K260+K303+K346+K389+K432</f>
        <v/>
      </c>
      <c r="L469" s="189">
        <f>L45+L88+L131+L174+L217+L260+L303+L346+L389+L432</f>
        <v/>
      </c>
      <c r="M469" s="189">
        <f>M45+M88+M131+M174+M217+M260+M303+M346+M389+M432</f>
        <v/>
      </c>
      <c r="N469" s="189">
        <f>N45+N88+N131+N174+N217+N260+N303+N346+N389+N432</f>
        <v/>
      </c>
      <c r="O469" s="189">
        <f>O45+O88+O131+O174+O217+O260+O303+O346+O389+O432</f>
        <v/>
      </c>
      <c r="P469" s="189">
        <f>P45+P88+P131+P174+P217+P260+P303+P346+P389+P432</f>
        <v/>
      </c>
      <c r="Q469" s="189">
        <f>Q45+Q88+Q131+Q174+Q217+Q260+Q303+Q346+Q389+Q432</f>
        <v/>
      </c>
      <c r="R469" s="189">
        <f>R45+R88+R131+R174+R217+R260+R303+R346+R389+R432</f>
        <v/>
      </c>
      <c r="S469" s="189">
        <f>S45+S88+S131+S174+S217+S260+S303+S346+S389+S432</f>
        <v/>
      </c>
      <c r="T469" s="189">
        <f>T45+T88+T131+T174+T217+T260+T303+T346+T389+T432</f>
        <v/>
      </c>
      <c r="U469" s="189">
        <f>U45+U88+U131+U174+U217+U260+U303+U346+U389+U432</f>
        <v/>
      </c>
      <c r="V469" s="189">
        <f>V45+V88+V131+V174+V217+V260+V303+V346+V389+V432</f>
        <v/>
      </c>
      <c r="W469" s="189">
        <f>W45+W88+W131+W174+W217+W260+W303+W346+W389+W432</f>
        <v/>
      </c>
      <c r="X469" s="189">
        <f>X45+X88+X131+X174+X217+X260+X303+X346+X389+X432</f>
        <v/>
      </c>
      <c r="Y469" s="189">
        <f>Y45+Y88+Y131+Y174+Y217+Y260+Y303+Y346+Y389+Y432</f>
        <v/>
      </c>
      <c r="Z469" s="189">
        <f>Z45+Z88+Z131+Z174+Z217+Z260+Z303+Z346+Z389+Z432</f>
        <v/>
      </c>
      <c r="AA469" s="189">
        <f>AA45+AA88+AA131+AA174+AA217+AA260+AA303+AA346+AA389+AA432</f>
        <v/>
      </c>
      <c r="AB469" s="189">
        <f>AB45+AB88+AB131+AB174+AB217+AB260+AB303+AB346+AB389+AB432</f>
        <v/>
      </c>
      <c r="AC469" s="189">
        <f>AC45+AC88+AC131+AC174+AC217+AC260+AC303+AC346+AC389+AC432</f>
        <v/>
      </c>
      <c r="AD469" s="189">
        <f>AD45+AD88+AD131+AD174+AD217+AD260+AD303+AD346+AD389+AD432</f>
        <v/>
      </c>
      <c r="AE469" s="189">
        <f>AE45+AE88+AE131+AE174+AE217+AE260+AE303+AE346+AE389+AE432</f>
        <v/>
      </c>
      <c r="AF469" s="189">
        <f>AF45+AF88+AF131+AF174+AF217+AF260+AF303+AF346+AF389+AF432</f>
        <v/>
      </c>
      <c r="AG469" s="189">
        <f>AG45+AG88+AG131+AG174+AG217+AG260+AG303+AG346+AG389+AG432</f>
        <v/>
      </c>
      <c r="AH469" s="189">
        <f>AH45+AH88+AH131+AH174+AH217+AH260+AH303+AH346+AH389+AH432</f>
        <v/>
      </c>
      <c r="AI469" s="51" t="inlineStr">
        <is>
          <t>U1θ</t>
        </is>
      </c>
    </row>
    <row r="470">
      <c r="B470" s="189">
        <f>B46+B89+B132+B175+B218+B261+B304+B347+B390+B433</f>
        <v/>
      </c>
      <c r="C470" s="189">
        <f>C46+C89+C132+C175+C218+C261+C304+C347+C390+C433</f>
        <v/>
      </c>
      <c r="D470" s="189">
        <f>D46+D89+D132+D175+D218+D261+D304+D347+D390+D433</f>
        <v/>
      </c>
      <c r="E470" s="10">
        <f>E46+E89+E132+E175+E218+E261+E304+E347+E390+E433</f>
        <v/>
      </c>
      <c r="F470" s="189">
        <f>F46+F89+F132+F175+F218+F261+F304+F347+F390+F433</f>
        <v/>
      </c>
      <c r="G470" s="189">
        <f>G46+G89+G132+G175+G218+G261+G304+G347+G390+G433</f>
        <v/>
      </c>
      <c r="H470" s="189">
        <f>H46+H89+H132+H175+H218+H261+H304+H347+H390+H433</f>
        <v/>
      </c>
      <c r="I470" s="189">
        <f>I46+I89+I132+I175+I218+I261+I304+I347+I390+I433</f>
        <v/>
      </c>
      <c r="J470" s="189">
        <f>J46+J89+J132+J175+J218+J261+J304+J347+J390+J433</f>
        <v/>
      </c>
      <c r="K470" s="189">
        <f>K46+K89+K132+K175+K218+K261+K304+K347+K390+K433</f>
        <v/>
      </c>
      <c r="L470" s="189">
        <f>L46+L89+L132+L175+L218+L261+L304+L347+L390+L433</f>
        <v/>
      </c>
      <c r="M470" s="189">
        <f>M46+M89+M132+M175+M218+M261+M304+M347+M390+M433</f>
        <v/>
      </c>
      <c r="N470" s="189">
        <f>N46+N89+N132+N175+N218+N261+N304+N347+N390+N433</f>
        <v/>
      </c>
      <c r="O470" s="189">
        <f>O46+O89+O132+O175+O218+O261+O304+O347+O390+O433</f>
        <v/>
      </c>
      <c r="P470" s="189">
        <f>P46+P89+P132+P175+P218+P261+P304+P347+P390+P433</f>
        <v/>
      </c>
      <c r="Q470" s="189">
        <f>Q46+Q89+Q132+Q175+Q218+Q261+Q304+Q347+Q390+Q433</f>
        <v/>
      </c>
      <c r="R470" s="189">
        <f>R46+R89+R132+R175+R218+R261+R304+R347+R390+R433</f>
        <v/>
      </c>
      <c r="S470" s="189">
        <f>S46+S89+S132+S175+S218+S261+S304+S347+S390+S433</f>
        <v/>
      </c>
      <c r="T470" s="189">
        <f>T46+T89+T132+T175+T218+T261+T304+T347+T390+T433</f>
        <v/>
      </c>
      <c r="U470" s="189">
        <f>U46+U89+U132+U175+U218+U261+U304+U347+U390+U433</f>
        <v/>
      </c>
      <c r="V470" s="189">
        <f>V46+V89+V132+V175+V218+V261+V304+V347+V390+V433</f>
        <v/>
      </c>
      <c r="W470" s="189">
        <f>W46+W89+W132+W175+W218+W261+W304+W347+W390+W433</f>
        <v/>
      </c>
      <c r="X470" s="189">
        <f>X46+X89+X132+X175+X218+X261+X304+X347+X390+X433</f>
        <v/>
      </c>
      <c r="Y470" s="189">
        <f>Y46+Y89+Y132+Y175+Y218+Y261+Y304+Y347+Y390+Y433</f>
        <v/>
      </c>
      <c r="Z470" s="189">
        <f>Z46+Z89+Z132+Z175+Z218+Z261+Z304+Z347+Z390+Z433</f>
        <v/>
      </c>
      <c r="AA470" s="189">
        <f>AA46+AA89+AA132+AA175+AA218+AA261+AA304+AA347+AA390+AA433</f>
        <v/>
      </c>
      <c r="AB470" s="189">
        <f>AB46+AB89+AB132+AB175+AB218+AB261+AB304+AB347+AB390+AB433</f>
        <v/>
      </c>
      <c r="AC470" s="189">
        <f>AC46+AC89+AC132+AC175+AC218+AC261+AC304+AC347+AC390+AC433</f>
        <v/>
      </c>
      <c r="AD470" s="189">
        <f>AD46+AD89+AD132+AD175+AD218+AD261+AD304+AD347+AD390+AD433</f>
        <v/>
      </c>
      <c r="AE470" s="189">
        <f>AE46+AE89+AE132+AE175+AE218+AE261+AE304+AE347+AE390+AE433</f>
        <v/>
      </c>
      <c r="AF470" s="189">
        <f>AF46+AF89+AF132+AF175+AF218+AF261+AF304+AF347+AF390+AF433</f>
        <v/>
      </c>
      <c r="AG470" s="189">
        <f>AG46+AG89+AG132+AG175+AG218+AG261+AG304+AG347+AG390+AG433</f>
        <v/>
      </c>
      <c r="AH470" s="189">
        <f>AH46+AH89+AH132+AH175+AH218+AH261+AH304+AH347+AH390+AH433</f>
        <v/>
      </c>
      <c r="AI470" s="51" t="inlineStr">
        <is>
          <t>U2X</t>
        </is>
      </c>
    </row>
    <row r="471">
      <c r="B471" s="189">
        <f>B47+B90+B133+B176+B219+B262+B305+B348+B391+B434</f>
        <v/>
      </c>
      <c r="C471" s="189">
        <f>C47+C90+C133+C176+C219+C262+C305+C348+C391+C434</f>
        <v/>
      </c>
      <c r="D471" s="189">
        <f>D47+D90+D133+D176+D219+D262+D305+D348+D391+D434</f>
        <v/>
      </c>
      <c r="E471" s="189">
        <f>E47+E90+E133+E176+E219+E262+E305+E348+E391+E434</f>
        <v/>
      </c>
      <c r="F471" s="10">
        <f>F47+F90+F133+F176+F219+F262+F305+F348+F391+F434</f>
        <v/>
      </c>
      <c r="G471" s="189">
        <f>G47+G90+G133+G176+G219+G262+G305+G348+G391+G434</f>
        <v/>
      </c>
      <c r="H471" s="189">
        <f>H47+H90+H133+H176+H219+H262+H305+H348+H391+H434</f>
        <v/>
      </c>
      <c r="I471" s="189">
        <f>I47+I90+I133+I176+I219+I262+I305+I348+I391+I434</f>
        <v/>
      </c>
      <c r="J471" s="189">
        <f>J47+J90+J133+J176+J219+J262+J305+J348+J391+J434</f>
        <v/>
      </c>
      <c r="K471" s="189">
        <f>K47+K90+K133+K176+K219+K262+K305+K348+K391+K434</f>
        <v/>
      </c>
      <c r="L471" s="189">
        <f>L47+L90+L133+L176+L219+L262+L305+L348+L391+L434</f>
        <v/>
      </c>
      <c r="M471" s="189">
        <f>M47+M90+M133+M176+M219+M262+M305+M348+M391+M434</f>
        <v/>
      </c>
      <c r="N471" s="189">
        <f>N47+N90+N133+N176+N219+N262+N305+N348+N391+N434</f>
        <v/>
      </c>
      <c r="O471" s="189">
        <f>O47+O90+O133+O176+O219+O262+O305+O348+O391+O434</f>
        <v/>
      </c>
      <c r="P471" s="189">
        <f>P47+P90+P133+P176+P219+P262+P305+P348+P391+P434</f>
        <v/>
      </c>
      <c r="Q471" s="189">
        <f>Q47+Q90+Q133+Q176+Q219+Q262+Q305+Q348+Q391+Q434</f>
        <v/>
      </c>
      <c r="R471" s="189">
        <f>R47+R90+R133+R176+R219+R262+R305+R348+R391+R434</f>
        <v/>
      </c>
      <c r="S471" s="189">
        <f>S47+S90+S133+S176+S219+S262+S305+S348+S391+S434</f>
        <v/>
      </c>
      <c r="T471" s="189">
        <f>T47+T90+T133+T176+T219+T262+T305+T348+T391+T434</f>
        <v/>
      </c>
      <c r="U471" s="189">
        <f>U47+U90+U133+U176+U219+U262+U305+U348+U391+U434</f>
        <v/>
      </c>
      <c r="V471" s="189">
        <f>V47+V90+V133+V176+V219+V262+V305+V348+V391+V434</f>
        <v/>
      </c>
      <c r="W471" s="189">
        <f>W47+W90+W133+W176+W219+W262+W305+W348+W391+W434</f>
        <v/>
      </c>
      <c r="X471" s="189">
        <f>X47+X90+X133+X176+X219+X262+X305+X348+X391+X434</f>
        <v/>
      </c>
      <c r="Y471" s="189">
        <f>Y47+Y90+Y133+Y176+Y219+Y262+Y305+Y348+Y391+Y434</f>
        <v/>
      </c>
      <c r="Z471" s="189">
        <f>Z47+Z90+Z133+Z176+Z219+Z262+Z305+Z348+Z391+Z434</f>
        <v/>
      </c>
      <c r="AA471" s="189">
        <f>AA47+AA90+AA133+AA176+AA219+AA262+AA305+AA348+AA391+AA434</f>
        <v/>
      </c>
      <c r="AB471" s="189">
        <f>AB47+AB90+AB133+AB176+AB219+AB262+AB305+AB348+AB391+AB434</f>
        <v/>
      </c>
      <c r="AC471" s="189">
        <f>AC47+AC90+AC133+AC176+AC219+AC262+AC305+AC348+AC391+AC434</f>
        <v/>
      </c>
      <c r="AD471" s="189">
        <f>AD47+AD90+AD133+AD176+AD219+AD262+AD305+AD348+AD391+AD434</f>
        <v/>
      </c>
      <c r="AE471" s="189">
        <f>AE47+AE90+AE133+AE176+AE219+AE262+AE305+AE348+AE391+AE434</f>
        <v/>
      </c>
      <c r="AF471" s="189">
        <f>AF47+AF90+AF133+AF176+AF219+AF262+AF305+AF348+AF391+AF434</f>
        <v/>
      </c>
      <c r="AG471" s="189">
        <f>AG47+AG90+AG133+AG176+AG219+AG262+AG305+AG348+AG391+AG434</f>
        <v/>
      </c>
      <c r="AH471" s="189">
        <f>AH47+AH90+AH133+AH176+AH219+AH262+AH305+AH348+AH391+AH434</f>
        <v/>
      </c>
      <c r="AI471" s="51" t="inlineStr">
        <is>
          <t>U2Y</t>
        </is>
      </c>
    </row>
    <row r="472">
      <c r="B472" s="189">
        <f>B48+B91+B134+B177+B220+B263+B306+B349+B392+B435</f>
        <v/>
      </c>
      <c r="C472" s="189">
        <f>C48+C91+C134+C177+C220+C263+C306+C349+C392+C435</f>
        <v/>
      </c>
      <c r="D472" s="189">
        <f>D48+D91+D134+D177+D220+D263+D306+D349+D392+D435</f>
        <v/>
      </c>
      <c r="E472" s="189">
        <f>E48+E91+E134+E177+E220+E263+E306+E349+E392+E435</f>
        <v/>
      </c>
      <c r="F472" s="189">
        <f>F48+F91+F134+F177+F220+F263+F306+F349+F392+F435</f>
        <v/>
      </c>
      <c r="G472" s="10">
        <f>G48+G91+G134+G177+G220+G263+G306+G349+G392+G435</f>
        <v/>
      </c>
      <c r="H472" s="189">
        <f>H48+H91+H134+H177+H220+H263+H306+H349+H392+H435</f>
        <v/>
      </c>
      <c r="I472" s="189">
        <f>I48+I91+I134+I177+I220+I263+I306+I349+I392+I435</f>
        <v/>
      </c>
      <c r="J472" s="189">
        <f>J48+J91+J134+J177+J220+J263+J306+J349+J392+J435</f>
        <v/>
      </c>
      <c r="K472" s="189">
        <f>K48+K91+K134+K177+K220+K263+K306+K349+K392+K435</f>
        <v/>
      </c>
      <c r="L472" s="189">
        <f>L48+L91+L134+L177+L220+L263+L306+L349+L392+L435</f>
        <v/>
      </c>
      <c r="M472" s="189">
        <f>M48+M91+M134+M177+M220+M263+M306+M349+M392+M435</f>
        <v/>
      </c>
      <c r="N472" s="189">
        <f>N48+N91+N134+N177+N220+N263+N306+N349+N392+N435</f>
        <v/>
      </c>
      <c r="O472" s="189">
        <f>O48+O91+O134+O177+O220+O263+O306+O349+O392+O435</f>
        <v/>
      </c>
      <c r="P472" s="189">
        <f>P48+P91+P134+P177+P220+P263+P306+P349+P392+P435</f>
        <v/>
      </c>
      <c r="Q472" s="189">
        <f>Q48+Q91+Q134+Q177+Q220+Q263+Q306+Q349+Q392+Q435</f>
        <v/>
      </c>
      <c r="R472" s="189">
        <f>R48+R91+R134+R177+R220+R263+R306+R349+R392+R435</f>
        <v/>
      </c>
      <c r="S472" s="189">
        <f>S48+S91+S134+S177+S220+S263+S306+S349+S392+S435</f>
        <v/>
      </c>
      <c r="T472" s="189">
        <f>T48+T91+T134+T177+T220+T263+T306+T349+T392+T435</f>
        <v/>
      </c>
      <c r="U472" s="189">
        <f>U48+U91+U134+U177+U220+U263+U306+U349+U392+U435</f>
        <v/>
      </c>
      <c r="V472" s="189">
        <f>V48+V91+V134+V177+V220+V263+V306+V349+V392+V435</f>
        <v/>
      </c>
      <c r="W472" s="189">
        <f>W48+W91+W134+W177+W220+W263+W306+W349+W392+W435</f>
        <v/>
      </c>
      <c r="X472" s="189">
        <f>X48+X91+X134+X177+X220+X263+X306+X349+X392+X435</f>
        <v/>
      </c>
      <c r="Y472" s="189">
        <f>Y48+Y91+Y134+Y177+Y220+Y263+Y306+Y349+Y392+Y435</f>
        <v/>
      </c>
      <c r="Z472" s="189">
        <f>Z48+Z91+Z134+Z177+Z220+Z263+Z306+Z349+Z392+Z435</f>
        <v/>
      </c>
      <c r="AA472" s="189">
        <f>AA48+AA91+AA134+AA177+AA220+AA263+AA306+AA349+AA392+AA435</f>
        <v/>
      </c>
      <c r="AB472" s="189">
        <f>AB48+AB91+AB134+AB177+AB220+AB263+AB306+AB349+AB392+AB435</f>
        <v/>
      </c>
      <c r="AC472" s="189">
        <f>AC48+AC91+AC134+AC177+AC220+AC263+AC306+AC349+AC392+AC435</f>
        <v/>
      </c>
      <c r="AD472" s="189">
        <f>AD48+AD91+AD134+AD177+AD220+AD263+AD306+AD349+AD392+AD435</f>
        <v/>
      </c>
      <c r="AE472" s="189">
        <f>AE48+AE91+AE134+AE177+AE220+AE263+AE306+AE349+AE392+AE435</f>
        <v/>
      </c>
      <c r="AF472" s="189">
        <f>AF48+AF91+AF134+AF177+AF220+AF263+AF306+AF349+AF392+AF435</f>
        <v/>
      </c>
      <c r="AG472" s="189">
        <f>AG48+AG91+AG134+AG177+AG220+AG263+AG306+AG349+AG392+AG435</f>
        <v/>
      </c>
      <c r="AH472" s="189">
        <f>AH48+AH91+AH134+AH177+AH220+AH263+AH306+AH349+AH392+AH435</f>
        <v/>
      </c>
      <c r="AI472" s="51" t="inlineStr">
        <is>
          <t>U2θ</t>
        </is>
      </c>
    </row>
    <row r="473">
      <c r="B473" s="189">
        <f>B49+B92+B135+B178+B221+B264+B307+B350+B393+B436</f>
        <v/>
      </c>
      <c r="C473" s="189">
        <f>C49+C92+C135+C178+C221+C264+C307+C350+C393+C436</f>
        <v/>
      </c>
      <c r="D473" s="189">
        <f>D49+D92+D135+D178+D221+D264+D307+D350+D393+D436</f>
        <v/>
      </c>
      <c r="E473" s="189">
        <f>E49+E92+E135+E178+E221+E264+E307+E350+E393+E436</f>
        <v/>
      </c>
      <c r="F473" s="189">
        <f>F49+F92+F135+F178+F221+F264+F307+F350+F393+F436</f>
        <v/>
      </c>
      <c r="G473" s="189">
        <f>G49+G92+G135+G178+G221+G264+G307+G350+G393+G436</f>
        <v/>
      </c>
      <c r="H473" s="10">
        <f>H49+H92+H135+H178+H221+H264+H307+H350+H393+H436</f>
        <v/>
      </c>
      <c r="I473" s="189">
        <f>I49+I92+I135+I178+I221+I264+I307+I350+I393+I436</f>
        <v/>
      </c>
      <c r="J473" s="189">
        <f>J49+J92+J135+J178+J221+J264+J307+J350+J393+J436</f>
        <v/>
      </c>
      <c r="K473" s="189">
        <f>K49+K92+K135+K178+K221+K264+K307+K350+K393+K436</f>
        <v/>
      </c>
      <c r="L473" s="189">
        <f>L49+L92+L135+L178+L221+L264+L307+L350+L393+L436</f>
        <v/>
      </c>
      <c r="M473" s="189">
        <f>M49+M92+M135+M178+M221+M264+M307+M350+M393+M436</f>
        <v/>
      </c>
      <c r="N473" s="189">
        <f>N49+N92+N135+N178+N221+N264+N307+N350+N393+N436</f>
        <v/>
      </c>
      <c r="O473" s="189">
        <f>O49+O92+O135+O178+O221+O264+O307+O350+O393+O436</f>
        <v/>
      </c>
      <c r="P473" s="189">
        <f>P49+P92+P135+P178+P221+P264+P307+P350+P393+P436</f>
        <v/>
      </c>
      <c r="Q473" s="189">
        <f>Q49+Q92+Q135+Q178+Q221+Q264+Q307+Q350+Q393+Q436</f>
        <v/>
      </c>
      <c r="R473" s="189">
        <f>R49+R92+R135+R178+R221+R264+R307+R350+R393+R436</f>
        <v/>
      </c>
      <c r="S473" s="189">
        <f>S49+S92+S135+S178+S221+S264+S307+S350+S393+S436</f>
        <v/>
      </c>
      <c r="T473" s="189">
        <f>T49+T92+T135+T178+T221+T264+T307+T350+T393+T436</f>
        <v/>
      </c>
      <c r="U473" s="189">
        <f>U49+U92+U135+U178+U221+U264+U307+U350+U393+U436</f>
        <v/>
      </c>
      <c r="V473" s="189">
        <f>V49+V92+V135+V178+V221+V264+V307+V350+V393+V436</f>
        <v/>
      </c>
      <c r="W473" s="189">
        <f>W49+W92+W135+W178+W221+W264+W307+W350+W393+W436</f>
        <v/>
      </c>
      <c r="X473" s="189">
        <f>X49+X92+X135+X178+X221+X264+X307+X350+X393+X436</f>
        <v/>
      </c>
      <c r="Y473" s="189">
        <f>Y49+Y92+Y135+Y178+Y221+Y264+Y307+Y350+Y393+Y436</f>
        <v/>
      </c>
      <c r="Z473" s="189">
        <f>Z49+Z92+Z135+Z178+Z221+Z264+Z307+Z350+Z393+Z436</f>
        <v/>
      </c>
      <c r="AA473" s="189">
        <f>AA49+AA92+AA135+AA178+AA221+AA264+AA307+AA350+AA393+AA436</f>
        <v/>
      </c>
      <c r="AB473" s="189">
        <f>AB49+AB92+AB135+AB178+AB221+AB264+AB307+AB350+AB393+AB436</f>
        <v/>
      </c>
      <c r="AC473" s="189">
        <f>AC49+AC92+AC135+AC178+AC221+AC264+AC307+AC350+AC393+AC436</f>
        <v/>
      </c>
      <c r="AD473" s="189">
        <f>AD49+AD92+AD135+AD178+AD221+AD264+AD307+AD350+AD393+AD436</f>
        <v/>
      </c>
      <c r="AE473" s="189">
        <f>AE49+AE92+AE135+AE178+AE221+AE264+AE307+AE350+AE393+AE436</f>
        <v/>
      </c>
      <c r="AF473" s="189">
        <f>AF49+AF92+AF135+AF178+AF221+AF264+AF307+AF350+AF393+AF436</f>
        <v/>
      </c>
      <c r="AG473" s="189">
        <f>AG49+AG92+AG135+AG178+AG221+AG264+AG307+AG350+AG393+AG436</f>
        <v/>
      </c>
      <c r="AH473" s="189">
        <f>AH49+AH92+AH135+AH178+AH221+AH264+AH307+AH350+AH393+AH436</f>
        <v/>
      </c>
      <c r="AI473" s="51" t="inlineStr">
        <is>
          <t>U3X</t>
        </is>
      </c>
    </row>
    <row r="474">
      <c r="B474" s="189">
        <f>B50+B93+B136+B179+B222+B265+B308+B351+B394+B437</f>
        <v/>
      </c>
      <c r="C474" s="189">
        <f>C50+C93+C136+C179+C222+C265+C308+C351+C394+C437</f>
        <v/>
      </c>
      <c r="D474" s="189">
        <f>D50+D93+D136+D179+D222+D265+D308+D351+D394+D437</f>
        <v/>
      </c>
      <c r="E474" s="189">
        <f>E50+E93+E136+E179+E222+E265+E308+E351+E394+E437</f>
        <v/>
      </c>
      <c r="F474" s="189">
        <f>F50+F93+F136+F179+F222+F265+F308+F351+F394+F437</f>
        <v/>
      </c>
      <c r="G474" s="189">
        <f>G50+G93+G136+G179+G222+G265+G308+G351+G394+G437</f>
        <v/>
      </c>
      <c r="H474" s="189">
        <f>H50+H93+H136+H179+H222+H265+H308+H351+H394+H437</f>
        <v/>
      </c>
      <c r="I474" s="10">
        <f>I50+I93+I136+I179+I222+I265+I308+I351+I394+I437</f>
        <v/>
      </c>
      <c r="J474" s="189">
        <f>J50+J93+J136+J179+J222+J265+J308+J351+J394+J437</f>
        <v/>
      </c>
      <c r="K474" s="189">
        <f>K50+K93+K136+K179+K222+K265+K308+K351+K394+K437</f>
        <v/>
      </c>
      <c r="L474" s="189">
        <f>L50+L93+L136+L179+L222+L265+L308+L351+L394+L437</f>
        <v/>
      </c>
      <c r="M474" s="189">
        <f>M50+M93+M136+M179+M222+M265+M308+M351+M394+M437</f>
        <v/>
      </c>
      <c r="N474" s="189">
        <f>N50+N93+N136+N179+N222+N265+N308+N351+N394+N437</f>
        <v/>
      </c>
      <c r="O474" s="189">
        <f>O50+O93+O136+O179+O222+O265+O308+O351+O394+O437</f>
        <v/>
      </c>
      <c r="P474" s="189">
        <f>P50+P93+P136+P179+P222+P265+P308+P351+P394+P437</f>
        <v/>
      </c>
      <c r="Q474" s="189">
        <f>Q50+Q93+Q136+Q179+Q222+Q265+Q308+Q351+Q394+Q437</f>
        <v/>
      </c>
      <c r="R474" s="189">
        <f>R50+R93+R136+R179+R222+R265+R308+R351+R394+R437</f>
        <v/>
      </c>
      <c r="S474" s="189">
        <f>S50+S93+S136+S179+S222+S265+S308+S351+S394+S437</f>
        <v/>
      </c>
      <c r="T474" s="189">
        <f>T50+T93+T136+T179+T222+T265+T308+T351+T394+T437</f>
        <v/>
      </c>
      <c r="U474" s="189">
        <f>U50+U93+U136+U179+U222+U265+U308+U351+U394+U437</f>
        <v/>
      </c>
      <c r="V474" s="189">
        <f>V50+V93+V136+V179+V222+V265+V308+V351+V394+V437</f>
        <v/>
      </c>
      <c r="W474" s="189">
        <f>W50+W93+W136+W179+W222+W265+W308+W351+W394+W437</f>
        <v/>
      </c>
      <c r="X474" s="189">
        <f>X50+X93+X136+X179+X222+X265+X308+X351+X394+X437</f>
        <v/>
      </c>
      <c r="Y474" s="189">
        <f>Y50+Y93+Y136+Y179+Y222+Y265+Y308+Y351+Y394+Y437</f>
        <v/>
      </c>
      <c r="Z474" s="189">
        <f>Z50+Z93+Z136+Z179+Z222+Z265+Z308+Z351+Z394+Z437</f>
        <v/>
      </c>
      <c r="AA474" s="189">
        <f>AA50+AA93+AA136+AA179+AA222+AA265+AA308+AA351+AA394+AA437</f>
        <v/>
      </c>
      <c r="AB474" s="189">
        <f>AB50+AB93+AB136+AB179+AB222+AB265+AB308+AB351+AB394+AB437</f>
        <v/>
      </c>
      <c r="AC474" s="189">
        <f>AC50+AC93+AC136+AC179+AC222+AC265+AC308+AC351+AC394+AC437</f>
        <v/>
      </c>
      <c r="AD474" s="189">
        <f>AD50+AD93+AD136+AD179+AD222+AD265+AD308+AD351+AD394+AD437</f>
        <v/>
      </c>
      <c r="AE474" s="189">
        <f>AE50+AE93+AE136+AE179+AE222+AE265+AE308+AE351+AE394+AE437</f>
        <v/>
      </c>
      <c r="AF474" s="189">
        <f>AF50+AF93+AF136+AF179+AF222+AF265+AF308+AF351+AF394+AF437</f>
        <v/>
      </c>
      <c r="AG474" s="189">
        <f>AG50+AG93+AG136+AG179+AG222+AG265+AG308+AG351+AG394+AG437</f>
        <v/>
      </c>
      <c r="AH474" s="189">
        <f>AH50+AH93+AH136+AH179+AH222+AH265+AH308+AH351+AH394+AH437</f>
        <v/>
      </c>
      <c r="AI474" s="51" t="inlineStr">
        <is>
          <t>U3Y</t>
        </is>
      </c>
    </row>
    <row r="475">
      <c r="B475" s="189">
        <f>B51+B94+B137+B180+B223+B266+B309+B352+B395+B438</f>
        <v/>
      </c>
      <c r="C475" s="189">
        <f>C51+C94+C137+C180+C223+C266+C309+C352+C395+C438</f>
        <v/>
      </c>
      <c r="D475" s="189">
        <f>D51+D94+D137+D180+D223+D266+D309+D352+D395+D438</f>
        <v/>
      </c>
      <c r="E475" s="189">
        <f>E51+E94+E137+E180+E223+E266+E309+E352+E395+E438</f>
        <v/>
      </c>
      <c r="F475" s="189">
        <f>F51+F94+F137+F180+F223+F266+F309+F352+F395+F438</f>
        <v/>
      </c>
      <c r="G475" s="189">
        <f>G51+G94+G137+G180+G223+G266+G309+G352+G395+G438</f>
        <v/>
      </c>
      <c r="H475" s="189">
        <f>H51+H94+H137+H180+H223+H266+H309+H352+H395+H438</f>
        <v/>
      </c>
      <c r="I475" s="189">
        <f>I51+I94+I137+I180+I223+I266+I309+I352+I395+I438</f>
        <v/>
      </c>
      <c r="J475" s="10">
        <f>J51+J94+J137+J180+J223+J266+J309+J352+J395+J438</f>
        <v/>
      </c>
      <c r="K475" s="189">
        <f>K51+K94+K137+K180+K223+K266+K309+K352+K395+K438</f>
        <v/>
      </c>
      <c r="L475" s="189">
        <f>L51+L94+L137+L180+L223+L266+L309+L352+L395+L438</f>
        <v/>
      </c>
      <c r="M475" s="189">
        <f>M51+M94+M137+M180+M223+M266+M309+M352+M395+M438</f>
        <v/>
      </c>
      <c r="N475" s="189">
        <f>N51+N94+N137+N180+N223+N266+N309+N352+N395+N438</f>
        <v/>
      </c>
      <c r="O475" s="189">
        <f>O51+O94+O137+O180+O223+O266+O309+O352+O395+O438</f>
        <v/>
      </c>
      <c r="P475" s="189">
        <f>P51+P94+P137+P180+P223+P266+P309+P352+P395+P438</f>
        <v/>
      </c>
      <c r="Q475" s="189">
        <f>Q51+Q94+Q137+Q180+Q223+Q266+Q309+Q352+Q395+Q438</f>
        <v/>
      </c>
      <c r="R475" s="189">
        <f>R51+R94+R137+R180+R223+R266+R309+R352+R395+R438</f>
        <v/>
      </c>
      <c r="S475" s="189">
        <f>S51+S94+S137+S180+S223+S266+S309+S352+S395+S438</f>
        <v/>
      </c>
      <c r="T475" s="189">
        <f>T51+T94+T137+T180+T223+T266+T309+T352+T395+T438</f>
        <v/>
      </c>
      <c r="U475" s="189">
        <f>U51+U94+U137+U180+U223+U266+U309+U352+U395+U438</f>
        <v/>
      </c>
      <c r="V475" s="189">
        <f>V51+V94+V137+V180+V223+V266+V309+V352+V395+V438</f>
        <v/>
      </c>
      <c r="W475" s="189">
        <f>W51+W94+W137+W180+W223+W266+W309+W352+W395+W438</f>
        <v/>
      </c>
      <c r="X475" s="189">
        <f>X51+X94+X137+X180+X223+X266+X309+X352+X395+X438</f>
        <v/>
      </c>
      <c r="Y475" s="189">
        <f>Y51+Y94+Y137+Y180+Y223+Y266+Y309+Y352+Y395+Y438</f>
        <v/>
      </c>
      <c r="Z475" s="189">
        <f>Z51+Z94+Z137+Z180+Z223+Z266+Z309+Z352+Z395+Z438</f>
        <v/>
      </c>
      <c r="AA475" s="189">
        <f>AA51+AA94+AA137+AA180+AA223+AA266+AA309+AA352+AA395+AA438</f>
        <v/>
      </c>
      <c r="AB475" s="189">
        <f>AB51+AB94+AB137+AB180+AB223+AB266+AB309+AB352+AB395+AB438</f>
        <v/>
      </c>
      <c r="AC475" s="189">
        <f>AC51+AC94+AC137+AC180+AC223+AC266+AC309+AC352+AC395+AC438</f>
        <v/>
      </c>
      <c r="AD475" s="189">
        <f>AD51+AD94+AD137+AD180+AD223+AD266+AD309+AD352+AD395+AD438</f>
        <v/>
      </c>
      <c r="AE475" s="189">
        <f>AE51+AE94+AE137+AE180+AE223+AE266+AE309+AE352+AE395+AE438</f>
        <v/>
      </c>
      <c r="AF475" s="189">
        <f>AF51+AF94+AF137+AF180+AF223+AF266+AF309+AF352+AF395+AF438</f>
        <v/>
      </c>
      <c r="AG475" s="189">
        <f>AG51+AG94+AG137+AG180+AG223+AG266+AG309+AG352+AG395+AG438</f>
        <v/>
      </c>
      <c r="AH475" s="189">
        <f>AH51+AH94+AH137+AH180+AH223+AH266+AH309+AH352+AH395+AH438</f>
        <v/>
      </c>
      <c r="AI475" s="51" t="inlineStr">
        <is>
          <t>U3θ</t>
        </is>
      </c>
    </row>
    <row r="476">
      <c r="B476" s="189">
        <f>B52+B95+B138+B181+B224+B267+B310+B353+B396+B439</f>
        <v/>
      </c>
      <c r="C476" s="189">
        <f>C52+C95+C138+C181+C224+C267+C310+C353+C396+C439</f>
        <v/>
      </c>
      <c r="D476" s="189">
        <f>D52+D95+D138+D181+D224+D267+D310+D353+D396+D439</f>
        <v/>
      </c>
      <c r="E476" s="189">
        <f>E52+E95+E138+E181+E224+E267+E310+E353+E396+E439</f>
        <v/>
      </c>
      <c r="F476" s="189">
        <f>F52+F95+F138+F181+F224+F267+F310+F353+F396+F439</f>
        <v/>
      </c>
      <c r="G476" s="189">
        <f>G52+G95+G138+G181+G224+G267+G310+G353+G396+G439</f>
        <v/>
      </c>
      <c r="H476" s="189">
        <f>H52+H95+H138+H181+H224+H267+H310+H353+H396+H439</f>
        <v/>
      </c>
      <c r="I476" s="189">
        <f>I52+I95+I138+I181+I224+I267+I310+I353+I396+I439</f>
        <v/>
      </c>
      <c r="J476" s="189">
        <f>J52+J95+J138+J181+J224+J267+J310+J353+J396+J439</f>
        <v/>
      </c>
      <c r="K476" s="10">
        <f>K52+K95+K138+K181+K224+K267+K310+K353+K396+K439</f>
        <v/>
      </c>
      <c r="L476" s="189">
        <f>L52+L95+L138+L181+L224+L267+L310+L353+L396+L439</f>
        <v/>
      </c>
      <c r="M476" s="189">
        <f>M52+M95+M138+M181+M224+M267+M310+M353+M396+M439</f>
        <v/>
      </c>
      <c r="N476" s="189">
        <f>N52+N95+N138+N181+N224+N267+N310+N353+N396+N439</f>
        <v/>
      </c>
      <c r="O476" s="189">
        <f>O52+O95+O138+O181+O224+O267+O310+O353+O396+O439</f>
        <v/>
      </c>
      <c r="P476" s="189">
        <f>P52+P95+P138+P181+P224+P267+P310+P353+P396+P439</f>
        <v/>
      </c>
      <c r="Q476" s="189">
        <f>Q52+Q95+Q138+Q181+Q224+Q267+Q310+Q353+Q396+Q439</f>
        <v/>
      </c>
      <c r="R476" s="189">
        <f>R52+R95+R138+R181+R224+R267+R310+R353+R396+R439</f>
        <v/>
      </c>
      <c r="S476" s="189">
        <f>S52+S95+S138+S181+S224+S267+S310+S353+S396+S439</f>
        <v/>
      </c>
      <c r="T476" s="189">
        <f>T52+T95+T138+T181+T224+T267+T310+T353+T396+T439</f>
        <v/>
      </c>
      <c r="U476" s="189">
        <f>U52+U95+U138+U181+U224+U267+U310+U353+U396+U439</f>
        <v/>
      </c>
      <c r="V476" s="189">
        <f>V52+V95+V138+V181+V224+V267+V310+V353+V396+V439</f>
        <v/>
      </c>
      <c r="W476" s="189">
        <f>W52+W95+W138+W181+W224+W267+W310+W353+W396+W439</f>
        <v/>
      </c>
      <c r="X476" s="189">
        <f>X52+X95+X138+X181+X224+X267+X310+X353+X396+X439</f>
        <v/>
      </c>
      <c r="Y476" s="189">
        <f>Y52+Y95+Y138+Y181+Y224+Y267+Y310+Y353+Y396+Y439</f>
        <v/>
      </c>
      <c r="Z476" s="189">
        <f>Z52+Z95+Z138+Z181+Z224+Z267+Z310+Z353+Z396+Z439</f>
        <v/>
      </c>
      <c r="AA476" s="189">
        <f>AA52+AA95+AA138+AA181+AA224+AA267+AA310+AA353+AA396+AA439</f>
        <v/>
      </c>
      <c r="AB476" s="189">
        <f>AB52+AB95+AB138+AB181+AB224+AB267+AB310+AB353+AB396+AB439</f>
        <v/>
      </c>
      <c r="AC476" s="189">
        <f>AC52+AC95+AC138+AC181+AC224+AC267+AC310+AC353+AC396+AC439</f>
        <v/>
      </c>
      <c r="AD476" s="189">
        <f>AD52+AD95+AD138+AD181+AD224+AD267+AD310+AD353+AD396+AD439</f>
        <v/>
      </c>
      <c r="AE476" s="189">
        <f>AE52+AE95+AE138+AE181+AE224+AE267+AE310+AE353+AE396+AE439</f>
        <v/>
      </c>
      <c r="AF476" s="189">
        <f>AF52+AF95+AF138+AF181+AF224+AF267+AF310+AF353+AF396+AF439</f>
        <v/>
      </c>
      <c r="AG476" s="189">
        <f>AG52+AG95+AG138+AG181+AG224+AG267+AG310+AG353+AG396+AG439</f>
        <v/>
      </c>
      <c r="AH476" s="189">
        <f>AH52+AH95+AH138+AH181+AH224+AH267+AH310+AH353+AH396+AH439</f>
        <v/>
      </c>
      <c r="AI476" s="51" t="inlineStr">
        <is>
          <t>U4X</t>
        </is>
      </c>
    </row>
    <row r="477">
      <c r="B477" s="189">
        <f>B53+B96+B139+B182+B225+B268+B311+B354+B397+B440</f>
        <v/>
      </c>
      <c r="C477" s="189">
        <f>C53+C96+C139+C182+C225+C268+C311+C354+C397+C440</f>
        <v/>
      </c>
      <c r="D477" s="189">
        <f>D53+D96+D139+D182+D225+D268+D311+D354+D397+D440</f>
        <v/>
      </c>
      <c r="E477" s="189">
        <f>E53+E96+E139+E182+E225+E268+E311+E354+E397+E440</f>
        <v/>
      </c>
      <c r="F477" s="189">
        <f>F53+F96+F139+F182+F225+F268+F311+F354+F397+F440</f>
        <v/>
      </c>
      <c r="G477" s="189">
        <f>G53+G96+G139+G182+G225+G268+G311+G354+G397+G440</f>
        <v/>
      </c>
      <c r="H477" s="189">
        <f>H53+H96+H139+H182+H225+H268+H311+H354+H397+H440</f>
        <v/>
      </c>
      <c r="I477" s="189">
        <f>I53+I96+I139+I182+I225+I268+I311+I354+I397+I440</f>
        <v/>
      </c>
      <c r="J477" s="189">
        <f>J53+J96+J139+J182+J225+J268+J311+J354+J397+J440</f>
        <v/>
      </c>
      <c r="K477" s="189">
        <f>K53+K96+K139+K182+K225+K268+K311+K354+K397+K440</f>
        <v/>
      </c>
      <c r="L477" s="10">
        <f>L53+L96+L139+L182+L225+L268+L311+L354+L397+L440</f>
        <v/>
      </c>
      <c r="M477" s="189">
        <f>M53+M96+M139+M182+M225+M268+M311+M354+M397+M440</f>
        <v/>
      </c>
      <c r="N477" s="189">
        <f>N53+N96+N139+N182+N225+N268+N311+N354+N397+N440</f>
        <v/>
      </c>
      <c r="O477" s="189">
        <f>O53+O96+O139+O182+O225+O268+O311+O354+O397+O440</f>
        <v/>
      </c>
      <c r="P477" s="189">
        <f>P53+P96+P139+P182+P225+P268+P311+P354+P397+P440</f>
        <v/>
      </c>
      <c r="Q477" s="189">
        <f>Q53+Q96+Q139+Q182+Q225+Q268+Q311+Q354+Q397+Q440</f>
        <v/>
      </c>
      <c r="R477" s="189">
        <f>R53+R96+R139+R182+R225+R268+R311+R354+R397+R440</f>
        <v/>
      </c>
      <c r="S477" s="189">
        <f>S53+S96+S139+S182+S225+S268+S311+S354+S397+S440</f>
        <v/>
      </c>
      <c r="T477" s="189">
        <f>T53+T96+T139+T182+T225+T268+T311+T354+T397+T440</f>
        <v/>
      </c>
      <c r="U477" s="189">
        <f>U53+U96+U139+U182+U225+U268+U311+U354+U397+U440</f>
        <v/>
      </c>
      <c r="V477" s="189">
        <f>V53+V96+V139+V182+V225+V268+V311+V354+V397+V440</f>
        <v/>
      </c>
      <c r="W477" s="189">
        <f>W53+W96+W139+W182+W225+W268+W311+W354+W397+W440</f>
        <v/>
      </c>
      <c r="X477" s="189">
        <f>X53+X96+X139+X182+X225+X268+X311+X354+X397+X440</f>
        <v/>
      </c>
      <c r="Y477" s="189">
        <f>Y53+Y96+Y139+Y182+Y225+Y268+Y311+Y354+Y397+Y440</f>
        <v/>
      </c>
      <c r="Z477" s="189">
        <f>Z53+Z96+Z139+Z182+Z225+Z268+Z311+Z354+Z397+Z440</f>
        <v/>
      </c>
      <c r="AA477" s="189">
        <f>AA53+AA96+AA139+AA182+AA225+AA268+AA311+AA354+AA397+AA440</f>
        <v/>
      </c>
      <c r="AB477" s="189">
        <f>AB53+AB96+AB139+AB182+AB225+AB268+AB311+AB354+AB397+AB440</f>
        <v/>
      </c>
      <c r="AC477" s="189">
        <f>AC53+AC96+AC139+AC182+AC225+AC268+AC311+AC354+AC397+AC440</f>
        <v/>
      </c>
      <c r="AD477" s="189">
        <f>AD53+AD96+AD139+AD182+AD225+AD268+AD311+AD354+AD397+AD440</f>
        <v/>
      </c>
      <c r="AE477" s="189">
        <f>AE53+AE96+AE139+AE182+AE225+AE268+AE311+AE354+AE397+AE440</f>
        <v/>
      </c>
      <c r="AF477" s="189">
        <f>AF53+AF96+AF139+AF182+AF225+AF268+AF311+AF354+AF397+AF440</f>
        <v/>
      </c>
      <c r="AG477" s="189">
        <f>AG53+AG96+AG139+AG182+AG225+AG268+AG311+AG354+AG397+AG440</f>
        <v/>
      </c>
      <c r="AH477" s="189">
        <f>AH53+AH96+AH139+AH182+AH225+AH268+AH311+AH354+AH397+AH440</f>
        <v/>
      </c>
      <c r="AI477" s="51" t="inlineStr">
        <is>
          <t>U4Y</t>
        </is>
      </c>
    </row>
    <row r="478">
      <c r="B478" s="189">
        <f>B54+B97+B140+B183+B226+B269+B312+B355+B398+B441</f>
        <v/>
      </c>
      <c r="C478" s="189">
        <f>C54+C97+C140+C183+C226+C269+C312+C355+C398+C441</f>
        <v/>
      </c>
      <c r="D478" s="189">
        <f>D54+D97+D140+D183+D226+D269+D312+D355+D398+D441</f>
        <v/>
      </c>
      <c r="E478" s="189">
        <f>E54+E97+E140+E183+E226+E269+E312+E355+E398+E441</f>
        <v/>
      </c>
      <c r="F478" s="189">
        <f>F54+F97+F140+F183+F226+F269+F312+F355+F398+F441</f>
        <v/>
      </c>
      <c r="G478" s="189">
        <f>G54+G97+G140+G183+G226+G269+G312+G355+G398+G441</f>
        <v/>
      </c>
      <c r="H478" s="189">
        <f>H54+H97+H140+H183+H226+H269+H312+H355+H398+H441</f>
        <v/>
      </c>
      <c r="I478" s="189">
        <f>I54+I97+I140+I183+I226+I269+I312+I355+I398+I441</f>
        <v/>
      </c>
      <c r="J478" s="189">
        <f>J54+J97+J140+J183+J226+J269+J312+J355+J398+J441</f>
        <v/>
      </c>
      <c r="K478" s="189">
        <f>K54+K97+K140+K183+K226+K269+K312+K355+K398+K441</f>
        <v/>
      </c>
      <c r="L478" s="189">
        <f>L54+L97+L140+L183+L226+L269+L312+L355+L398+L441</f>
        <v/>
      </c>
      <c r="M478" s="10">
        <f>M54+M97+M140+M183+M226+M269+M312+M355+M398+M441</f>
        <v/>
      </c>
      <c r="N478" s="189">
        <f>N54+N97+N140+N183+N226+N269+N312+N355+N398+N441</f>
        <v/>
      </c>
      <c r="O478" s="189">
        <f>O54+O97+O140+O183+O226+O269+O312+O355+O398+O441</f>
        <v/>
      </c>
      <c r="P478" s="189">
        <f>P54+P97+P140+P183+P226+P269+P312+P355+P398+P441</f>
        <v/>
      </c>
      <c r="Q478" s="189">
        <f>Q54+Q97+Q140+Q183+Q226+Q269+Q312+Q355+Q398+Q441</f>
        <v/>
      </c>
      <c r="R478" s="189">
        <f>R54+R97+R140+R183+R226+R269+R312+R355+R398+R441</f>
        <v/>
      </c>
      <c r="S478" s="189">
        <f>S54+S97+S140+S183+S226+S269+S312+S355+S398+S441</f>
        <v/>
      </c>
      <c r="T478" s="189">
        <f>T54+T97+T140+T183+T226+T269+T312+T355+T398+T441</f>
        <v/>
      </c>
      <c r="U478" s="189">
        <f>U54+U97+U140+U183+U226+U269+U312+U355+U398+U441</f>
        <v/>
      </c>
      <c r="V478" s="189">
        <f>V54+V97+V140+V183+V226+V269+V312+V355+V398+V441</f>
        <v/>
      </c>
      <c r="W478" s="189">
        <f>W54+W97+W140+W183+W226+W269+W312+W355+W398+W441</f>
        <v/>
      </c>
      <c r="X478" s="189">
        <f>X54+X97+X140+X183+X226+X269+X312+X355+X398+X441</f>
        <v/>
      </c>
      <c r="Y478" s="189">
        <f>Y54+Y97+Y140+Y183+Y226+Y269+Y312+Y355+Y398+Y441</f>
        <v/>
      </c>
      <c r="Z478" s="189">
        <f>Z54+Z97+Z140+Z183+Z226+Z269+Z312+Z355+Z398+Z441</f>
        <v/>
      </c>
      <c r="AA478" s="189">
        <f>AA54+AA97+AA140+AA183+AA226+AA269+AA312+AA355+AA398+AA441</f>
        <v/>
      </c>
      <c r="AB478" s="189">
        <f>AB54+AB97+AB140+AB183+AB226+AB269+AB312+AB355+AB398+AB441</f>
        <v/>
      </c>
      <c r="AC478" s="189">
        <f>AC54+AC97+AC140+AC183+AC226+AC269+AC312+AC355+AC398+AC441</f>
        <v/>
      </c>
      <c r="AD478" s="189">
        <f>AD54+AD97+AD140+AD183+AD226+AD269+AD312+AD355+AD398+AD441</f>
        <v/>
      </c>
      <c r="AE478" s="189">
        <f>AE54+AE97+AE140+AE183+AE226+AE269+AE312+AE355+AE398+AE441</f>
        <v/>
      </c>
      <c r="AF478" s="189">
        <f>AF54+AF97+AF140+AF183+AF226+AF269+AF312+AF355+AF398+AF441</f>
        <v/>
      </c>
      <c r="AG478" s="189">
        <f>AG54+AG97+AG140+AG183+AG226+AG269+AG312+AG355+AG398+AG441</f>
        <v/>
      </c>
      <c r="AH478" s="189">
        <f>AH54+AH97+AH140+AH183+AH226+AH269+AH312+AH355+AH398+AH441</f>
        <v/>
      </c>
      <c r="AI478" s="51" t="inlineStr">
        <is>
          <t>U4θ</t>
        </is>
      </c>
    </row>
    <row r="479">
      <c r="B479" s="189">
        <f>B55+B98+B141+B184+B227+B270+B313+B356+B399+B442</f>
        <v/>
      </c>
      <c r="C479" s="189">
        <f>C55+C98+C141+C184+C227+C270+C313+C356+C399+C442</f>
        <v/>
      </c>
      <c r="D479" s="189">
        <f>D55+D98+D141+D184+D227+D270+D313+D356+D399+D442</f>
        <v/>
      </c>
      <c r="E479" s="189">
        <f>E55+E98+E141+E184+E227+E270+E313+E356+E399+E442</f>
        <v/>
      </c>
      <c r="F479" s="189">
        <f>F55+F98+F141+F184+F227+F270+F313+F356+F399+F442</f>
        <v/>
      </c>
      <c r="G479" s="189">
        <f>G55+G98+G141+G184+G227+G270+G313+G356+G399+G442</f>
        <v/>
      </c>
      <c r="H479" s="189">
        <f>H55+H98+H141+H184+H227+H270+H313+H356+H399+H442</f>
        <v/>
      </c>
      <c r="I479" s="189">
        <f>I55+I98+I141+I184+I227+I270+I313+I356+I399+I442</f>
        <v/>
      </c>
      <c r="J479" s="189">
        <f>J55+J98+J141+J184+J227+J270+J313+J356+J399+J442</f>
        <v/>
      </c>
      <c r="K479" s="189">
        <f>K55+K98+K141+K184+K227+K270+K313+K356+K399+K442</f>
        <v/>
      </c>
      <c r="L479" s="189">
        <f>L55+L98+L141+L184+L227+L270+L313+L356+L399+L442</f>
        <v/>
      </c>
      <c r="M479" s="189">
        <f>M55+M98+M141+M184+M227+M270+M313+M356+M399+M442</f>
        <v/>
      </c>
      <c r="N479" s="10">
        <f>N55+N98+N141+N184+N227+N270+N313+N356+N399+N442</f>
        <v/>
      </c>
      <c r="O479" s="189">
        <f>O55+O98+O141+O184+O227+O270+O313+O356+O399+O442</f>
        <v/>
      </c>
      <c r="P479" s="189">
        <f>P55+P98+P141+P184+P227+P270+P313+P356+P399+P442</f>
        <v/>
      </c>
      <c r="Q479" s="189">
        <f>Q55+Q98+Q141+Q184+Q227+Q270+Q313+Q356+Q399+Q442</f>
        <v/>
      </c>
      <c r="R479" s="189">
        <f>R55+R98+R141+R184+R227+R270+R313+R356+R399+R442</f>
        <v/>
      </c>
      <c r="S479" s="189">
        <f>S55+S98+S141+S184+S227+S270+S313+S356+S399+S442</f>
        <v/>
      </c>
      <c r="T479" s="189">
        <f>T55+T98+T141+T184+T227+T270+T313+T356+T399+T442</f>
        <v/>
      </c>
      <c r="U479" s="189">
        <f>U55+U98+U141+U184+U227+U270+U313+U356+U399+U442</f>
        <v/>
      </c>
      <c r="V479" s="189">
        <f>V55+V98+V141+V184+V227+V270+V313+V356+V399+V442</f>
        <v/>
      </c>
      <c r="W479" s="189">
        <f>W55+W98+W141+W184+W227+W270+W313+W356+W399+W442</f>
        <v/>
      </c>
      <c r="X479" s="189">
        <f>X55+X98+X141+X184+X227+X270+X313+X356+X399+X442</f>
        <v/>
      </c>
      <c r="Y479" s="189">
        <f>Y55+Y98+Y141+Y184+Y227+Y270+Y313+Y356+Y399+Y442</f>
        <v/>
      </c>
      <c r="Z479" s="189">
        <f>Z55+Z98+Z141+Z184+Z227+Z270+Z313+Z356+Z399+Z442</f>
        <v/>
      </c>
      <c r="AA479" s="189">
        <f>AA55+AA98+AA141+AA184+AA227+AA270+AA313+AA356+AA399+AA442</f>
        <v/>
      </c>
      <c r="AB479" s="189">
        <f>AB55+AB98+AB141+AB184+AB227+AB270+AB313+AB356+AB399+AB442</f>
        <v/>
      </c>
      <c r="AC479" s="189">
        <f>AC55+AC98+AC141+AC184+AC227+AC270+AC313+AC356+AC399+AC442</f>
        <v/>
      </c>
      <c r="AD479" s="189">
        <f>AD55+AD98+AD141+AD184+AD227+AD270+AD313+AD356+AD399+AD442</f>
        <v/>
      </c>
      <c r="AE479" s="189">
        <f>AE55+AE98+AE141+AE184+AE227+AE270+AE313+AE356+AE399+AE442</f>
        <v/>
      </c>
      <c r="AF479" s="189">
        <f>AF55+AF98+AF141+AF184+AF227+AF270+AF313+AF356+AF399+AF442</f>
        <v/>
      </c>
      <c r="AG479" s="189">
        <f>AG55+AG98+AG141+AG184+AG227+AG270+AG313+AG356+AG399+AG442</f>
        <v/>
      </c>
      <c r="AH479" s="189">
        <f>AH55+AH98+AH141+AH184+AH227+AH270+AH313+AH356+AH399+AH442</f>
        <v/>
      </c>
      <c r="AI479" s="51" t="inlineStr">
        <is>
          <t>U5X</t>
        </is>
      </c>
    </row>
    <row r="480">
      <c r="B480" s="189">
        <f>B56+B99+B142+B185+B228+B271+B314+B357+B400+B443</f>
        <v/>
      </c>
      <c r="C480" s="189">
        <f>C56+C99+C142+C185+C228+C271+C314+C357+C400+C443</f>
        <v/>
      </c>
      <c r="D480" s="189">
        <f>D56+D99+D142+D185+D228+D271+D314+D357+D400+D443</f>
        <v/>
      </c>
      <c r="E480" s="189">
        <f>E56+E99+E142+E185+E228+E271+E314+E357+E400+E443</f>
        <v/>
      </c>
      <c r="F480" s="189">
        <f>F56+F99+F142+F185+F228+F271+F314+F357+F400+F443</f>
        <v/>
      </c>
      <c r="G480" s="189">
        <f>G56+G99+G142+G185+G228+G271+G314+G357+G400+G443</f>
        <v/>
      </c>
      <c r="H480" s="189">
        <f>H56+H99+H142+H185+H228+H271+H314+H357+H400+H443</f>
        <v/>
      </c>
      <c r="I480" s="189">
        <f>I56+I99+I142+I185+I228+I271+I314+I357+I400+I443</f>
        <v/>
      </c>
      <c r="J480" s="189">
        <f>J56+J99+J142+J185+J228+J271+J314+J357+J400+J443</f>
        <v/>
      </c>
      <c r="K480" s="189">
        <f>K56+K99+K142+K185+K228+K271+K314+K357+K400+K443</f>
        <v/>
      </c>
      <c r="L480" s="189">
        <f>L56+L99+L142+L185+L228+L271+L314+L357+L400+L443</f>
        <v/>
      </c>
      <c r="M480" s="189">
        <f>M56+M99+M142+M185+M228+M271+M314+M357+M400+M443</f>
        <v/>
      </c>
      <c r="N480" s="189">
        <f>N56+N99+N142+N185+N228+N271+N314+N357+N400+N443</f>
        <v/>
      </c>
      <c r="O480" s="10">
        <f>O56+O99+O142+O185+O228+O271+O314+O357+O400+O443</f>
        <v/>
      </c>
      <c r="P480" s="189">
        <f>P56+P99+P142+P185+P228+P271+P314+P357+P400+P443</f>
        <v/>
      </c>
      <c r="Q480" s="189">
        <f>Q56+Q99+Q142+Q185+Q228+Q271+Q314+Q357+Q400+Q443</f>
        <v/>
      </c>
      <c r="R480" s="189">
        <f>R56+R99+R142+R185+R228+R271+R314+R357+R400+R443</f>
        <v/>
      </c>
      <c r="S480" s="189">
        <f>S56+S99+S142+S185+S228+S271+S314+S357+S400+S443</f>
        <v/>
      </c>
      <c r="T480" s="189">
        <f>T56+T99+T142+T185+T228+T271+T314+T357+T400+T443</f>
        <v/>
      </c>
      <c r="U480" s="189">
        <f>U56+U99+U142+U185+U228+U271+U314+U357+U400+U443</f>
        <v/>
      </c>
      <c r="V480" s="189">
        <f>V56+V99+V142+V185+V228+V271+V314+V357+V400+V443</f>
        <v/>
      </c>
      <c r="W480" s="189">
        <f>W56+W99+W142+W185+W228+W271+W314+W357+W400+W443</f>
        <v/>
      </c>
      <c r="X480" s="189">
        <f>X56+X99+X142+X185+X228+X271+X314+X357+X400+X443</f>
        <v/>
      </c>
      <c r="Y480" s="189">
        <f>Y56+Y99+Y142+Y185+Y228+Y271+Y314+Y357+Y400+Y443</f>
        <v/>
      </c>
      <c r="Z480" s="189">
        <f>Z56+Z99+Z142+Z185+Z228+Z271+Z314+Z357+Z400+Z443</f>
        <v/>
      </c>
      <c r="AA480" s="189">
        <f>AA56+AA99+AA142+AA185+AA228+AA271+AA314+AA357+AA400+AA443</f>
        <v/>
      </c>
      <c r="AB480" s="189">
        <f>AB56+AB99+AB142+AB185+AB228+AB271+AB314+AB357+AB400+AB443</f>
        <v/>
      </c>
      <c r="AC480" s="189">
        <f>AC56+AC99+AC142+AC185+AC228+AC271+AC314+AC357+AC400+AC443</f>
        <v/>
      </c>
      <c r="AD480" s="189">
        <f>AD56+AD99+AD142+AD185+AD228+AD271+AD314+AD357+AD400+AD443</f>
        <v/>
      </c>
      <c r="AE480" s="189">
        <f>AE56+AE99+AE142+AE185+AE228+AE271+AE314+AE357+AE400+AE443</f>
        <v/>
      </c>
      <c r="AF480" s="189">
        <f>AF56+AF99+AF142+AF185+AF228+AF271+AF314+AF357+AF400+AF443</f>
        <v/>
      </c>
      <c r="AG480" s="189">
        <f>AG56+AG99+AG142+AG185+AG228+AG271+AG314+AG357+AG400+AG443</f>
        <v/>
      </c>
      <c r="AH480" s="189">
        <f>AH56+AH99+AH142+AH185+AH228+AH271+AH314+AH357+AH400+AH443</f>
        <v/>
      </c>
      <c r="AI480" s="51" t="inlineStr">
        <is>
          <t>U5Y</t>
        </is>
      </c>
    </row>
    <row r="481">
      <c r="B481" s="189">
        <f>B57+B100+B143+B186+B229+B272+B315+B358+B401+B444</f>
        <v/>
      </c>
      <c r="C481" s="189">
        <f>C57+C100+C143+C186+C229+C272+C315+C358+C401+C444</f>
        <v/>
      </c>
      <c r="D481" s="189">
        <f>D57+D100+D143+D186+D229+D272+D315+D358+D401+D444</f>
        <v/>
      </c>
      <c r="E481" s="189">
        <f>E57+E100+E143+E186+E229+E272+E315+E358+E401+E444</f>
        <v/>
      </c>
      <c r="F481" s="189">
        <f>F57+F100+F143+F186+F229+F272+F315+F358+F401+F444</f>
        <v/>
      </c>
      <c r="G481" s="189">
        <f>G57+G100+G143+G186+G229+G272+G315+G358+G401+G444</f>
        <v/>
      </c>
      <c r="H481" s="189">
        <f>H57+H100+H143+H186+H229+H272+H315+H358+H401+H444</f>
        <v/>
      </c>
      <c r="I481" s="189">
        <f>I57+I100+I143+I186+I229+I272+I315+I358+I401+I444</f>
        <v/>
      </c>
      <c r="J481" s="189">
        <f>J57+J100+J143+J186+J229+J272+J315+J358+J401+J444</f>
        <v/>
      </c>
      <c r="K481" s="189">
        <f>K57+K100+K143+K186+K229+K272+K315+K358+K401+K444</f>
        <v/>
      </c>
      <c r="L481" s="189">
        <f>L57+L100+L143+L186+L229+L272+L315+L358+L401+L444</f>
        <v/>
      </c>
      <c r="M481" s="189">
        <f>M57+M100+M143+M186+M229+M272+M315+M358+M401+M444</f>
        <v/>
      </c>
      <c r="N481" s="189">
        <f>N57+N100+N143+N186+N229+N272+N315+N358+N401+N444</f>
        <v/>
      </c>
      <c r="O481" s="189">
        <f>O57+O100+O143+O186+O229+O272+O315+O358+O401+O444</f>
        <v/>
      </c>
      <c r="P481" s="10">
        <f>P57+P100+P143+P186+P229+P272+P315+P358+P401+P444</f>
        <v/>
      </c>
      <c r="Q481" s="189">
        <f>Q57+Q100+Q143+Q186+Q229+Q272+Q315+Q358+Q401+Q444</f>
        <v/>
      </c>
      <c r="R481" s="189">
        <f>R57+R100+R143+R186+R229+R272+R315+R358+R401+R444</f>
        <v/>
      </c>
      <c r="S481" s="189">
        <f>S57+S100+S143+S186+S229+S272+S315+S358+S401+S444</f>
        <v/>
      </c>
      <c r="T481" s="189">
        <f>T57+T100+T143+T186+T229+T272+T315+T358+T401+T444</f>
        <v/>
      </c>
      <c r="U481" s="189">
        <f>U57+U100+U143+U186+U229+U272+U315+U358+U401+U444</f>
        <v/>
      </c>
      <c r="V481" s="189">
        <f>V57+V100+V143+V186+V229+V272+V315+V358+V401+V444</f>
        <v/>
      </c>
      <c r="W481" s="189">
        <f>W57+W100+W143+W186+W229+W272+W315+W358+W401+W444</f>
        <v/>
      </c>
      <c r="X481" s="189">
        <f>X57+X100+X143+X186+X229+X272+X315+X358+X401+X444</f>
        <v/>
      </c>
      <c r="Y481" s="189">
        <f>Y57+Y100+Y143+Y186+Y229+Y272+Y315+Y358+Y401+Y444</f>
        <v/>
      </c>
      <c r="Z481" s="189">
        <f>Z57+Z100+Z143+Z186+Z229+Z272+Z315+Z358+Z401+Z444</f>
        <v/>
      </c>
      <c r="AA481" s="189">
        <f>AA57+AA100+AA143+AA186+AA229+AA272+AA315+AA358+AA401+AA444</f>
        <v/>
      </c>
      <c r="AB481" s="189">
        <f>AB57+AB100+AB143+AB186+AB229+AB272+AB315+AB358+AB401+AB444</f>
        <v/>
      </c>
      <c r="AC481" s="189">
        <f>AC57+AC100+AC143+AC186+AC229+AC272+AC315+AC358+AC401+AC444</f>
        <v/>
      </c>
      <c r="AD481" s="189">
        <f>AD57+AD100+AD143+AD186+AD229+AD272+AD315+AD358+AD401+AD444</f>
        <v/>
      </c>
      <c r="AE481" s="189">
        <f>AE57+AE100+AE143+AE186+AE229+AE272+AE315+AE358+AE401+AE444</f>
        <v/>
      </c>
      <c r="AF481" s="189">
        <f>AF57+AF100+AF143+AF186+AF229+AF272+AF315+AF358+AF401+AF444</f>
        <v/>
      </c>
      <c r="AG481" s="189">
        <f>AG57+AG100+AG143+AG186+AG229+AG272+AG315+AG358+AG401+AG444</f>
        <v/>
      </c>
      <c r="AH481" s="189">
        <f>AH57+AH100+AH143+AH186+AH229+AH272+AH315+AH358+AH401+AH444</f>
        <v/>
      </c>
      <c r="AI481" s="51" t="inlineStr">
        <is>
          <t>U5θ</t>
        </is>
      </c>
    </row>
    <row r="482">
      <c r="B482" s="189">
        <f>B58+B101+B144+B187+B230+B273+B316+B359+B402+B445</f>
        <v/>
      </c>
      <c r="C482" s="189">
        <f>C58+C101+C144+C187+C230+C273+C316+C359+C402+C445</f>
        <v/>
      </c>
      <c r="D482" s="189">
        <f>D58+D101+D144+D187+D230+D273+D316+D359+D402+D445</f>
        <v/>
      </c>
      <c r="E482" s="189">
        <f>E58+E101+E144+E187+E230+E273+E316+E359+E402+E445</f>
        <v/>
      </c>
      <c r="F482" s="189">
        <f>F58+F101+F144+F187+F230+F273+F316+F359+F402+F445</f>
        <v/>
      </c>
      <c r="G482" s="189">
        <f>G58+G101+G144+G187+G230+G273+G316+G359+G402+G445</f>
        <v/>
      </c>
      <c r="H482" s="189">
        <f>H58+H101+H144+H187+H230+H273+H316+H359+H402+H445</f>
        <v/>
      </c>
      <c r="I482" s="189">
        <f>I58+I101+I144+I187+I230+I273+I316+I359+I402+I445</f>
        <v/>
      </c>
      <c r="J482" s="189">
        <f>J58+J101+J144+J187+J230+J273+J316+J359+J402+J445</f>
        <v/>
      </c>
      <c r="K482" s="189">
        <f>K58+K101+K144+K187+K230+K273+K316+K359+K402+K445</f>
        <v/>
      </c>
      <c r="L482" s="189">
        <f>L58+L101+L144+L187+L230+L273+L316+L359+L402+L445</f>
        <v/>
      </c>
      <c r="M482" s="189">
        <f>M58+M101+M144+M187+M230+M273+M316+M359+M402+M445</f>
        <v/>
      </c>
      <c r="N482" s="189">
        <f>N58+N101+N144+N187+N230+N273+N316+N359+N402+N445</f>
        <v/>
      </c>
      <c r="O482" s="189">
        <f>O58+O101+O144+O187+O230+O273+O316+O359+O402+O445</f>
        <v/>
      </c>
      <c r="P482" s="189">
        <f>P58+P101+P144+P187+P230+P273+P316+P359+P402+P445</f>
        <v/>
      </c>
      <c r="Q482" s="10">
        <f>Q58+Q101+Q144+Q187+Q230+Q273+Q316+Q359+Q402+Q445</f>
        <v/>
      </c>
      <c r="R482" s="189">
        <f>R58+R101+R144+R187+R230+R273+R316+R359+R402+R445</f>
        <v/>
      </c>
      <c r="S482" s="189">
        <f>S58+S101+S144+S187+S230+S273+S316+S359+S402+S445</f>
        <v/>
      </c>
      <c r="T482" s="189">
        <f>T58+T101+T144+T187+T230+T273+T316+T359+T402+T445</f>
        <v/>
      </c>
      <c r="U482" s="189">
        <f>U58+U101+U144+U187+U230+U273+U316+U359+U402+U445</f>
        <v/>
      </c>
      <c r="V482" s="189">
        <f>V58+V101+V144+V187+V230+V273+V316+V359+V402+V445</f>
        <v/>
      </c>
      <c r="W482" s="189">
        <f>W58+W101+W144+W187+W230+W273+W316+W359+W402+W445</f>
        <v/>
      </c>
      <c r="X482" s="189">
        <f>X58+X101+X144+X187+X230+X273+X316+X359+X402+X445</f>
        <v/>
      </c>
      <c r="Y482" s="189">
        <f>Y58+Y101+Y144+Y187+Y230+Y273+Y316+Y359+Y402+Y445</f>
        <v/>
      </c>
      <c r="Z482" s="189">
        <f>Z58+Z101+Z144+Z187+Z230+Z273+Z316+Z359+Z402+Z445</f>
        <v/>
      </c>
      <c r="AA482" s="189">
        <f>AA58+AA101+AA144+AA187+AA230+AA273+AA316+AA359+AA402+AA445</f>
        <v/>
      </c>
      <c r="AB482" s="189">
        <f>AB58+AB101+AB144+AB187+AB230+AB273+AB316+AB359+AB402+AB445</f>
        <v/>
      </c>
      <c r="AC482" s="189">
        <f>AC58+AC101+AC144+AC187+AC230+AC273+AC316+AC359+AC402+AC445</f>
        <v/>
      </c>
      <c r="AD482" s="189">
        <f>AD58+AD101+AD144+AD187+AD230+AD273+AD316+AD359+AD402+AD445</f>
        <v/>
      </c>
      <c r="AE482" s="189">
        <f>AE58+AE101+AE144+AE187+AE230+AE273+AE316+AE359+AE402+AE445</f>
        <v/>
      </c>
      <c r="AF482" s="189">
        <f>AF58+AF101+AF144+AF187+AF230+AF273+AF316+AF359+AF402+AF445</f>
        <v/>
      </c>
      <c r="AG482" s="189">
        <f>AG58+AG101+AG144+AG187+AG230+AG273+AG316+AG359+AG402+AG445</f>
        <v/>
      </c>
      <c r="AH482" s="189">
        <f>AH58+AH101+AH144+AH187+AH230+AH273+AH316+AH359+AH402+AH445</f>
        <v/>
      </c>
      <c r="AI482" s="51" t="inlineStr">
        <is>
          <t>U6X</t>
        </is>
      </c>
    </row>
    <row r="483">
      <c r="A483" s="118" t="inlineStr">
        <is>
          <t>Kviga =</t>
        </is>
      </c>
      <c r="B483" s="189">
        <f>B59+B102+B145+B188+B231+B274+B317+B360+B403+B446</f>
        <v/>
      </c>
      <c r="C483" s="189">
        <f>C59+C102+C145+C188+C231+C274+C317+C360+C403+C446</f>
        <v/>
      </c>
      <c r="D483" s="189">
        <f>D59+D102+D145+D188+D231+D274+D317+D360+D403+D446</f>
        <v/>
      </c>
      <c r="E483" s="189">
        <f>E59+E102+E145+E188+E231+E274+E317+E360+E403+E446</f>
        <v/>
      </c>
      <c r="F483" s="189">
        <f>F59+F102+F145+F188+F231+F274+F317+F360+F403+F446</f>
        <v/>
      </c>
      <c r="G483" s="189">
        <f>G59+G102+G145+G188+G231+G274+G317+G360+G403+G446</f>
        <v/>
      </c>
      <c r="H483" s="189">
        <f>H59+H102+H145+H188+H231+H274+H317+H360+H403+H446</f>
        <v/>
      </c>
      <c r="I483" s="189">
        <f>I59+I102+I145+I188+I231+I274+I317+I360+I403+I446</f>
        <v/>
      </c>
      <c r="J483" s="189">
        <f>J59+J102+J145+J188+J231+J274+J317+J360+J403+J446</f>
        <v/>
      </c>
      <c r="K483" s="189">
        <f>K59+K102+K145+K188+K231+K274+K317+K360+K403+K446</f>
        <v/>
      </c>
      <c r="L483" s="189">
        <f>L59+L102+L145+L188+L231+L274+L317+L360+L403+L446</f>
        <v/>
      </c>
      <c r="M483" s="189">
        <f>M59+M102+M145+M188+M231+M274+M317+M360+M403+M446</f>
        <v/>
      </c>
      <c r="N483" s="189">
        <f>N59+N102+N145+N188+N231+N274+N317+N360+N403+N446</f>
        <v/>
      </c>
      <c r="O483" s="189">
        <f>O59+O102+O145+O188+O231+O274+O317+O360+O403+O446</f>
        <v/>
      </c>
      <c r="P483" s="189">
        <f>P59+P102+P145+P188+P231+P274+P317+P360+P403+P446</f>
        <v/>
      </c>
      <c r="Q483" s="189">
        <f>Q59+Q102+Q145+Q188+Q231+Q274+Q317+Q360+Q403+Q446</f>
        <v/>
      </c>
      <c r="R483" s="10">
        <f>R59+R102+R145+R188+R231+R274+R317+R360+R403+R446</f>
        <v/>
      </c>
      <c r="S483" s="189">
        <f>S59+S102+S145+S188+S231+S274+S317+S360+S403+S446</f>
        <v/>
      </c>
      <c r="T483" s="189">
        <f>T59+T102+T145+T188+T231+T274+T317+T360+T403+T446</f>
        <v/>
      </c>
      <c r="U483" s="189">
        <f>U59+U102+U145+U188+U231+U274+U317+U360+U403+U446</f>
        <v/>
      </c>
      <c r="V483" s="189">
        <f>V59+V102+V145+V188+V231+V274+V317+V360+V403+V446</f>
        <v/>
      </c>
      <c r="W483" s="189">
        <f>W59+W102+W145+W188+W231+W274+W317+W360+W403+W446</f>
        <v/>
      </c>
      <c r="X483" s="189">
        <f>X59+X102+X145+X188+X231+X274+X317+X360+X403+X446</f>
        <v/>
      </c>
      <c r="Y483" s="189">
        <f>Y59+Y102+Y145+Y188+Y231+Y274+Y317+Y360+Y403+Y446</f>
        <v/>
      </c>
      <c r="Z483" s="189">
        <f>Z59+Z102+Z145+Z188+Z231+Z274+Z317+Z360+Z403+Z446</f>
        <v/>
      </c>
      <c r="AA483" s="189">
        <f>AA59+AA102+AA145+AA188+AA231+AA274+AA317+AA360+AA403+AA446</f>
        <v/>
      </c>
      <c r="AB483" s="189">
        <f>AB59+AB102+AB145+AB188+AB231+AB274+AB317+AB360+AB403+AB446</f>
        <v/>
      </c>
      <c r="AC483" s="189">
        <f>AC59+AC102+AC145+AC188+AC231+AC274+AC317+AC360+AC403+AC446</f>
        <v/>
      </c>
      <c r="AD483" s="189">
        <f>AD59+AD102+AD145+AD188+AD231+AD274+AD317+AD360+AD403+AD446</f>
        <v/>
      </c>
      <c r="AE483" s="189">
        <f>AE59+AE102+AE145+AE188+AE231+AE274+AE317+AE360+AE403+AE446</f>
        <v/>
      </c>
      <c r="AF483" s="189">
        <f>AF59+AF102+AF145+AF188+AF231+AF274+AF317+AF360+AF403+AF446</f>
        <v/>
      </c>
      <c r="AG483" s="189">
        <f>AG59+AG102+AG145+AG188+AG231+AG274+AG317+AG360+AG403+AG446</f>
        <v/>
      </c>
      <c r="AH483" s="189">
        <f>AH59+AH102+AH145+AH188+AH231+AH274+AH317+AH360+AH403+AH446</f>
        <v/>
      </c>
      <c r="AI483" s="51" t="inlineStr">
        <is>
          <t>U6Y</t>
        </is>
      </c>
    </row>
    <row r="484">
      <c r="B484" s="189">
        <f>B60+B103+B146+B189+B232+B275+B318+B361+B404+B447</f>
        <v/>
      </c>
      <c r="C484" s="189">
        <f>C60+C103+C146+C189+C232+C275+C318+C361+C404+C447</f>
        <v/>
      </c>
      <c r="D484" s="189">
        <f>D60+D103+D146+D189+D232+D275+D318+D361+D404+D447</f>
        <v/>
      </c>
      <c r="E484" s="189">
        <f>E60+E103+E146+E189+E232+E275+E318+E361+E404+E447</f>
        <v/>
      </c>
      <c r="F484" s="189">
        <f>F60+F103+F146+F189+F232+F275+F318+F361+F404+F447</f>
        <v/>
      </c>
      <c r="G484" s="189">
        <f>G60+G103+G146+G189+G232+G275+G318+G361+G404+G447</f>
        <v/>
      </c>
      <c r="H484" s="189">
        <f>H60+H103+H146+H189+H232+H275+H318+H361+H404+H447</f>
        <v/>
      </c>
      <c r="I484" s="189">
        <f>I60+I103+I146+I189+I232+I275+I318+I361+I404+I447</f>
        <v/>
      </c>
      <c r="J484" s="189">
        <f>J60+J103+J146+J189+J232+J275+J318+J361+J404+J447</f>
        <v/>
      </c>
      <c r="K484" s="189">
        <f>K60+K103+K146+K189+K232+K275+K318+K361+K404+K447</f>
        <v/>
      </c>
      <c r="L484" s="189">
        <f>L60+L103+L146+L189+L232+L275+L318+L361+L404+L447</f>
        <v/>
      </c>
      <c r="M484" s="189">
        <f>M60+M103+M146+M189+M232+M275+M318+M361+M404+M447</f>
        <v/>
      </c>
      <c r="N484" s="189">
        <f>N60+N103+N146+N189+N232+N275+N318+N361+N404+N447</f>
        <v/>
      </c>
      <c r="O484" s="189">
        <f>O60+O103+O146+O189+O232+O275+O318+O361+O404+O447</f>
        <v/>
      </c>
      <c r="P484" s="189">
        <f>P60+P103+P146+P189+P232+P275+P318+P361+P404+P447</f>
        <v/>
      </c>
      <c r="Q484" s="189">
        <f>Q60+Q103+Q146+Q189+Q232+Q275+Q318+Q361+Q404+Q447</f>
        <v/>
      </c>
      <c r="R484" s="189">
        <f>R60+R103+R146+R189+R232+R275+R318+R361+R404+R447</f>
        <v/>
      </c>
      <c r="S484" s="10">
        <f>S60+S103+S146+S189+S232+S275+S318+S361+S404+S447</f>
        <v/>
      </c>
      <c r="T484" s="189">
        <f>T60+T103+T146+T189+T232+T275+T318+T361+T404+T447</f>
        <v/>
      </c>
      <c r="U484" s="189">
        <f>U60+U103+U146+U189+U232+U275+U318+U361+U404+U447</f>
        <v/>
      </c>
      <c r="V484" s="189">
        <f>V60+V103+V146+V189+V232+V275+V318+V361+V404+V447</f>
        <v/>
      </c>
      <c r="W484" s="189">
        <f>W60+W103+W146+W189+W232+W275+W318+W361+W404+W447</f>
        <v/>
      </c>
      <c r="X484" s="189">
        <f>X60+X103+X146+X189+X232+X275+X318+X361+X404+X447</f>
        <v/>
      </c>
      <c r="Y484" s="189">
        <f>Y60+Y103+Y146+Y189+Y232+Y275+Y318+Y361+Y404+Y447</f>
        <v/>
      </c>
      <c r="Z484" s="189">
        <f>Z60+Z103+Z146+Z189+Z232+Z275+Z318+Z361+Z404+Z447</f>
        <v/>
      </c>
      <c r="AA484" s="189">
        <f>AA60+AA103+AA146+AA189+AA232+AA275+AA318+AA361+AA404+AA447</f>
        <v/>
      </c>
      <c r="AB484" s="189">
        <f>AB60+AB103+AB146+AB189+AB232+AB275+AB318+AB361+AB404+AB447</f>
        <v/>
      </c>
      <c r="AC484" s="189">
        <f>AC60+AC103+AC146+AC189+AC232+AC275+AC318+AC361+AC404+AC447</f>
        <v/>
      </c>
      <c r="AD484" s="189">
        <f>AD60+AD103+AD146+AD189+AD232+AD275+AD318+AD361+AD404+AD447</f>
        <v/>
      </c>
      <c r="AE484" s="189">
        <f>AE60+AE103+AE146+AE189+AE232+AE275+AE318+AE361+AE404+AE447</f>
        <v/>
      </c>
      <c r="AF484" s="189">
        <f>AF60+AF103+AF146+AF189+AF232+AF275+AF318+AF361+AF404+AF447</f>
        <v/>
      </c>
      <c r="AG484" s="189">
        <f>AG60+AG103+AG146+AG189+AG232+AG275+AG318+AG361+AG404+AG447</f>
        <v/>
      </c>
      <c r="AH484" s="189">
        <f>AH60+AH103+AH146+AH189+AH232+AH275+AH318+AH361+AH404+AH447</f>
        <v/>
      </c>
      <c r="AI484" s="51" t="inlineStr">
        <is>
          <t>U6θ</t>
        </is>
      </c>
    </row>
    <row r="485">
      <c r="B485" s="189">
        <f>B61+B104+B147+B190+B233+B276+B319+B362+B405+B448</f>
        <v/>
      </c>
      <c r="C485" s="189">
        <f>C61+C104+C147+C190+C233+C276+C319+C362+C405+C448</f>
        <v/>
      </c>
      <c r="D485" s="189">
        <f>D61+D104+D147+D190+D233+D276+D319+D362+D405+D448</f>
        <v/>
      </c>
      <c r="E485" s="189">
        <f>E61+E104+E147+E190+E233+E276+E319+E362+E405+E448</f>
        <v/>
      </c>
      <c r="F485" s="189">
        <f>F61+F104+F147+F190+F233+F276+F319+F362+F405+F448</f>
        <v/>
      </c>
      <c r="G485" s="189">
        <f>G61+G104+G147+G190+G233+G276+G319+G362+G405+G448</f>
        <v/>
      </c>
      <c r="H485" s="189">
        <f>H61+H104+H147+H190+H233+H276+H319+H362+H405+H448</f>
        <v/>
      </c>
      <c r="I485" s="189">
        <f>I61+I104+I147+I190+I233+I276+I319+I362+I405+I448</f>
        <v/>
      </c>
      <c r="J485" s="189">
        <f>J61+J104+J147+J190+J233+J276+J319+J362+J405+J448</f>
        <v/>
      </c>
      <c r="K485" s="189">
        <f>K61+K104+K147+K190+K233+K276+K319+K362+K405+K448</f>
        <v/>
      </c>
      <c r="L485" s="189">
        <f>L61+L104+L147+L190+L233+L276+L319+L362+L405+L448</f>
        <v/>
      </c>
      <c r="M485" s="189">
        <f>M61+M104+M147+M190+M233+M276+M319+M362+M405+M448</f>
        <v/>
      </c>
      <c r="N485" s="189">
        <f>N61+N104+N147+N190+N233+N276+N319+N362+N405+N448</f>
        <v/>
      </c>
      <c r="O485" s="189">
        <f>O61+O104+O147+O190+O233+O276+O319+O362+O405+O448</f>
        <v/>
      </c>
      <c r="P485" s="189">
        <f>P61+P104+P147+P190+P233+P276+P319+P362+P405+P448</f>
        <v/>
      </c>
      <c r="Q485" s="189">
        <f>Q61+Q104+Q147+Q190+Q233+Q276+Q319+Q362+Q405+Q448</f>
        <v/>
      </c>
      <c r="R485" s="189">
        <f>R61+R104+R147+R190+R233+R276+R319+R362+R405+R448</f>
        <v/>
      </c>
      <c r="S485" s="189">
        <f>S61+S104+S147+S190+S233+S276+S319+S362+S405+S448</f>
        <v/>
      </c>
      <c r="T485" s="10">
        <f>T61+T104+T147+T190+T233+T276+T319+T362+T405+T448</f>
        <v/>
      </c>
      <c r="U485" s="189">
        <f>U61+U104+U147+U190+U233+U276+U319+U362+U405+U448</f>
        <v/>
      </c>
      <c r="V485" s="189">
        <f>V61+V104+V147+V190+V233+V276+V319+V362+V405+V448</f>
        <v/>
      </c>
      <c r="W485" s="189">
        <f>W61+W104+W147+W190+W233+W276+W319+W362+W405+W448</f>
        <v/>
      </c>
      <c r="X485" s="189">
        <f>X61+X104+X147+X190+X233+X276+X319+X362+X405+X448</f>
        <v/>
      </c>
      <c r="Y485" s="189">
        <f>Y61+Y104+Y147+Y190+Y233+Y276+Y319+Y362+Y405+Y448</f>
        <v/>
      </c>
      <c r="Z485" s="189">
        <f>Z61+Z104+Z147+Z190+Z233+Z276+Z319+Z362+Z405+Z448</f>
        <v/>
      </c>
      <c r="AA485" s="189">
        <f>AA61+AA104+AA147+AA190+AA233+AA276+AA319+AA362+AA405+AA448</f>
        <v/>
      </c>
      <c r="AB485" s="189">
        <f>AB61+AB104+AB147+AB190+AB233+AB276+AB319+AB362+AB405+AB448</f>
        <v/>
      </c>
      <c r="AC485" s="189">
        <f>AC61+AC104+AC147+AC190+AC233+AC276+AC319+AC362+AC405+AC448</f>
        <v/>
      </c>
      <c r="AD485" s="189">
        <f>AD61+AD104+AD147+AD190+AD233+AD276+AD319+AD362+AD405+AD448</f>
        <v/>
      </c>
      <c r="AE485" s="189">
        <f>AE61+AE104+AE147+AE190+AE233+AE276+AE319+AE362+AE405+AE448</f>
        <v/>
      </c>
      <c r="AF485" s="189">
        <f>AF61+AF104+AF147+AF190+AF233+AF276+AF319+AF362+AF405+AF448</f>
        <v/>
      </c>
      <c r="AG485" s="189">
        <f>AG61+AG104+AG147+AG190+AG233+AG276+AG319+AG362+AG405+AG448</f>
        <v/>
      </c>
      <c r="AH485" s="189">
        <f>AH61+AH104+AH147+AH190+AH233+AH276+AH319+AH362+AH405+AH448</f>
        <v/>
      </c>
      <c r="AI485" s="51" t="inlineStr">
        <is>
          <t>U7X</t>
        </is>
      </c>
    </row>
    <row r="486">
      <c r="B486" s="189">
        <f>B62+B105+B148+B191+B234+B277+B320+B363+B406+B449</f>
        <v/>
      </c>
      <c r="C486" s="189">
        <f>C62+C105+C148+C191+C234+C277+C320+C363+C406+C449</f>
        <v/>
      </c>
      <c r="D486" s="189">
        <f>D62+D105+D148+D191+D234+D277+D320+D363+D406+D449</f>
        <v/>
      </c>
      <c r="E486" s="189">
        <f>E62+E105+E148+E191+E234+E277+E320+E363+E406+E449</f>
        <v/>
      </c>
      <c r="F486" s="189">
        <f>F62+F105+F148+F191+F234+F277+F320+F363+F406+F449</f>
        <v/>
      </c>
      <c r="G486" s="189">
        <f>G62+G105+G148+G191+G234+G277+G320+G363+G406+G449</f>
        <v/>
      </c>
      <c r="H486" s="189">
        <f>H62+H105+H148+H191+H234+H277+H320+H363+H406+H449</f>
        <v/>
      </c>
      <c r="I486" s="189">
        <f>I62+I105+I148+I191+I234+I277+I320+I363+I406+I449</f>
        <v/>
      </c>
      <c r="J486" s="189">
        <f>J62+J105+J148+J191+J234+J277+J320+J363+J406+J449</f>
        <v/>
      </c>
      <c r="K486" s="189">
        <f>K62+K105+K148+K191+K234+K277+K320+K363+K406+K449</f>
        <v/>
      </c>
      <c r="L486" s="189">
        <f>L62+L105+L148+L191+L234+L277+L320+L363+L406+L449</f>
        <v/>
      </c>
      <c r="M486" s="189">
        <f>M62+M105+M148+M191+M234+M277+M320+M363+M406+M449</f>
        <v/>
      </c>
      <c r="N486" s="189">
        <f>N62+N105+N148+N191+N234+N277+N320+N363+N406+N449</f>
        <v/>
      </c>
      <c r="O486" s="189">
        <f>O62+O105+O148+O191+O234+O277+O320+O363+O406+O449</f>
        <v/>
      </c>
      <c r="P486" s="189">
        <f>P62+P105+P148+P191+P234+P277+P320+P363+P406+P449</f>
        <v/>
      </c>
      <c r="Q486" s="189">
        <f>Q62+Q105+Q148+Q191+Q234+Q277+Q320+Q363+Q406+Q449</f>
        <v/>
      </c>
      <c r="R486" s="189">
        <f>R62+R105+R148+R191+R234+R277+R320+R363+R406+R449</f>
        <v/>
      </c>
      <c r="S486" s="189">
        <f>S62+S105+S148+S191+S234+S277+S320+S363+S406+S449</f>
        <v/>
      </c>
      <c r="T486" s="189">
        <f>T62+T105+T148+T191+T234+T277+T320+T363+T406+T449</f>
        <v/>
      </c>
      <c r="U486" s="10">
        <f>U62+U105+U148+U191+U234+U277+U320+U363+U406+U449</f>
        <v/>
      </c>
      <c r="V486" s="189">
        <f>V62+V105+V148+V191+V234+V277+V320+V363+V406+V449</f>
        <v/>
      </c>
      <c r="W486" s="189">
        <f>W62+W105+W148+W191+W234+W277+W320+W363+W406+W449</f>
        <v/>
      </c>
      <c r="X486" s="189">
        <f>X62+X105+X148+X191+X234+X277+X320+X363+X406+X449</f>
        <v/>
      </c>
      <c r="Y486" s="189">
        <f>Y62+Y105+Y148+Y191+Y234+Y277+Y320+Y363+Y406+Y449</f>
        <v/>
      </c>
      <c r="Z486" s="189">
        <f>Z62+Z105+Z148+Z191+Z234+Z277+Z320+Z363+Z406+Z449</f>
        <v/>
      </c>
      <c r="AA486" s="189">
        <f>AA62+AA105+AA148+AA191+AA234+AA277+AA320+AA363+AA406+AA449</f>
        <v/>
      </c>
      <c r="AB486" s="189">
        <f>AB62+AB105+AB148+AB191+AB234+AB277+AB320+AB363+AB406+AB449</f>
        <v/>
      </c>
      <c r="AC486" s="189">
        <f>AC62+AC105+AC148+AC191+AC234+AC277+AC320+AC363+AC406+AC449</f>
        <v/>
      </c>
      <c r="AD486" s="189">
        <f>AD62+AD105+AD148+AD191+AD234+AD277+AD320+AD363+AD406+AD449</f>
        <v/>
      </c>
      <c r="AE486" s="189">
        <f>AE62+AE105+AE148+AE191+AE234+AE277+AE320+AE363+AE406+AE449</f>
        <v/>
      </c>
      <c r="AF486" s="189">
        <f>AF62+AF105+AF148+AF191+AF234+AF277+AF320+AF363+AF406+AF449</f>
        <v/>
      </c>
      <c r="AG486" s="189">
        <f>AG62+AG105+AG148+AG191+AG234+AG277+AG320+AG363+AG406+AG449</f>
        <v/>
      </c>
      <c r="AH486" s="189">
        <f>AH62+AH105+AH148+AH191+AH234+AH277+AH320+AH363+AH406+AH449</f>
        <v/>
      </c>
      <c r="AI486" s="51" t="inlineStr">
        <is>
          <t>U7Y</t>
        </is>
      </c>
    </row>
    <row r="487">
      <c r="B487" s="189">
        <f>B63+B106+B149+B192+B235+B278+B321+B364+B407+B450</f>
        <v/>
      </c>
      <c r="C487" s="189">
        <f>C63+C106+C149+C192+C235+C278+C321+C364+C407+C450</f>
        <v/>
      </c>
      <c r="D487" s="189">
        <f>D63+D106+D149+D192+D235+D278+D321+D364+D407+D450</f>
        <v/>
      </c>
      <c r="E487" s="189">
        <f>E63+E106+E149+E192+E235+E278+E321+E364+E407+E450</f>
        <v/>
      </c>
      <c r="F487" s="189">
        <f>F63+F106+F149+F192+F235+F278+F321+F364+F407+F450</f>
        <v/>
      </c>
      <c r="G487" s="189">
        <f>G63+G106+G149+G192+G235+G278+G321+G364+G407+G450</f>
        <v/>
      </c>
      <c r="H487" s="189">
        <f>H63+H106+H149+H192+H235+H278+H321+H364+H407+H450</f>
        <v/>
      </c>
      <c r="I487" s="189">
        <f>I63+I106+I149+I192+I235+I278+I321+I364+I407+I450</f>
        <v/>
      </c>
      <c r="J487" s="189">
        <f>J63+J106+J149+J192+J235+J278+J321+J364+J407+J450</f>
        <v/>
      </c>
      <c r="K487" s="189">
        <f>K63+K106+K149+K192+K235+K278+K321+K364+K407+K450</f>
        <v/>
      </c>
      <c r="L487" s="189">
        <f>L63+L106+L149+L192+L235+L278+L321+L364+L407+L450</f>
        <v/>
      </c>
      <c r="M487" s="189">
        <f>M63+M106+M149+M192+M235+M278+M321+M364+M407+M450</f>
        <v/>
      </c>
      <c r="N487" s="189">
        <f>N63+N106+N149+N192+N235+N278+N321+N364+N407+N450</f>
        <v/>
      </c>
      <c r="O487" s="189">
        <f>O63+O106+O149+O192+O235+O278+O321+O364+O407+O450</f>
        <v/>
      </c>
      <c r="P487" s="189">
        <f>P63+P106+P149+P192+P235+P278+P321+P364+P407+P450</f>
        <v/>
      </c>
      <c r="Q487" s="189">
        <f>Q63+Q106+Q149+Q192+Q235+Q278+Q321+Q364+Q407+Q450</f>
        <v/>
      </c>
      <c r="R487" s="189">
        <f>R63+R106+R149+R192+R235+R278+R321+R364+R407+R450</f>
        <v/>
      </c>
      <c r="S487" s="189">
        <f>S63+S106+S149+S192+S235+S278+S321+S364+S407+S450</f>
        <v/>
      </c>
      <c r="T487" s="189">
        <f>T63+T106+T149+T192+T235+T278+T321+T364+T407+T450</f>
        <v/>
      </c>
      <c r="U487" s="189">
        <f>U63+U106+U149+U192+U235+U278+U321+U364+U407+U450</f>
        <v/>
      </c>
      <c r="V487" s="10">
        <f>V63+V106+V149+V192+V235+V278+V321+V364+V407+V450</f>
        <v/>
      </c>
      <c r="W487" s="189">
        <f>W63+W106+W149+W192+W235+W278+W321+W364+W407+W450</f>
        <v/>
      </c>
      <c r="X487" s="189">
        <f>X63+X106+X149+X192+X235+X278+X321+X364+X407+X450</f>
        <v/>
      </c>
      <c r="Y487" s="189">
        <f>Y63+Y106+Y149+Y192+Y235+Y278+Y321+Y364+Y407+Y450</f>
        <v/>
      </c>
      <c r="Z487" s="189">
        <f>Z63+Z106+Z149+Z192+Z235+Z278+Z321+Z364+Z407+Z450</f>
        <v/>
      </c>
      <c r="AA487" s="189">
        <f>AA63+AA106+AA149+AA192+AA235+AA278+AA321+AA364+AA407+AA450</f>
        <v/>
      </c>
      <c r="AB487" s="189">
        <f>AB63+AB106+AB149+AB192+AB235+AB278+AB321+AB364+AB407+AB450</f>
        <v/>
      </c>
      <c r="AC487" s="189">
        <f>AC63+AC106+AC149+AC192+AC235+AC278+AC321+AC364+AC407+AC450</f>
        <v/>
      </c>
      <c r="AD487" s="189">
        <f>AD63+AD106+AD149+AD192+AD235+AD278+AD321+AD364+AD407+AD450</f>
        <v/>
      </c>
      <c r="AE487" s="189">
        <f>AE63+AE106+AE149+AE192+AE235+AE278+AE321+AE364+AE407+AE450</f>
        <v/>
      </c>
      <c r="AF487" s="189">
        <f>AF63+AF106+AF149+AF192+AF235+AF278+AF321+AF364+AF407+AF450</f>
        <v/>
      </c>
      <c r="AG487" s="189">
        <f>AG63+AG106+AG149+AG192+AG235+AG278+AG321+AG364+AG407+AG450</f>
        <v/>
      </c>
      <c r="AH487" s="189">
        <f>AH63+AH106+AH149+AH192+AH235+AH278+AH321+AH364+AH407+AH450</f>
        <v/>
      </c>
      <c r="AI487" s="51" t="inlineStr">
        <is>
          <t>U7θ</t>
        </is>
      </c>
    </row>
    <row r="488">
      <c r="B488" s="189">
        <f>B64+B107+B150+B193+B236+B279+B322+B365+B408+B451</f>
        <v/>
      </c>
      <c r="C488" s="189">
        <f>C64+C107+C150+C193+C236+C279+C322+C365+C408+C451</f>
        <v/>
      </c>
      <c r="D488" s="189">
        <f>D64+D107+D150+D193+D236+D279+D322+D365+D408+D451</f>
        <v/>
      </c>
      <c r="E488" s="189">
        <f>E64+E107+E150+E193+E236+E279+E322+E365+E408+E451</f>
        <v/>
      </c>
      <c r="F488" s="189">
        <f>F64+F107+F150+F193+F236+F279+F322+F365+F408+F451</f>
        <v/>
      </c>
      <c r="G488" s="189">
        <f>G64+G107+G150+G193+G236+G279+G322+G365+G408+G451</f>
        <v/>
      </c>
      <c r="H488" s="189">
        <f>H64+H107+H150+H193+H236+H279+H322+H365+H408+H451</f>
        <v/>
      </c>
      <c r="I488" s="189">
        <f>I64+I107+I150+I193+I236+I279+I322+I365+I408+I451</f>
        <v/>
      </c>
      <c r="J488" s="189">
        <f>J64+J107+J150+J193+J236+J279+J322+J365+J408+J451</f>
        <v/>
      </c>
      <c r="K488" s="189">
        <f>K64+K107+K150+K193+K236+K279+K322+K365+K408+K451</f>
        <v/>
      </c>
      <c r="L488" s="189">
        <f>L64+L107+L150+L193+L236+L279+L322+L365+L408+L451</f>
        <v/>
      </c>
      <c r="M488" s="189">
        <f>M64+M107+M150+M193+M236+M279+M322+M365+M408+M451</f>
        <v/>
      </c>
      <c r="N488" s="189">
        <f>N64+N107+N150+N193+N236+N279+N322+N365+N408+N451</f>
        <v/>
      </c>
      <c r="O488" s="189">
        <f>O64+O107+O150+O193+O236+O279+O322+O365+O408+O451</f>
        <v/>
      </c>
      <c r="P488" s="189">
        <f>P64+P107+P150+P193+P236+P279+P322+P365+P408+P451</f>
        <v/>
      </c>
      <c r="Q488" s="189">
        <f>Q64+Q107+Q150+Q193+Q236+Q279+Q322+Q365+Q408+Q451</f>
        <v/>
      </c>
      <c r="R488" s="189">
        <f>R64+R107+R150+R193+R236+R279+R322+R365+R408+R451</f>
        <v/>
      </c>
      <c r="S488" s="189">
        <f>S64+S107+S150+S193+S236+S279+S322+S365+S408+S451</f>
        <v/>
      </c>
      <c r="T488" s="189">
        <f>T64+T107+T150+T193+T236+T279+T322+T365+T408+T451</f>
        <v/>
      </c>
      <c r="U488" s="189">
        <f>U64+U107+U150+U193+U236+U279+U322+U365+U408+U451</f>
        <v/>
      </c>
      <c r="V488" s="189">
        <f>V64+V107+V150+V193+V236+V279+V322+V365+V408+V451</f>
        <v/>
      </c>
      <c r="W488" s="10">
        <f>W64+W107+W150+W193+W236+W279+W322+W365+W408+W451</f>
        <v/>
      </c>
      <c r="X488" s="189">
        <f>X64+X107+X150+X193+X236+X279+X322+X365+X408+X451</f>
        <v/>
      </c>
      <c r="Y488" s="189">
        <f>Y64+Y107+Y150+Y193+Y236+Y279+Y322+Y365+Y408+Y451</f>
        <v/>
      </c>
      <c r="Z488" s="189">
        <f>Z64+Z107+Z150+Z193+Z236+Z279+Z322+Z365+Z408+Z451</f>
        <v/>
      </c>
      <c r="AA488" s="189">
        <f>AA64+AA107+AA150+AA193+AA236+AA279+AA322+AA365+AA408+AA451</f>
        <v/>
      </c>
      <c r="AB488" s="189">
        <f>AB64+AB107+AB150+AB193+AB236+AB279+AB322+AB365+AB408+AB451</f>
        <v/>
      </c>
      <c r="AC488" s="189">
        <f>AC64+AC107+AC150+AC193+AC236+AC279+AC322+AC365+AC408+AC451</f>
        <v/>
      </c>
      <c r="AD488" s="189">
        <f>AD64+AD107+AD150+AD193+AD236+AD279+AD322+AD365+AD408+AD451</f>
        <v/>
      </c>
      <c r="AE488" s="189">
        <f>AE64+AE107+AE150+AE193+AE236+AE279+AE322+AE365+AE408+AE451</f>
        <v/>
      </c>
      <c r="AF488" s="189">
        <f>AF64+AF107+AF150+AF193+AF236+AF279+AF322+AF365+AF408+AF451</f>
        <v/>
      </c>
      <c r="AG488" s="189">
        <f>AG64+AG107+AG150+AG193+AG236+AG279+AG322+AG365+AG408+AG451</f>
        <v/>
      </c>
      <c r="AH488" s="189">
        <f>AH64+AH107+AH150+AH193+AH236+AH279+AH322+AH365+AH408+AH451</f>
        <v/>
      </c>
      <c r="AI488" s="51" t="inlineStr">
        <is>
          <t>U8X</t>
        </is>
      </c>
    </row>
    <row r="489">
      <c r="B489" s="189">
        <f>B65+B108+B151+B194+B237+B280+B323+B366+B409+B452</f>
        <v/>
      </c>
      <c r="C489" s="189">
        <f>C65+C108+C151+C194+C237+C280+C323+C366+C409+C452</f>
        <v/>
      </c>
      <c r="D489" s="189">
        <f>D65+D108+D151+D194+D237+D280+D323+D366+D409+D452</f>
        <v/>
      </c>
      <c r="E489" s="189">
        <f>E65+E108+E151+E194+E237+E280+E323+E366+E409+E452</f>
        <v/>
      </c>
      <c r="F489" s="189">
        <f>F65+F108+F151+F194+F237+F280+F323+F366+F409+F452</f>
        <v/>
      </c>
      <c r="G489" s="189">
        <f>G65+G108+G151+G194+G237+G280+G323+G366+G409+G452</f>
        <v/>
      </c>
      <c r="H489" s="189">
        <f>H65+H108+H151+H194+H237+H280+H323+H366+H409+H452</f>
        <v/>
      </c>
      <c r="I489" s="189">
        <f>I65+I108+I151+I194+I237+I280+I323+I366+I409+I452</f>
        <v/>
      </c>
      <c r="J489" s="189">
        <f>J65+J108+J151+J194+J237+J280+J323+J366+J409+J452</f>
        <v/>
      </c>
      <c r="K489" s="189">
        <f>K65+K108+K151+K194+K237+K280+K323+K366+K409+K452</f>
        <v/>
      </c>
      <c r="L489" s="189">
        <f>L65+L108+L151+L194+L237+L280+L323+L366+L409+L452</f>
        <v/>
      </c>
      <c r="M489" s="189">
        <f>M65+M108+M151+M194+M237+M280+M323+M366+M409+M452</f>
        <v/>
      </c>
      <c r="N489" s="189">
        <f>N65+N108+N151+N194+N237+N280+N323+N366+N409+N452</f>
        <v/>
      </c>
      <c r="O489" s="189">
        <f>O65+O108+O151+O194+O237+O280+O323+O366+O409+O452</f>
        <v/>
      </c>
      <c r="P489" s="189">
        <f>P65+P108+P151+P194+P237+P280+P323+P366+P409+P452</f>
        <v/>
      </c>
      <c r="Q489" s="189">
        <f>Q65+Q108+Q151+Q194+Q237+Q280+Q323+Q366+Q409+Q452</f>
        <v/>
      </c>
      <c r="R489" s="189">
        <f>R65+R108+R151+R194+R237+R280+R323+R366+R409+R452</f>
        <v/>
      </c>
      <c r="S489" s="189">
        <f>S65+S108+S151+S194+S237+S280+S323+S366+S409+S452</f>
        <v/>
      </c>
      <c r="T489" s="189">
        <f>T65+T108+T151+T194+T237+T280+T323+T366+T409+T452</f>
        <v/>
      </c>
      <c r="U489" s="189">
        <f>U65+U108+U151+U194+U237+U280+U323+U366+U409+U452</f>
        <v/>
      </c>
      <c r="V489" s="189">
        <f>V65+V108+V151+V194+V237+V280+V323+V366+V409+V452</f>
        <v/>
      </c>
      <c r="W489" s="189">
        <f>W65+W108+W151+W194+W237+W280+W323+W366+W409+W452</f>
        <v/>
      </c>
      <c r="X489" s="10">
        <f>X65+X108+X151+X194+X237+X280+X323+X366+X409+X452</f>
        <v/>
      </c>
      <c r="Y489" s="189">
        <f>Y65+Y108+Y151+Y194+Y237+Y280+Y323+Y366+Y409+Y452</f>
        <v/>
      </c>
      <c r="Z489" s="189">
        <f>Z65+Z108+Z151+Z194+Z237+Z280+Z323+Z366+Z409+Z452</f>
        <v/>
      </c>
      <c r="AA489" s="189">
        <f>AA65+AA108+AA151+AA194+AA237+AA280+AA323+AA366+AA409+AA452</f>
        <v/>
      </c>
      <c r="AB489" s="189">
        <f>AB65+AB108+AB151+AB194+AB237+AB280+AB323+AB366+AB409+AB452</f>
        <v/>
      </c>
      <c r="AC489" s="189">
        <f>AC65+AC108+AC151+AC194+AC237+AC280+AC323+AC366+AC409+AC452</f>
        <v/>
      </c>
      <c r="AD489" s="189">
        <f>AD65+AD108+AD151+AD194+AD237+AD280+AD323+AD366+AD409+AD452</f>
        <v/>
      </c>
      <c r="AE489" s="189">
        <f>AE65+AE108+AE151+AE194+AE237+AE280+AE323+AE366+AE409+AE452</f>
        <v/>
      </c>
      <c r="AF489" s="189">
        <f>AF65+AF108+AF151+AF194+AF237+AF280+AF323+AF366+AF409+AF452</f>
        <v/>
      </c>
      <c r="AG489" s="189">
        <f>AG65+AG108+AG151+AG194+AG237+AG280+AG323+AG366+AG409+AG452</f>
        <v/>
      </c>
      <c r="AH489" s="189">
        <f>AH65+AH108+AH151+AH194+AH237+AH280+AH323+AH366+AH409+AH452</f>
        <v/>
      </c>
      <c r="AI489" s="51" t="inlineStr">
        <is>
          <t>U8Y</t>
        </is>
      </c>
    </row>
    <row r="490">
      <c r="B490" s="189">
        <f>B66+B109+B152+B195+B238+B281+B324+B367+B410+B453</f>
        <v/>
      </c>
      <c r="C490" s="189">
        <f>C66+C109+C152+C195+C238+C281+C324+C367+C410+C453</f>
        <v/>
      </c>
      <c r="D490" s="189">
        <f>D66+D109+D152+D195+D238+D281+D324+D367+D410+D453</f>
        <v/>
      </c>
      <c r="E490" s="189">
        <f>E66+E109+E152+E195+E238+E281+E324+E367+E410+E453</f>
        <v/>
      </c>
      <c r="F490" s="189">
        <f>F66+F109+F152+F195+F238+F281+F324+F367+F410+F453</f>
        <v/>
      </c>
      <c r="G490" s="189">
        <f>G66+G109+G152+G195+G238+G281+G324+G367+G410+G453</f>
        <v/>
      </c>
      <c r="H490" s="189">
        <f>H66+H109+H152+H195+H238+H281+H324+H367+H410+H453</f>
        <v/>
      </c>
      <c r="I490" s="189">
        <f>I66+I109+I152+I195+I238+I281+I324+I367+I410+I453</f>
        <v/>
      </c>
      <c r="J490" s="189">
        <f>J66+J109+J152+J195+J238+J281+J324+J367+J410+J453</f>
        <v/>
      </c>
      <c r="K490" s="189">
        <f>K66+K109+K152+K195+K238+K281+K324+K367+K410+K453</f>
        <v/>
      </c>
      <c r="L490" s="189">
        <f>L66+L109+L152+L195+L238+L281+L324+L367+L410+L453</f>
        <v/>
      </c>
      <c r="M490" s="189">
        <f>M66+M109+M152+M195+M238+M281+M324+M367+M410+M453</f>
        <v/>
      </c>
      <c r="N490" s="189">
        <f>N66+N109+N152+N195+N238+N281+N324+N367+N410+N453</f>
        <v/>
      </c>
      <c r="O490" s="189">
        <f>O66+O109+O152+O195+O238+O281+O324+O367+O410+O453</f>
        <v/>
      </c>
      <c r="P490" s="189">
        <f>P66+P109+P152+P195+P238+P281+P324+P367+P410+P453</f>
        <v/>
      </c>
      <c r="Q490" s="189">
        <f>Q66+Q109+Q152+Q195+Q238+Q281+Q324+Q367+Q410+Q453</f>
        <v/>
      </c>
      <c r="R490" s="189">
        <f>R66+R109+R152+R195+R238+R281+R324+R367+R410+R453</f>
        <v/>
      </c>
      <c r="S490" s="189">
        <f>S66+S109+S152+S195+S238+S281+S324+S367+S410+S453</f>
        <v/>
      </c>
      <c r="T490" s="189">
        <f>T66+T109+T152+T195+T238+T281+T324+T367+T410+T453</f>
        <v/>
      </c>
      <c r="U490" s="189">
        <f>U66+U109+U152+U195+U238+U281+U324+U367+U410+U453</f>
        <v/>
      </c>
      <c r="V490" s="189">
        <f>V66+V109+V152+V195+V238+V281+V324+V367+V410+V453</f>
        <v/>
      </c>
      <c r="W490" s="189">
        <f>W66+W109+W152+W195+W238+W281+W324+W367+W410+W453</f>
        <v/>
      </c>
      <c r="X490" s="189">
        <f>X66+X109+X152+X195+X238+X281+X324+X367+X410+X453</f>
        <v/>
      </c>
      <c r="Y490" s="10">
        <f>Y66+Y109+Y152+Y195+Y238+Y281+Y324+Y367+Y410+Y453</f>
        <v/>
      </c>
      <c r="Z490" s="189">
        <f>Z66+Z109+Z152+Z195+Z238+Z281+Z324+Z367+Z410+Z453</f>
        <v/>
      </c>
      <c r="AA490" s="189">
        <f>AA66+AA109+AA152+AA195+AA238+AA281+AA324+AA367+AA410+AA453</f>
        <v/>
      </c>
      <c r="AB490" s="189">
        <f>AB66+AB109+AB152+AB195+AB238+AB281+AB324+AB367+AB410+AB453</f>
        <v/>
      </c>
      <c r="AC490" s="189">
        <f>AC66+AC109+AC152+AC195+AC238+AC281+AC324+AC367+AC410+AC453</f>
        <v/>
      </c>
      <c r="AD490" s="189">
        <f>AD66+AD109+AD152+AD195+AD238+AD281+AD324+AD367+AD410+AD453</f>
        <v/>
      </c>
      <c r="AE490" s="189">
        <f>AE66+AE109+AE152+AE195+AE238+AE281+AE324+AE367+AE410+AE453</f>
        <v/>
      </c>
      <c r="AF490" s="189">
        <f>AF66+AF109+AF152+AF195+AF238+AF281+AF324+AF367+AF410+AF453</f>
        <v/>
      </c>
      <c r="AG490" s="189">
        <f>AG66+AG109+AG152+AG195+AG238+AG281+AG324+AG367+AG410+AG453</f>
        <v/>
      </c>
      <c r="AH490" s="189">
        <f>AH66+AH109+AH152+AH195+AH238+AH281+AH324+AH367+AH410+AH453</f>
        <v/>
      </c>
      <c r="AI490" s="51" t="inlineStr">
        <is>
          <t>U8θ</t>
        </is>
      </c>
    </row>
    <row r="491">
      <c r="B491" s="189">
        <f>B67+B110+B153+B196+B239+B282+B325+B368+B411+B454</f>
        <v/>
      </c>
      <c r="C491" s="189">
        <f>C67+C110+C153+C196+C239+C282+C325+C368+C411+C454</f>
        <v/>
      </c>
      <c r="D491" s="189">
        <f>D67+D110+D153+D196+D239+D282+D325+D368+D411+D454</f>
        <v/>
      </c>
      <c r="E491" s="189">
        <f>E67+E110+E153+E196+E239+E282+E325+E368+E411+E454</f>
        <v/>
      </c>
      <c r="F491" s="189">
        <f>F67+F110+F153+F196+F239+F282+F325+F368+F411+F454</f>
        <v/>
      </c>
      <c r="G491" s="189">
        <f>G67+G110+G153+G196+G239+G282+G325+G368+G411+G454</f>
        <v/>
      </c>
      <c r="H491" s="189">
        <f>H67+H110+H153+H196+H239+H282+H325+H368+H411+H454</f>
        <v/>
      </c>
      <c r="I491" s="189">
        <f>I67+I110+I153+I196+I239+I282+I325+I368+I411+I454</f>
        <v/>
      </c>
      <c r="J491" s="189">
        <f>J67+J110+J153+J196+J239+J282+J325+J368+J411+J454</f>
        <v/>
      </c>
      <c r="K491" s="189">
        <f>K67+K110+K153+K196+K239+K282+K325+K368+K411+K454</f>
        <v/>
      </c>
      <c r="L491" s="189">
        <f>L67+L110+L153+L196+L239+L282+L325+L368+L411+L454</f>
        <v/>
      </c>
      <c r="M491" s="189">
        <f>M67+M110+M153+M196+M239+M282+M325+M368+M411+M454</f>
        <v/>
      </c>
      <c r="N491" s="189">
        <f>N67+N110+N153+N196+N239+N282+N325+N368+N411+N454</f>
        <v/>
      </c>
      <c r="O491" s="189">
        <f>O67+O110+O153+O196+O239+O282+O325+O368+O411+O454</f>
        <v/>
      </c>
      <c r="P491" s="189">
        <f>P67+P110+P153+P196+P239+P282+P325+P368+P411+P454</f>
        <v/>
      </c>
      <c r="Q491" s="189">
        <f>Q67+Q110+Q153+Q196+Q239+Q282+Q325+Q368+Q411+Q454</f>
        <v/>
      </c>
      <c r="R491" s="189">
        <f>R67+R110+R153+R196+R239+R282+R325+R368+R411+R454</f>
        <v/>
      </c>
      <c r="S491" s="189">
        <f>S67+S110+S153+S196+S239+S282+S325+S368+S411+S454</f>
        <v/>
      </c>
      <c r="T491" s="189">
        <f>T67+T110+T153+T196+T239+T282+T325+T368+T411+T454</f>
        <v/>
      </c>
      <c r="U491" s="189">
        <f>U67+U110+U153+U196+U239+U282+U325+U368+U411+U454</f>
        <v/>
      </c>
      <c r="V491" s="189">
        <f>V67+V110+V153+V196+V239+V282+V325+V368+V411+V454</f>
        <v/>
      </c>
      <c r="W491" s="189">
        <f>W67+W110+W153+W196+W239+W282+W325+W368+W411+W454</f>
        <v/>
      </c>
      <c r="X491" s="189">
        <f>X67+X110+X153+X196+X239+X282+X325+X368+X411+X454</f>
        <v/>
      </c>
      <c r="Y491" s="189">
        <f>Y67+Y110+Y153+Y196+Y239+Y282+Y325+Y368+Y411+Y454</f>
        <v/>
      </c>
      <c r="Z491" s="10">
        <f>Z67+Z110+Z153+Z196+Z239+Z282+Z325+Z368+Z411+Z454</f>
        <v/>
      </c>
      <c r="AA491" s="189">
        <f>AA67+AA110+AA153+AA196+AA239+AA282+AA325+AA368+AA411+AA454</f>
        <v/>
      </c>
      <c r="AB491" s="189">
        <f>AB67+AB110+AB153+AB196+AB239+AB282+AB325+AB368+AB411+AB454</f>
        <v/>
      </c>
      <c r="AC491" s="189">
        <f>AC67+AC110+AC153+AC196+AC239+AC282+AC325+AC368+AC411+AC454</f>
        <v/>
      </c>
      <c r="AD491" s="189">
        <f>AD67+AD110+AD153+AD196+AD239+AD282+AD325+AD368+AD411+AD454</f>
        <v/>
      </c>
      <c r="AE491" s="189">
        <f>AE67+AE110+AE153+AE196+AE239+AE282+AE325+AE368+AE411+AE454</f>
        <v/>
      </c>
      <c r="AF491" s="189">
        <f>AF67+AF110+AF153+AF196+AF239+AF282+AF325+AF368+AF411+AF454</f>
        <v/>
      </c>
      <c r="AG491" s="189">
        <f>AG67+AG110+AG153+AG196+AG239+AG282+AG325+AG368+AG411+AG454</f>
        <v/>
      </c>
      <c r="AH491" s="189">
        <f>AH67+AH110+AH153+AH196+AH239+AH282+AH325+AH368+AH411+AH454</f>
        <v/>
      </c>
      <c r="AI491" s="51" t="inlineStr">
        <is>
          <t>U9X</t>
        </is>
      </c>
    </row>
    <row r="492">
      <c r="B492" s="189">
        <f>B68+B111+B154+B197+B240+B283+B326+B369+B412+B455</f>
        <v/>
      </c>
      <c r="C492" s="189">
        <f>C68+C111+C154+C197+C240+C283+C326+C369+C412+C455</f>
        <v/>
      </c>
      <c r="D492" s="189">
        <f>D68+D111+D154+D197+D240+D283+D326+D369+D412+D455</f>
        <v/>
      </c>
      <c r="E492" s="189">
        <f>E68+E111+E154+E197+E240+E283+E326+E369+E412+E455</f>
        <v/>
      </c>
      <c r="F492" s="189">
        <f>F68+F111+F154+F197+F240+F283+F326+F369+F412+F455</f>
        <v/>
      </c>
      <c r="G492" s="189">
        <f>G68+G111+G154+G197+G240+G283+G326+G369+G412+G455</f>
        <v/>
      </c>
      <c r="H492" s="189">
        <f>H68+H111+H154+H197+H240+H283+H326+H369+H412+H455</f>
        <v/>
      </c>
      <c r="I492" s="189">
        <f>I68+I111+I154+I197+I240+I283+I326+I369+I412+I455</f>
        <v/>
      </c>
      <c r="J492" s="189">
        <f>J68+J111+J154+J197+J240+J283+J326+J369+J412+J455</f>
        <v/>
      </c>
      <c r="K492" s="189">
        <f>K68+K111+K154+K197+K240+K283+K326+K369+K412+K455</f>
        <v/>
      </c>
      <c r="L492" s="189">
        <f>L68+L111+L154+L197+L240+L283+L326+L369+L412+L455</f>
        <v/>
      </c>
      <c r="M492" s="189">
        <f>M68+M111+M154+M197+M240+M283+M326+M369+M412+M455</f>
        <v/>
      </c>
      <c r="N492" s="189">
        <f>N68+N111+N154+N197+N240+N283+N326+N369+N412+N455</f>
        <v/>
      </c>
      <c r="O492" s="189">
        <f>O68+O111+O154+O197+O240+O283+O326+O369+O412+O455</f>
        <v/>
      </c>
      <c r="P492" s="189">
        <f>P68+P111+P154+P197+P240+P283+P326+P369+P412+P455</f>
        <v/>
      </c>
      <c r="Q492" s="189">
        <f>Q68+Q111+Q154+Q197+Q240+Q283+Q326+Q369+Q412+Q455</f>
        <v/>
      </c>
      <c r="R492" s="189">
        <f>R68+R111+R154+R197+R240+R283+R326+R369+R412+R455</f>
        <v/>
      </c>
      <c r="S492" s="189">
        <f>S68+S111+S154+S197+S240+S283+S326+S369+S412+S455</f>
        <v/>
      </c>
      <c r="T492" s="189">
        <f>T68+T111+T154+T197+T240+T283+T326+T369+T412+T455</f>
        <v/>
      </c>
      <c r="U492" s="189">
        <f>U68+U111+U154+U197+U240+U283+U326+U369+U412+U455</f>
        <v/>
      </c>
      <c r="V492" s="189">
        <f>V68+V111+V154+V197+V240+V283+V326+V369+V412+V455</f>
        <v/>
      </c>
      <c r="W492" s="189">
        <f>W68+W111+W154+W197+W240+W283+W326+W369+W412+W455</f>
        <v/>
      </c>
      <c r="X492" s="189">
        <f>X68+X111+X154+X197+X240+X283+X326+X369+X412+X455</f>
        <v/>
      </c>
      <c r="Y492" s="189">
        <f>Y68+Y111+Y154+Y197+Y240+Y283+Y326+Y369+Y412+Y455</f>
        <v/>
      </c>
      <c r="Z492" s="189">
        <f>Z68+Z111+Z154+Z197+Z240+Z283+Z326+Z369+Z412+Z455</f>
        <v/>
      </c>
      <c r="AA492" s="10">
        <f>AA68+AA111+AA154+AA197+AA240+AA283+AA326+AA369+AA412+AA455</f>
        <v/>
      </c>
      <c r="AB492" s="189">
        <f>AB68+AB111+AB154+AB197+AB240+AB283+AB326+AB369+AB412+AB455</f>
        <v/>
      </c>
      <c r="AC492" s="189">
        <f>AC68+AC111+AC154+AC197+AC240+AC283+AC326+AC369+AC412+AC455</f>
        <v/>
      </c>
      <c r="AD492" s="189">
        <f>AD68+AD111+AD154+AD197+AD240+AD283+AD326+AD369+AD412+AD455</f>
        <v/>
      </c>
      <c r="AE492" s="189">
        <f>AE68+AE111+AE154+AE197+AE240+AE283+AE326+AE369+AE412+AE455</f>
        <v/>
      </c>
      <c r="AF492" s="189">
        <f>AF68+AF111+AF154+AF197+AF240+AF283+AF326+AF369+AF412+AF455</f>
        <v/>
      </c>
      <c r="AG492" s="189">
        <f>AG68+AG111+AG154+AG197+AG240+AG283+AG326+AG369+AG412+AG455</f>
        <v/>
      </c>
      <c r="AH492" s="189">
        <f>AH68+AH111+AH154+AH197+AH240+AH283+AH326+AH369+AH412+AH455</f>
        <v/>
      </c>
      <c r="AI492" s="51" t="inlineStr">
        <is>
          <t>U9Y</t>
        </is>
      </c>
    </row>
    <row r="493">
      <c r="B493" s="189">
        <f>B69+B112+B155+B198+B241+B284+B327+B370+B413+B456</f>
        <v/>
      </c>
      <c r="C493" s="189">
        <f>C69+C112+C155+C198+C241+C284+C327+C370+C413+C456</f>
        <v/>
      </c>
      <c r="D493" s="189">
        <f>D69+D112+D155+D198+D241+D284+D327+D370+D413+D456</f>
        <v/>
      </c>
      <c r="E493" s="189">
        <f>E69+E112+E155+E198+E241+E284+E327+E370+E413+E456</f>
        <v/>
      </c>
      <c r="F493" s="189">
        <f>F69+F112+F155+F198+F241+F284+F327+F370+F413+F456</f>
        <v/>
      </c>
      <c r="G493" s="189">
        <f>G69+G112+G155+G198+G241+G284+G327+G370+G413+G456</f>
        <v/>
      </c>
      <c r="H493" s="189">
        <f>H69+H112+H155+H198+H241+H284+H327+H370+H413+H456</f>
        <v/>
      </c>
      <c r="I493" s="189">
        <f>I69+I112+I155+I198+I241+I284+I327+I370+I413+I456</f>
        <v/>
      </c>
      <c r="J493" s="189">
        <f>J69+J112+J155+J198+J241+J284+J327+J370+J413+J456</f>
        <v/>
      </c>
      <c r="K493" s="189">
        <f>K69+K112+K155+K198+K241+K284+K327+K370+K413+K456</f>
        <v/>
      </c>
      <c r="L493" s="189">
        <f>L69+L112+L155+L198+L241+L284+L327+L370+L413+L456</f>
        <v/>
      </c>
      <c r="M493" s="189">
        <f>M69+M112+M155+M198+M241+M284+M327+M370+M413+M456</f>
        <v/>
      </c>
      <c r="N493" s="189">
        <f>N69+N112+N155+N198+N241+N284+N327+N370+N413+N456</f>
        <v/>
      </c>
      <c r="O493" s="189">
        <f>O69+O112+O155+O198+O241+O284+O327+O370+O413+O456</f>
        <v/>
      </c>
      <c r="P493" s="189">
        <f>P69+P112+P155+P198+P241+P284+P327+P370+P413+P456</f>
        <v/>
      </c>
      <c r="Q493" s="189">
        <f>Q69+Q112+Q155+Q198+Q241+Q284+Q327+Q370+Q413+Q456</f>
        <v/>
      </c>
      <c r="R493" s="189">
        <f>R69+R112+R155+R198+R241+R284+R327+R370+R413+R456</f>
        <v/>
      </c>
      <c r="S493" s="189">
        <f>S69+S112+S155+S198+S241+S284+S327+S370+S413+S456</f>
        <v/>
      </c>
      <c r="T493" s="189">
        <f>T69+T112+T155+T198+T241+T284+T327+T370+T413+T456</f>
        <v/>
      </c>
      <c r="U493" s="189">
        <f>U69+U112+U155+U198+U241+U284+U327+U370+U413+U456</f>
        <v/>
      </c>
      <c r="V493" s="189">
        <f>V69+V112+V155+V198+V241+V284+V327+V370+V413+V456</f>
        <v/>
      </c>
      <c r="W493" s="189">
        <f>W69+W112+W155+W198+W241+W284+W327+W370+W413+W456</f>
        <v/>
      </c>
      <c r="X493" s="189">
        <f>X69+X112+X155+X198+X241+X284+X327+X370+X413+X456</f>
        <v/>
      </c>
      <c r="Y493" s="189">
        <f>Y69+Y112+Y155+Y198+Y241+Y284+Y327+Y370+Y413+Y456</f>
        <v/>
      </c>
      <c r="Z493" s="189">
        <f>Z69+Z112+Z155+Z198+Z241+Z284+Z327+Z370+Z413+Z456</f>
        <v/>
      </c>
      <c r="AA493" s="189">
        <f>AA69+AA112+AA155+AA198+AA241+AA284+AA327+AA370+AA413+AA456</f>
        <v/>
      </c>
      <c r="AB493" s="10">
        <f>AB69+AB112+AB155+AB198+AB241+AB284+AB327+AB370+AB413+AB456</f>
        <v/>
      </c>
      <c r="AC493" s="189">
        <f>AC69+AC112+AC155+AC198+AC241+AC284+AC327+AC370+AC413+AC456</f>
        <v/>
      </c>
      <c r="AD493" s="189">
        <f>AD69+AD112+AD155+AD198+AD241+AD284+AD327+AD370+AD413+AD456</f>
        <v/>
      </c>
      <c r="AE493" s="189">
        <f>AE69+AE112+AE155+AE198+AE241+AE284+AE327+AE370+AE413+AE456</f>
        <v/>
      </c>
      <c r="AF493" s="189">
        <f>AF69+AF112+AF155+AF198+AF241+AF284+AF327+AF370+AF413+AF456</f>
        <v/>
      </c>
      <c r="AG493" s="189">
        <f>AG69+AG112+AG155+AG198+AG241+AG284+AG327+AG370+AG413+AG456</f>
        <v/>
      </c>
      <c r="AH493" s="189">
        <f>AH69+AH112+AH155+AH198+AH241+AH284+AH327+AH370+AH413+AH456</f>
        <v/>
      </c>
      <c r="AI493" s="51" t="inlineStr">
        <is>
          <t>U9θ</t>
        </is>
      </c>
    </row>
    <row r="494">
      <c r="B494" s="189">
        <f>B70+B113+B156+B199+B242+B285+B328+B371+B414+B457</f>
        <v/>
      </c>
      <c r="C494" s="189">
        <f>C70+C113+C156+C199+C242+C285+C328+C371+C414+C457</f>
        <v/>
      </c>
      <c r="D494" s="189">
        <f>D70+D113+D156+D199+D242+D285+D328+D371+D414+D457</f>
        <v/>
      </c>
      <c r="E494" s="189">
        <f>E70+E113+E156+E199+E242+E285+E328+E371+E414+E457</f>
        <v/>
      </c>
      <c r="F494" s="189">
        <f>F70+F113+F156+F199+F242+F285+F328+F371+F414+F457</f>
        <v/>
      </c>
      <c r="G494" s="189">
        <f>G70+G113+G156+G199+G242+G285+G328+G371+G414+G457</f>
        <v/>
      </c>
      <c r="H494" s="189">
        <f>H70+H113+H156+H199+H242+H285+H328+H371+H414+H457</f>
        <v/>
      </c>
      <c r="I494" s="189">
        <f>I70+I113+I156+I199+I242+I285+I328+I371+I414+I457</f>
        <v/>
      </c>
      <c r="J494" s="189">
        <f>J70+J113+J156+J199+J242+J285+J328+J371+J414+J457</f>
        <v/>
      </c>
      <c r="K494" s="189">
        <f>K70+K113+K156+K199+K242+K285+K328+K371+K414+K457</f>
        <v/>
      </c>
      <c r="L494" s="189">
        <f>L70+L113+L156+L199+L242+L285+L328+L371+L414+L457</f>
        <v/>
      </c>
      <c r="M494" s="189">
        <f>M70+M113+M156+M199+M242+M285+M328+M371+M414+M457</f>
        <v/>
      </c>
      <c r="N494" s="189">
        <f>N70+N113+N156+N199+N242+N285+N328+N371+N414+N457</f>
        <v/>
      </c>
      <c r="O494" s="189">
        <f>O70+O113+O156+O199+O242+O285+O328+O371+O414+O457</f>
        <v/>
      </c>
      <c r="P494" s="189">
        <f>P70+P113+P156+P199+P242+P285+P328+P371+P414+P457</f>
        <v/>
      </c>
      <c r="Q494" s="189">
        <f>Q70+Q113+Q156+Q199+Q242+Q285+Q328+Q371+Q414+Q457</f>
        <v/>
      </c>
      <c r="R494" s="189">
        <f>R70+R113+R156+R199+R242+R285+R328+R371+R414+R457</f>
        <v/>
      </c>
      <c r="S494" s="189">
        <f>S70+S113+S156+S199+S242+S285+S328+S371+S414+S457</f>
        <v/>
      </c>
      <c r="T494" s="189">
        <f>T70+T113+T156+T199+T242+T285+T328+T371+T414+T457</f>
        <v/>
      </c>
      <c r="U494" s="189">
        <f>U70+U113+U156+U199+U242+U285+U328+U371+U414+U457</f>
        <v/>
      </c>
      <c r="V494" s="189">
        <f>V70+V113+V156+V199+V242+V285+V328+V371+V414+V457</f>
        <v/>
      </c>
      <c r="W494" s="189">
        <f>W70+W113+W156+W199+W242+W285+W328+W371+W414+W457</f>
        <v/>
      </c>
      <c r="X494" s="189">
        <f>X70+X113+X156+X199+X242+X285+X328+X371+X414+X457</f>
        <v/>
      </c>
      <c r="Y494" s="189">
        <f>Y70+Y113+Y156+Y199+Y242+Y285+Y328+Y371+Y414+Y457</f>
        <v/>
      </c>
      <c r="Z494" s="189">
        <f>Z70+Z113+Z156+Z199+Z242+Z285+Z328+Z371+Z414+Z457</f>
        <v/>
      </c>
      <c r="AA494" s="189">
        <f>AA70+AA113+AA156+AA199+AA242+AA285+AA328+AA371+AA414+AA457</f>
        <v/>
      </c>
      <c r="AB494" s="189">
        <f>AB70+AB113+AB156+AB199+AB242+AB285+AB328+AB371+AB414+AB457</f>
        <v/>
      </c>
      <c r="AC494" s="10">
        <f>AC70+AC113+AC156+AC199+AC242+AC285+AC328+AC371+AC414+AC457</f>
        <v/>
      </c>
      <c r="AD494" s="189">
        <f>AD70+AD113+AD156+AD199+AD242+AD285+AD328+AD371+AD414+AD457</f>
        <v/>
      </c>
      <c r="AE494" s="189">
        <f>AE70+AE113+AE156+AE199+AE242+AE285+AE328+AE371+AE414+AE457</f>
        <v/>
      </c>
      <c r="AF494" s="189">
        <f>AF70+AF113+AF156+AF199+AF242+AF285+AF328+AF371+AF414+AF457</f>
        <v/>
      </c>
      <c r="AG494" s="189">
        <f>AG70+AG113+AG156+AG199+AG242+AG285+AG328+AG371+AG414+AG457</f>
        <v/>
      </c>
      <c r="AH494" s="189">
        <f>AH70+AH113+AH156+AH199+AH242+AH285+AH328+AH371+AH414+AH457</f>
        <v/>
      </c>
      <c r="AI494" s="51" t="inlineStr">
        <is>
          <t>U10X</t>
        </is>
      </c>
    </row>
    <row r="495">
      <c r="B495" s="189">
        <f>B71+B114+B157+B200+B243+B286+B329+B372+B415+B458</f>
        <v/>
      </c>
      <c r="C495" s="189">
        <f>C71+C114+C157+C200+C243+C286+C329+C372+C415+C458</f>
        <v/>
      </c>
      <c r="D495" s="189">
        <f>D71+D114+D157+D200+D243+D286+D329+D372+D415+D458</f>
        <v/>
      </c>
      <c r="E495" s="189">
        <f>E71+E114+E157+E200+E243+E286+E329+E372+E415+E458</f>
        <v/>
      </c>
      <c r="F495" s="189">
        <f>F71+F114+F157+F200+F243+F286+F329+F372+F415+F458</f>
        <v/>
      </c>
      <c r="G495" s="189">
        <f>G71+G114+G157+G200+G243+G286+G329+G372+G415+G458</f>
        <v/>
      </c>
      <c r="H495" s="189">
        <f>H71+H114+H157+H200+H243+H286+H329+H372+H415+H458</f>
        <v/>
      </c>
      <c r="I495" s="189">
        <f>I71+I114+I157+I200+I243+I286+I329+I372+I415+I458</f>
        <v/>
      </c>
      <c r="J495" s="189">
        <f>J71+J114+J157+J200+J243+J286+J329+J372+J415+J458</f>
        <v/>
      </c>
      <c r="K495" s="189">
        <f>K71+K114+K157+K200+K243+K286+K329+K372+K415+K458</f>
        <v/>
      </c>
      <c r="L495" s="189">
        <f>L71+L114+L157+L200+L243+L286+L329+L372+L415+L458</f>
        <v/>
      </c>
      <c r="M495" s="189">
        <f>M71+M114+M157+M200+M243+M286+M329+M372+M415+M458</f>
        <v/>
      </c>
      <c r="N495" s="189">
        <f>N71+N114+N157+N200+N243+N286+N329+N372+N415+N458</f>
        <v/>
      </c>
      <c r="O495" s="189">
        <f>O71+O114+O157+O200+O243+O286+O329+O372+O415+O458</f>
        <v/>
      </c>
      <c r="P495" s="189">
        <f>P71+P114+P157+P200+P243+P286+P329+P372+P415+P458</f>
        <v/>
      </c>
      <c r="Q495" s="189">
        <f>Q71+Q114+Q157+Q200+Q243+Q286+Q329+Q372+Q415+Q458</f>
        <v/>
      </c>
      <c r="R495" s="189">
        <f>R71+R114+R157+R200+R243+R286+R329+R372+R415+R458</f>
        <v/>
      </c>
      <c r="S495" s="189">
        <f>S71+S114+S157+S200+S243+S286+S329+S372+S415+S458</f>
        <v/>
      </c>
      <c r="T495" s="189">
        <f>T71+T114+T157+T200+T243+T286+T329+T372+T415+T458</f>
        <v/>
      </c>
      <c r="U495" s="189">
        <f>U71+U114+U157+U200+U243+U286+U329+U372+U415+U458</f>
        <v/>
      </c>
      <c r="V495" s="189">
        <f>V71+V114+V157+V200+V243+V286+V329+V372+V415+V458</f>
        <v/>
      </c>
      <c r="W495" s="189">
        <f>W71+W114+W157+W200+W243+W286+W329+W372+W415+W458</f>
        <v/>
      </c>
      <c r="X495" s="189">
        <f>X71+X114+X157+X200+X243+X286+X329+X372+X415+X458</f>
        <v/>
      </c>
      <c r="Y495" s="189">
        <f>Y71+Y114+Y157+Y200+Y243+Y286+Y329+Y372+Y415+Y458</f>
        <v/>
      </c>
      <c r="Z495" s="189">
        <f>Z71+Z114+Z157+Z200+Z243+Z286+Z329+Z372+Z415+Z458</f>
        <v/>
      </c>
      <c r="AA495" s="189">
        <f>AA71+AA114+AA157+AA200+AA243+AA286+AA329+AA372+AA415+AA458</f>
        <v/>
      </c>
      <c r="AB495" s="189">
        <f>AB71+AB114+AB157+AB200+AB243+AB286+AB329+AB372+AB415+AB458</f>
        <v/>
      </c>
      <c r="AC495" s="189">
        <f>AC71+AC114+AC157+AC200+AC243+AC286+AC329+AC372+AC415+AC458</f>
        <v/>
      </c>
      <c r="AD495" s="10">
        <f>AD71+AD114+AD157+AD200+AD243+AD286+AD329+AD372+AD415+AD458</f>
        <v/>
      </c>
      <c r="AE495" s="189">
        <f>AE71+AE114+AE157+AE200+AE243+AE286+AE329+AE372+AE415+AE458</f>
        <v/>
      </c>
      <c r="AF495" s="189">
        <f>AF71+AF114+AF157+AF200+AF243+AF286+AF329+AF372+AF415+AF458</f>
        <v/>
      </c>
      <c r="AG495" s="189">
        <f>AG71+AG114+AG157+AG200+AG243+AG286+AG329+AG372+AG415+AG458</f>
        <v/>
      </c>
      <c r="AH495" s="189">
        <f>AH71+AH114+AH157+AH200+AH243+AH286+AH329+AH372+AH415+AH458</f>
        <v/>
      </c>
      <c r="AI495" s="51" t="inlineStr">
        <is>
          <t>U10Y</t>
        </is>
      </c>
    </row>
    <row r="496">
      <c r="B496" s="189">
        <f>B72+B115+B158+B201+B244+B287+B330+B373+B416+B459</f>
        <v/>
      </c>
      <c r="C496" s="189">
        <f>C72+C115+C158+C201+C244+C287+C330+C373+C416+C459</f>
        <v/>
      </c>
      <c r="D496" s="189">
        <f>D72+D115+D158+D201+D244+D287+D330+D373+D416+D459</f>
        <v/>
      </c>
      <c r="E496" s="189">
        <f>E72+E115+E158+E201+E244+E287+E330+E373+E416+E459</f>
        <v/>
      </c>
      <c r="F496" s="189">
        <f>F72+F115+F158+F201+F244+F287+F330+F373+F416+F459</f>
        <v/>
      </c>
      <c r="G496" s="189">
        <f>G72+G115+G158+G201+G244+G287+G330+G373+G416+G459</f>
        <v/>
      </c>
      <c r="H496" s="189">
        <f>H72+H115+H158+H201+H244+H287+H330+H373+H416+H459</f>
        <v/>
      </c>
      <c r="I496" s="189">
        <f>I72+I115+I158+I201+I244+I287+I330+I373+I416+I459</f>
        <v/>
      </c>
      <c r="J496" s="189">
        <f>J72+J115+J158+J201+J244+J287+J330+J373+J416+J459</f>
        <v/>
      </c>
      <c r="K496" s="189">
        <f>K72+K115+K158+K201+K244+K287+K330+K373+K416+K459</f>
        <v/>
      </c>
      <c r="L496" s="189">
        <f>L72+L115+L158+L201+L244+L287+L330+L373+L416+L459</f>
        <v/>
      </c>
      <c r="M496" s="189">
        <f>M72+M115+M158+M201+M244+M287+M330+M373+M416+M459</f>
        <v/>
      </c>
      <c r="N496" s="189">
        <f>N72+N115+N158+N201+N244+N287+N330+N373+N416+N459</f>
        <v/>
      </c>
      <c r="O496" s="189">
        <f>O72+O115+O158+O201+O244+O287+O330+O373+O416+O459</f>
        <v/>
      </c>
      <c r="P496" s="189">
        <f>P72+P115+P158+P201+P244+P287+P330+P373+P416+P459</f>
        <v/>
      </c>
      <c r="Q496" s="189">
        <f>Q72+Q115+Q158+Q201+Q244+Q287+Q330+Q373+Q416+Q459</f>
        <v/>
      </c>
      <c r="R496" s="189">
        <f>R72+R115+R158+R201+R244+R287+R330+R373+R416+R459</f>
        <v/>
      </c>
      <c r="S496" s="189">
        <f>S72+S115+S158+S201+S244+S287+S330+S373+S416+S459</f>
        <v/>
      </c>
      <c r="T496" s="189">
        <f>T72+T115+T158+T201+T244+T287+T330+T373+T416+T459</f>
        <v/>
      </c>
      <c r="U496" s="189">
        <f>U72+U115+U158+U201+U244+U287+U330+U373+U416+U459</f>
        <v/>
      </c>
      <c r="V496" s="189">
        <f>V72+V115+V158+V201+V244+V287+V330+V373+V416+V459</f>
        <v/>
      </c>
      <c r="W496" s="189">
        <f>W72+W115+W158+W201+W244+W287+W330+W373+W416+W459</f>
        <v/>
      </c>
      <c r="X496" s="189">
        <f>X72+X115+X158+X201+X244+X287+X330+X373+X416+X459</f>
        <v/>
      </c>
      <c r="Y496" s="189">
        <f>Y72+Y115+Y158+Y201+Y244+Y287+Y330+Y373+Y416+Y459</f>
        <v/>
      </c>
      <c r="Z496" s="189">
        <f>Z72+Z115+Z158+Z201+Z244+Z287+Z330+Z373+Z416+Z459</f>
        <v/>
      </c>
      <c r="AA496" s="189">
        <f>AA72+AA115+AA158+AA201+AA244+AA287+AA330+AA373+AA416+AA459</f>
        <v/>
      </c>
      <c r="AB496" s="189">
        <f>AB72+AB115+AB158+AB201+AB244+AB287+AB330+AB373+AB416+AB459</f>
        <v/>
      </c>
      <c r="AC496" s="189">
        <f>AC72+AC115+AC158+AC201+AC244+AC287+AC330+AC373+AC416+AC459</f>
        <v/>
      </c>
      <c r="AD496" s="189">
        <f>AD72+AD115+AD158+AD201+AD244+AD287+AD330+AD373+AD416+AD459</f>
        <v/>
      </c>
      <c r="AE496" s="10">
        <f>AE72+AE115+AE158+AE201+AE244+AE287+AE330+AE373+AE416+AE459</f>
        <v/>
      </c>
      <c r="AF496" s="189">
        <f>AF72+AF115+AF158+AF201+AF244+AF287+AF330+AF373+AF416+AF459</f>
        <v/>
      </c>
      <c r="AG496" s="189">
        <f>AG72+AG115+AG158+AG201+AG244+AG287+AG330+AG373+AG416+AG459</f>
        <v/>
      </c>
      <c r="AH496" s="189">
        <f>AH72+AH115+AH158+AH201+AH244+AH287+AH330+AH373+AH416+AH459</f>
        <v/>
      </c>
      <c r="AI496" s="51" t="inlineStr">
        <is>
          <t>U10θ</t>
        </is>
      </c>
    </row>
    <row r="497">
      <c r="B497" s="189">
        <f>B73+B116+B159+B202+B245+B288+B331+B374+B417+B460</f>
        <v/>
      </c>
      <c r="C497" s="189">
        <f>C73+C116+C159+C202+C245+C288+C331+C374+C417+C460</f>
        <v/>
      </c>
      <c r="D497" s="189">
        <f>D73+D116+D159+D202+D245+D288+D331+D374+D417+D460</f>
        <v/>
      </c>
      <c r="E497" s="189">
        <f>E73+E116+E159+E202+E245+E288+E331+E374+E417+E460</f>
        <v/>
      </c>
      <c r="F497" s="189">
        <f>F73+F116+F159+F202+F245+F288+F331+F374+F417+F460</f>
        <v/>
      </c>
      <c r="G497" s="189">
        <f>G73+G116+G159+G202+G245+G288+G331+G374+G417+G460</f>
        <v/>
      </c>
      <c r="H497" s="189">
        <f>H73+H116+H159+H202+H245+H288+H331+H374+H417+H460</f>
        <v/>
      </c>
      <c r="I497" s="189">
        <f>I73+I116+I159+I202+I245+I288+I331+I374+I417+I460</f>
        <v/>
      </c>
      <c r="J497" s="189">
        <f>J73+J116+J159+J202+J245+J288+J331+J374+J417+J460</f>
        <v/>
      </c>
      <c r="K497" s="189">
        <f>K73+K116+K159+K202+K245+K288+K331+K374+K417+K460</f>
        <v/>
      </c>
      <c r="L497" s="189">
        <f>L73+L116+L159+L202+L245+L288+L331+L374+L417+L460</f>
        <v/>
      </c>
      <c r="M497" s="189">
        <f>M73+M116+M159+M202+M245+M288+M331+M374+M417+M460</f>
        <v/>
      </c>
      <c r="N497" s="189">
        <f>N73+N116+N159+N202+N245+N288+N331+N374+N417+N460</f>
        <v/>
      </c>
      <c r="O497" s="189">
        <f>O73+O116+O159+O202+O245+O288+O331+O374+O417+O460</f>
        <v/>
      </c>
      <c r="P497" s="189">
        <f>P73+P116+P159+P202+P245+P288+P331+P374+P417+P460</f>
        <v/>
      </c>
      <c r="Q497" s="189">
        <f>Q73+Q116+Q159+Q202+Q245+Q288+Q331+Q374+Q417+Q460</f>
        <v/>
      </c>
      <c r="R497" s="189">
        <f>R73+R116+R159+R202+R245+R288+R331+R374+R417+R460</f>
        <v/>
      </c>
      <c r="S497" s="189">
        <f>S73+S116+S159+S202+S245+S288+S331+S374+S417+S460</f>
        <v/>
      </c>
      <c r="T497" s="189">
        <f>T73+T116+T159+T202+T245+T288+T331+T374+T417+T460</f>
        <v/>
      </c>
      <c r="U497" s="189">
        <f>U73+U116+U159+U202+U245+U288+U331+U374+U417+U460</f>
        <v/>
      </c>
      <c r="V497" s="189">
        <f>V73+V116+V159+V202+V245+V288+V331+V374+V417+V460</f>
        <v/>
      </c>
      <c r="W497" s="189">
        <f>W73+W116+W159+W202+W245+W288+W331+W374+W417+W460</f>
        <v/>
      </c>
      <c r="X497" s="189">
        <f>X73+X116+X159+X202+X245+X288+X331+X374+X417+X460</f>
        <v/>
      </c>
      <c r="Y497" s="189">
        <f>Y73+Y116+Y159+Y202+Y245+Y288+Y331+Y374+Y417+Y460</f>
        <v/>
      </c>
      <c r="Z497" s="189">
        <f>Z73+Z116+Z159+Z202+Z245+Z288+Z331+Z374+Z417+Z460</f>
        <v/>
      </c>
      <c r="AA497" s="189">
        <f>AA73+AA116+AA159+AA202+AA245+AA288+AA331+AA374+AA417+AA460</f>
        <v/>
      </c>
      <c r="AB497" s="189">
        <f>AB73+AB116+AB159+AB202+AB245+AB288+AB331+AB374+AB417+AB460</f>
        <v/>
      </c>
      <c r="AC497" s="189">
        <f>AC73+AC116+AC159+AC202+AC245+AC288+AC331+AC374+AC417+AC460</f>
        <v/>
      </c>
      <c r="AD497" s="189">
        <f>AD73+AD116+AD159+AD202+AD245+AD288+AD331+AD374+AD417+AD460</f>
        <v/>
      </c>
      <c r="AE497" s="189">
        <f>AE73+AE116+AE159+AE202+AE245+AE288+AE331+AE374+AE417+AE460</f>
        <v/>
      </c>
      <c r="AF497" s="10">
        <f>AF73+AF116+AF159+AF202+AF245+AF288+AF331+AF374+AF417+AF460</f>
        <v/>
      </c>
      <c r="AG497" s="189">
        <f>AG73+AG116+AG159+AG202+AG245+AG288+AG331+AG374+AG417+AG460</f>
        <v/>
      </c>
      <c r="AH497" s="189">
        <f>AH73+AH116+AH159+AH202+AH245+AH288+AH331+AH374+AH417+AH460</f>
        <v/>
      </c>
      <c r="AI497" s="51" t="inlineStr">
        <is>
          <t>U11X</t>
        </is>
      </c>
    </row>
    <row r="498">
      <c r="B498" s="189">
        <f>B74+B117+B160+B203+B246+B289+B332+B375+B418+B461</f>
        <v/>
      </c>
      <c r="C498" s="189">
        <f>C74+C117+C160+C203+C246+C289+C332+C375+C418+C461</f>
        <v/>
      </c>
      <c r="D498" s="189">
        <f>D74+D117+D160+D203+D246+D289+D332+D375+D418+D461</f>
        <v/>
      </c>
      <c r="E498" s="189">
        <f>E74+E117+E160+E203+E246+E289+E332+E375+E418+E461</f>
        <v/>
      </c>
      <c r="F498" s="189">
        <f>F74+F117+F160+F203+F246+F289+F332+F375+F418+F461</f>
        <v/>
      </c>
      <c r="G498" s="189">
        <f>G74+G117+G160+G203+G246+G289+G332+G375+G418+G461</f>
        <v/>
      </c>
      <c r="H498" s="189">
        <f>H74+H117+H160+H203+H246+H289+H332+H375+H418+H461</f>
        <v/>
      </c>
      <c r="I498" s="189">
        <f>I74+I117+I160+I203+I246+I289+I332+I375+I418+I461</f>
        <v/>
      </c>
      <c r="J498" s="189">
        <f>J74+J117+J160+J203+J246+J289+J332+J375+J418+J461</f>
        <v/>
      </c>
      <c r="K498" s="189">
        <f>K74+K117+K160+K203+K246+K289+K332+K375+K418+K461</f>
        <v/>
      </c>
      <c r="L498" s="189">
        <f>L74+L117+L160+L203+L246+L289+L332+L375+L418+L461</f>
        <v/>
      </c>
      <c r="M498" s="189">
        <f>M74+M117+M160+M203+M246+M289+M332+M375+M418+M461</f>
        <v/>
      </c>
      <c r="N498" s="189">
        <f>N74+N117+N160+N203+N246+N289+N332+N375+N418+N461</f>
        <v/>
      </c>
      <c r="O498" s="189">
        <f>O74+O117+O160+O203+O246+O289+O332+O375+O418+O461</f>
        <v/>
      </c>
      <c r="P498" s="189">
        <f>P74+P117+P160+P203+P246+P289+P332+P375+P418+P461</f>
        <v/>
      </c>
      <c r="Q498" s="189">
        <f>Q74+Q117+Q160+Q203+Q246+Q289+Q332+Q375+Q418+Q461</f>
        <v/>
      </c>
      <c r="R498" s="189">
        <f>R74+R117+R160+R203+R246+R289+R332+R375+R418+R461</f>
        <v/>
      </c>
      <c r="S498" s="189">
        <f>S74+S117+S160+S203+S246+S289+S332+S375+S418+S461</f>
        <v/>
      </c>
      <c r="T498" s="189">
        <f>T74+T117+T160+T203+T246+T289+T332+T375+T418+T461</f>
        <v/>
      </c>
      <c r="U498" s="189">
        <f>U74+U117+U160+U203+U246+U289+U332+U375+U418+U461</f>
        <v/>
      </c>
      <c r="V498" s="189">
        <f>V74+V117+V160+V203+V246+V289+V332+V375+V418+V461</f>
        <v/>
      </c>
      <c r="W498" s="189">
        <f>W74+W117+W160+W203+W246+W289+W332+W375+W418+W461</f>
        <v/>
      </c>
      <c r="X498" s="189">
        <f>X74+X117+X160+X203+X246+X289+X332+X375+X418+X461</f>
        <v/>
      </c>
      <c r="Y498" s="189">
        <f>Y74+Y117+Y160+Y203+Y246+Y289+Y332+Y375+Y418+Y461</f>
        <v/>
      </c>
      <c r="Z498" s="189">
        <f>Z74+Z117+Z160+Z203+Z246+Z289+Z332+Z375+Z418+Z461</f>
        <v/>
      </c>
      <c r="AA498" s="189">
        <f>AA74+AA117+AA160+AA203+AA246+AA289+AA332+AA375+AA418+AA461</f>
        <v/>
      </c>
      <c r="AB498" s="189">
        <f>AB74+AB117+AB160+AB203+AB246+AB289+AB332+AB375+AB418+AB461</f>
        <v/>
      </c>
      <c r="AC498" s="189">
        <f>AC74+AC117+AC160+AC203+AC246+AC289+AC332+AC375+AC418+AC461</f>
        <v/>
      </c>
      <c r="AD498" s="189">
        <f>AD74+AD117+AD160+AD203+AD246+AD289+AD332+AD375+AD418+AD461</f>
        <v/>
      </c>
      <c r="AE498" s="189">
        <f>AE74+AE117+AE160+AE203+AE246+AE289+AE332+AE375+AE418+AE461</f>
        <v/>
      </c>
      <c r="AF498" s="189">
        <f>AF74+AF117+AF160+AF203+AF246+AF289+AF332+AF375+AF418+AF461</f>
        <v/>
      </c>
      <c r="AG498" s="10">
        <f>AG74+AG117+AG160+AG203+AG246+AG289+AG332+AG375+AG418+AG461</f>
        <v/>
      </c>
      <c r="AH498" s="189">
        <f>AH74+AH117+AH160+AH203+AH246+AH289+AH332+AH375+AH418+AH461</f>
        <v/>
      </c>
      <c r="AI498" s="51" t="inlineStr">
        <is>
          <t>U11Y</t>
        </is>
      </c>
    </row>
    <row r="499">
      <c r="B499" s="189">
        <f>B75+B118+B161+B204+B247+B290+B333+B376+B419+B462</f>
        <v/>
      </c>
      <c r="C499" s="189">
        <f>C75+C118+C161+C204+C247+C290+C333+C376+C419+C462</f>
        <v/>
      </c>
      <c r="D499" s="189">
        <f>D75+D118+D161+D204+D247+D290+D333+D376+D419+D462</f>
        <v/>
      </c>
      <c r="E499" s="189">
        <f>E75+E118+E161+E204+E247+E290+E333+E376+E419+E462</f>
        <v/>
      </c>
      <c r="F499" s="189">
        <f>F75+F118+F161+F204+F247+F290+F333+F376+F419+F462</f>
        <v/>
      </c>
      <c r="G499" s="189">
        <f>G75+G118+G161+G204+G247+G290+G333+G376+G419+G462</f>
        <v/>
      </c>
      <c r="H499" s="189">
        <f>H75+H118+H161+H204+H247+H290+H333+H376+H419+H462</f>
        <v/>
      </c>
      <c r="I499" s="189">
        <f>I75+I118+I161+I204+I247+I290+I333+I376+I419+I462</f>
        <v/>
      </c>
      <c r="J499" s="189">
        <f>J75+J118+J161+J204+J247+J290+J333+J376+J419+J462</f>
        <v/>
      </c>
      <c r="K499" s="189">
        <f>K75+K118+K161+K204+K247+K290+K333+K376+K419+K462</f>
        <v/>
      </c>
      <c r="L499" s="189">
        <f>L75+L118+L161+L204+L247+L290+L333+L376+L419+L462</f>
        <v/>
      </c>
      <c r="M499" s="189">
        <f>M75+M118+M161+M204+M247+M290+M333+M376+M419+M462</f>
        <v/>
      </c>
      <c r="N499" s="189">
        <f>N75+N118+N161+N204+N247+N290+N333+N376+N419+N462</f>
        <v/>
      </c>
      <c r="O499" s="189">
        <f>O75+O118+O161+O204+O247+O290+O333+O376+O419+O462</f>
        <v/>
      </c>
      <c r="P499" s="189">
        <f>P75+P118+P161+P204+P247+P290+P333+P376+P419+P462</f>
        <v/>
      </c>
      <c r="Q499" s="189">
        <f>Q75+Q118+Q161+Q204+Q247+Q290+Q333+Q376+Q419+Q462</f>
        <v/>
      </c>
      <c r="R499" s="189">
        <f>R75+R118+R161+R204+R247+R290+R333+R376+R419+R462</f>
        <v/>
      </c>
      <c r="S499" s="189">
        <f>S75+S118+S161+S204+S247+S290+S333+S376+S419+S462</f>
        <v/>
      </c>
      <c r="T499" s="189">
        <f>T75+T118+T161+T204+T247+T290+T333+T376+T419+T462</f>
        <v/>
      </c>
      <c r="U499" s="189">
        <f>U75+U118+U161+U204+U247+U290+U333+U376+U419+U462</f>
        <v/>
      </c>
      <c r="V499" s="189">
        <f>V75+V118+V161+V204+V247+V290+V333+V376+V419+V462</f>
        <v/>
      </c>
      <c r="W499" s="189">
        <f>W75+W118+W161+W204+W247+W290+W333+W376+W419+W462</f>
        <v/>
      </c>
      <c r="X499" s="189">
        <f>X75+X118+X161+X204+X247+X290+X333+X376+X419+X462</f>
        <v/>
      </c>
      <c r="Y499" s="189">
        <f>Y75+Y118+Y161+Y204+Y247+Y290+Y333+Y376+Y419+Y462</f>
        <v/>
      </c>
      <c r="Z499" s="189">
        <f>Z75+Z118+Z161+Z204+Z247+Z290+Z333+Z376+Z419+Z462</f>
        <v/>
      </c>
      <c r="AA499" s="189">
        <f>AA75+AA118+AA161+AA204+AA247+AA290+AA333+AA376+AA419+AA462</f>
        <v/>
      </c>
      <c r="AB499" s="189">
        <f>AB75+AB118+AB161+AB204+AB247+AB290+AB333+AB376+AB419+AB462</f>
        <v/>
      </c>
      <c r="AC499" s="189">
        <f>AC75+AC118+AC161+AC204+AC247+AC290+AC333+AC376+AC419+AC462</f>
        <v/>
      </c>
      <c r="AD499" s="189">
        <f>AD75+AD118+AD161+AD204+AD247+AD290+AD333+AD376+AD419+AD462</f>
        <v/>
      </c>
      <c r="AE499" s="189">
        <f>AE75+AE118+AE161+AE204+AE247+AE290+AE333+AE376+AE419+AE462</f>
        <v/>
      </c>
      <c r="AF499" s="189">
        <f>AF75+AF118+AF161+AF204+AF247+AF290+AF333+AF376+AF419+AF462</f>
        <v/>
      </c>
      <c r="AG499" s="189">
        <f>AG75+AG118+AG161+AG204+AG247+AG290+AG333+AG376+AG419+AG462</f>
        <v/>
      </c>
      <c r="AH499" s="10">
        <f>AH75+AH118+AH161+AH204+AH247+AH290+AH333+AH376+AH419+AH462</f>
        <v/>
      </c>
      <c r="AI499" s="51" t="inlineStr">
        <is>
          <t>U11θ</t>
        </is>
      </c>
    </row>
    <row r="502">
      <c r="B502" s="53" t="inlineStr">
        <is>
          <t>VECTORES DE CARGAS GLOBALES {C} Y CONDICIONES DE FRONTERA / DESPLAZAMIENTOS {D}</t>
        </is>
      </c>
      <c r="C502" s="190" t="n"/>
      <c r="D502" s="190" t="n"/>
      <c r="E502" s="190" t="n"/>
      <c r="F502" s="190" t="n"/>
      <c r="G502" s="190" t="n"/>
      <c r="H502" s="190" t="n"/>
      <c r="I502" s="190" t="n"/>
      <c r="J502" s="190" t="n"/>
      <c r="K502" s="190" t="n"/>
      <c r="L502" s="190" t="n"/>
      <c r="M502" s="190" t="n"/>
      <c r="N502" s="190" t="n"/>
      <c r="O502" s="190" t="n"/>
      <c r="P502" s="190" t="n"/>
      <c r="Q502" s="190" t="n"/>
      <c r="R502" s="190" t="n"/>
      <c r="S502" s="190" t="n"/>
      <c r="T502" s="190" t="n"/>
      <c r="U502" s="190" t="n"/>
      <c r="V502" s="190" t="n"/>
      <c r="W502" s="190" t="n"/>
      <c r="X502" s="190" t="n"/>
      <c r="Y502" s="190" t="n"/>
      <c r="Z502" s="190" t="n"/>
      <c r="AA502" s="190" t="n"/>
      <c r="AB502" s="190" t="n"/>
      <c r="AC502" s="190" t="n"/>
      <c r="AD502" s="190" t="n"/>
      <c r="AE502" s="190" t="n"/>
      <c r="AF502" s="190" t="n"/>
      <c r="AG502" s="190" t="n"/>
      <c r="AH502" s="191" t="n"/>
    </row>
    <row r="503" ht="26.4" customHeight="1" s="183">
      <c r="B503" s="57" t="inlineStr">
        <is>
          <t>VECTOR DE CARGAS {C}</t>
        </is>
      </c>
      <c r="H503" s="57" t="inlineStr">
        <is>
          <t>VECTOR DE DESPLAZAMIENTOS {D}</t>
        </is>
      </c>
      <c r="N503" s="58" t="inlineStr">
        <is>
          <t>Condición GDL</t>
        </is>
      </c>
    </row>
    <row r="504" ht="26.4" customHeight="1" s="183">
      <c r="B504" s="11" t="inlineStr">
        <is>
          <t>C1X</t>
        </is>
      </c>
      <c r="C504" s="12" t="inlineStr">
        <is>
          <t>U1X</t>
        </is>
      </c>
      <c r="D504" s="187" t="inlineStr">
        <is>
          <t>=</t>
        </is>
      </c>
      <c r="E504" s="13" t="n">
        <v>0</v>
      </c>
      <c r="F504" s="12" t="inlineStr">
        <is>
          <t>U1X</t>
        </is>
      </c>
      <c r="H504" s="11" t="inlineStr">
        <is>
          <t>D1X</t>
        </is>
      </c>
      <c r="I504" s="12" t="inlineStr">
        <is>
          <t>U1X</t>
        </is>
      </c>
      <c r="J504" s="187" t="inlineStr">
        <is>
          <t>=</t>
        </is>
      </c>
      <c r="K504" s="14" t="n">
        <v>0</v>
      </c>
      <c r="L504" s="12" t="inlineStr">
        <is>
          <t>U1X</t>
        </is>
      </c>
      <c r="N504" s="186">
        <f>IF(OR($G$4=0, 1&gt;$G$4), "RESTRINGIDO", IF(ISNUMBER(K504), IF(K504=0, "RESTRINGIDO", "LIBRE"), "LIBRE"))</f>
        <v/>
      </c>
    </row>
    <row r="505" ht="26.4" customHeight="1" s="183">
      <c r="B505" s="11" t="inlineStr">
        <is>
          <t>C1Y</t>
        </is>
      </c>
      <c r="C505" s="12" t="inlineStr">
        <is>
          <t>U1Y</t>
        </is>
      </c>
      <c r="D505" s="187" t="inlineStr">
        <is>
          <t>=</t>
        </is>
      </c>
      <c r="E505" s="13" t="n">
        <v>0</v>
      </c>
      <c r="F505" s="12" t="inlineStr">
        <is>
          <t>U1Y</t>
        </is>
      </c>
      <c r="H505" s="11" t="inlineStr">
        <is>
          <t>D1Y</t>
        </is>
      </c>
      <c r="I505" s="12" t="inlineStr">
        <is>
          <t>U1Y</t>
        </is>
      </c>
      <c r="J505" s="187" t="inlineStr">
        <is>
          <t>=</t>
        </is>
      </c>
      <c r="K505" s="14" t="n">
        <v>0</v>
      </c>
      <c r="L505" s="12" t="inlineStr">
        <is>
          <t>U1Y</t>
        </is>
      </c>
      <c r="N505" s="186">
        <f>IF(OR($G$4=0, 1&gt;$G$4), "RESTRINGIDO", IF(ISNUMBER(K505), IF(K505=0, "RESTRINGIDO", "LIBRE"), "LIBRE"))</f>
        <v/>
      </c>
    </row>
    <row r="506">
      <c r="B506" s="11" t="inlineStr">
        <is>
          <t>C1θ</t>
        </is>
      </c>
      <c r="C506" s="12" t="inlineStr">
        <is>
          <t>U1θ</t>
        </is>
      </c>
      <c r="D506" s="187" t="inlineStr">
        <is>
          <t>=</t>
        </is>
      </c>
      <c r="E506" s="13" t="n">
        <v>0</v>
      </c>
      <c r="F506" s="12" t="inlineStr">
        <is>
          <t>U1θ</t>
        </is>
      </c>
      <c r="H506" s="11" t="inlineStr">
        <is>
          <t>D1θ</t>
        </is>
      </c>
      <c r="I506" s="12" t="inlineStr">
        <is>
          <t>U1θ</t>
        </is>
      </c>
      <c r="J506" s="187" t="inlineStr">
        <is>
          <t>=</t>
        </is>
      </c>
      <c r="K506" s="14">
        <f>H506</f>
        <v/>
      </c>
      <c r="L506" s="12" t="inlineStr">
        <is>
          <t>U1θ</t>
        </is>
      </c>
      <c r="N506" s="186">
        <f>IF(OR($G$4=0, 1&gt;$G$4), "RESTRINGIDO", IF(ISNUMBER(K506), IF(K506=0, "RESTRINGIDO", "LIBRE"), "LIBRE"))</f>
        <v/>
      </c>
    </row>
    <row r="507">
      <c r="B507" s="11" t="inlineStr">
        <is>
          <t>C2X</t>
        </is>
      </c>
      <c r="C507" s="12" t="inlineStr">
        <is>
          <t>U2X</t>
        </is>
      </c>
      <c r="D507" s="187" t="inlineStr">
        <is>
          <t>=</t>
        </is>
      </c>
      <c r="E507" s="13" t="n">
        <v>0</v>
      </c>
      <c r="F507" s="12" t="inlineStr">
        <is>
          <t>U2X</t>
        </is>
      </c>
      <c r="H507" s="11" t="inlineStr">
        <is>
          <t>D2X</t>
        </is>
      </c>
      <c r="I507" s="12" t="inlineStr">
        <is>
          <t>U2X</t>
        </is>
      </c>
      <c r="J507" s="187" t="inlineStr">
        <is>
          <t>=</t>
        </is>
      </c>
      <c r="K507" s="14">
        <f>H507</f>
        <v/>
      </c>
      <c r="L507" s="12" t="inlineStr">
        <is>
          <t>U2X</t>
        </is>
      </c>
      <c r="N507" s="186">
        <f>IF(OR($G$4=0, 2&gt;$G$4), "RESTRINGIDO", IF(ISNUMBER(K507), IF(K507=0, "RESTRINGIDO", "LIBRE"), "LIBRE"))</f>
        <v/>
      </c>
    </row>
    <row r="508">
      <c r="B508" s="11" t="inlineStr">
        <is>
          <t>C2Y</t>
        </is>
      </c>
      <c r="C508" s="12" t="inlineStr">
        <is>
          <t>U2Y</t>
        </is>
      </c>
      <c r="D508" s="187" t="inlineStr">
        <is>
          <t>=</t>
        </is>
      </c>
      <c r="E508" s="13" t="n">
        <v>-2000</v>
      </c>
      <c r="F508" s="12" t="inlineStr">
        <is>
          <t>U2Y</t>
        </is>
      </c>
      <c r="H508" s="11" t="inlineStr">
        <is>
          <t>D2Y</t>
        </is>
      </c>
      <c r="I508" s="12" t="inlineStr">
        <is>
          <t>U2Y</t>
        </is>
      </c>
      <c r="J508" s="187" t="inlineStr">
        <is>
          <t>=</t>
        </is>
      </c>
      <c r="K508" s="14">
        <f>H508</f>
        <v/>
      </c>
      <c r="L508" s="12" t="inlineStr">
        <is>
          <t>U2Y</t>
        </is>
      </c>
      <c r="N508" s="186">
        <f>IF(OR($G$4=0, 2&gt;$G$4), "RESTRINGIDO", IF(ISNUMBER(K508), IF(K508=0, "RESTRINGIDO", "LIBRE"), "LIBRE"))</f>
        <v/>
      </c>
    </row>
    <row r="509">
      <c r="B509" s="11" t="inlineStr">
        <is>
          <t>C2θ</t>
        </is>
      </c>
      <c r="C509" s="12" t="inlineStr">
        <is>
          <t>U2θ</t>
        </is>
      </c>
      <c r="D509" s="187" t="inlineStr">
        <is>
          <t>=</t>
        </is>
      </c>
      <c r="E509" s="13" t="n">
        <v>0</v>
      </c>
      <c r="F509" s="12" t="inlineStr">
        <is>
          <t>U2θ</t>
        </is>
      </c>
      <c r="H509" s="11" t="inlineStr">
        <is>
          <t>D2θ</t>
        </is>
      </c>
      <c r="I509" s="12" t="inlineStr">
        <is>
          <t>U2θ</t>
        </is>
      </c>
      <c r="J509" s="187" t="inlineStr">
        <is>
          <t>=</t>
        </is>
      </c>
      <c r="K509" s="14">
        <f>H509</f>
        <v/>
      </c>
      <c r="L509" s="12" t="inlineStr">
        <is>
          <t>U2θ</t>
        </is>
      </c>
      <c r="N509" s="186">
        <f>IF(OR($G$4=0, 2&gt;$G$4), "RESTRINGIDO", IF(ISNUMBER(K509), IF(K509=0, "RESTRINGIDO", "LIBRE"), "LIBRE"))</f>
        <v/>
      </c>
    </row>
    <row r="510">
      <c r="B510" s="11" t="inlineStr">
        <is>
          <t>C3X</t>
        </is>
      </c>
      <c r="C510" s="12" t="inlineStr">
        <is>
          <t>U3X</t>
        </is>
      </c>
      <c r="D510" s="187" t="inlineStr">
        <is>
          <t>=</t>
        </is>
      </c>
      <c r="E510" s="13" t="n">
        <v>0</v>
      </c>
      <c r="F510" s="12" t="inlineStr">
        <is>
          <t>U3X</t>
        </is>
      </c>
      <c r="H510" s="11" t="inlineStr">
        <is>
          <t>D3X</t>
        </is>
      </c>
      <c r="I510" s="12" t="inlineStr">
        <is>
          <t>U3X</t>
        </is>
      </c>
      <c r="J510" s="187" t="inlineStr">
        <is>
          <t>=</t>
        </is>
      </c>
      <c r="K510" s="14">
        <f>H510</f>
        <v/>
      </c>
      <c r="L510" s="12" t="inlineStr">
        <is>
          <t>U3X</t>
        </is>
      </c>
      <c r="N510" s="186">
        <f>IF(OR($G$4=0, 3&gt;$G$4), "RESTRINGIDO", IF(ISNUMBER(K510), IF(K510=0, "RESTRINGIDO", "LIBRE"), "LIBRE"))</f>
        <v/>
      </c>
    </row>
    <row r="511" ht="26.4" customHeight="1" s="183">
      <c r="B511" s="11" t="inlineStr">
        <is>
          <t>C3Y</t>
        </is>
      </c>
      <c r="C511" s="12" t="inlineStr">
        <is>
          <t>U3Y</t>
        </is>
      </c>
      <c r="D511" s="187" t="inlineStr">
        <is>
          <t>=</t>
        </is>
      </c>
      <c r="E511" s="13" t="n">
        <v>0</v>
      </c>
      <c r="F511" s="12" t="inlineStr">
        <is>
          <t>U3Y</t>
        </is>
      </c>
      <c r="H511" s="11" t="inlineStr">
        <is>
          <t>D3Y</t>
        </is>
      </c>
      <c r="I511" s="12" t="inlineStr">
        <is>
          <t>U3Y</t>
        </is>
      </c>
      <c r="J511" s="187" t="inlineStr">
        <is>
          <t>=</t>
        </is>
      </c>
      <c r="K511" s="14" t="n">
        <v>0</v>
      </c>
      <c r="L511" s="12" t="inlineStr">
        <is>
          <t>U3Y</t>
        </is>
      </c>
      <c r="N511" s="186">
        <f>IF(OR($G$4=0, 3&gt;$G$4), "RESTRINGIDO", IF(ISNUMBER(K511), IF(K511=0, "RESTRINGIDO", "LIBRE"), "LIBRE"))</f>
        <v/>
      </c>
    </row>
    <row r="512">
      <c r="B512" s="11" t="inlineStr">
        <is>
          <t>C3θ</t>
        </is>
      </c>
      <c r="C512" s="12" t="inlineStr">
        <is>
          <t>U3θ</t>
        </is>
      </c>
      <c r="D512" s="187" t="inlineStr">
        <is>
          <t>=</t>
        </is>
      </c>
      <c r="E512" s="13" t="n">
        <v>0</v>
      </c>
      <c r="F512" s="12" t="inlineStr">
        <is>
          <t>U3θ</t>
        </is>
      </c>
      <c r="H512" s="11" t="inlineStr">
        <is>
          <t>D3θ</t>
        </is>
      </c>
      <c r="I512" s="12" t="inlineStr">
        <is>
          <t>U3θ</t>
        </is>
      </c>
      <c r="J512" s="187" t="inlineStr">
        <is>
          <t>=</t>
        </is>
      </c>
      <c r="K512" s="14">
        <f>H512</f>
        <v/>
      </c>
      <c r="L512" s="12" t="inlineStr">
        <is>
          <t>U3θ</t>
        </is>
      </c>
      <c r="N512" s="186">
        <f>IF(OR($G$4=0, 3&gt;$G$4), "RESTRINGIDO", IF(ISNUMBER(K512), IF(K512=0, "RESTRINGIDO", "LIBRE"), "LIBRE"))</f>
        <v/>
      </c>
    </row>
    <row r="513" ht="26.4" customHeight="1" s="183">
      <c r="B513" s="11" t="inlineStr">
        <is>
          <t>C4X</t>
        </is>
      </c>
      <c r="C513" s="12" t="inlineStr">
        <is>
          <t>U4X</t>
        </is>
      </c>
      <c r="D513" s="187" t="inlineStr">
        <is>
          <t>=</t>
        </is>
      </c>
      <c r="E513" s="13" t="n">
        <v>0</v>
      </c>
      <c r="F513" s="12" t="inlineStr">
        <is>
          <t>U4X</t>
        </is>
      </c>
      <c r="H513" s="11" t="inlineStr">
        <is>
          <t>D4X</t>
        </is>
      </c>
      <c r="I513" s="12" t="inlineStr">
        <is>
          <t>U4X</t>
        </is>
      </c>
      <c r="J513" s="187" t="inlineStr">
        <is>
          <t>=</t>
        </is>
      </c>
      <c r="K513" s="14">
        <f>H513</f>
        <v/>
      </c>
      <c r="L513" s="12" t="inlineStr">
        <is>
          <t>U4X</t>
        </is>
      </c>
      <c r="N513" s="186">
        <f>IF(OR($G$4=0, 4&gt;$G$4), "RESTRINGIDO", IF(ISNUMBER(K513), IF(K513=0, "RESTRINGIDO", "LIBRE"), "LIBRE"))</f>
        <v/>
      </c>
    </row>
    <row r="514" ht="26.4" customHeight="1" s="183">
      <c r="B514" s="11" t="inlineStr">
        <is>
          <t>C4Y</t>
        </is>
      </c>
      <c r="C514" s="12" t="inlineStr">
        <is>
          <t>U4Y</t>
        </is>
      </c>
      <c r="D514" s="187" t="inlineStr">
        <is>
          <t>=</t>
        </is>
      </c>
      <c r="E514" s="13" t="n">
        <v>0</v>
      </c>
      <c r="F514" s="12" t="inlineStr">
        <is>
          <t>U4Y</t>
        </is>
      </c>
      <c r="H514" s="11" t="inlineStr">
        <is>
          <t>D4Y</t>
        </is>
      </c>
      <c r="I514" s="12" t="inlineStr">
        <is>
          <t>U4Y</t>
        </is>
      </c>
      <c r="J514" s="187" t="inlineStr">
        <is>
          <t>=</t>
        </is>
      </c>
      <c r="K514" s="14">
        <f>H514</f>
        <v/>
      </c>
      <c r="L514" s="12" t="inlineStr">
        <is>
          <t>U4Y</t>
        </is>
      </c>
      <c r="N514" s="186">
        <f>IF(OR($G$4=0, 4&gt;$G$4), "RESTRINGIDO", IF(ISNUMBER(K514), IF(K514=0, "RESTRINGIDO", "LIBRE"), "LIBRE"))</f>
        <v/>
      </c>
    </row>
    <row r="515" ht="26.4" customHeight="1" s="183">
      <c r="B515" s="11" t="inlineStr">
        <is>
          <t>C4θ</t>
        </is>
      </c>
      <c r="C515" s="12" t="inlineStr">
        <is>
          <t>U4θ</t>
        </is>
      </c>
      <c r="D515" s="187" t="inlineStr">
        <is>
          <t>=</t>
        </is>
      </c>
      <c r="E515" s="13" t="n">
        <v>0</v>
      </c>
      <c r="F515" s="12" t="inlineStr">
        <is>
          <t>U4θ</t>
        </is>
      </c>
      <c r="H515" s="11" t="inlineStr">
        <is>
          <t>D4θ</t>
        </is>
      </c>
      <c r="I515" s="12" t="inlineStr">
        <is>
          <t>U4θ</t>
        </is>
      </c>
      <c r="J515" s="187" t="inlineStr">
        <is>
          <t>=</t>
        </is>
      </c>
      <c r="K515" s="14">
        <f>H515</f>
        <v/>
      </c>
      <c r="L515" s="12" t="inlineStr">
        <is>
          <t>U4θ</t>
        </is>
      </c>
      <c r="N515" s="186">
        <f>IF(OR($G$4=0, 4&gt;$G$4), "RESTRINGIDO", IF(ISNUMBER(K515), IF(K515=0, "RESTRINGIDO", "LIBRE"), "LIBRE"))</f>
        <v/>
      </c>
    </row>
    <row r="516" ht="26.4" customHeight="1" s="183">
      <c r="B516" s="11" t="inlineStr">
        <is>
          <t>C5X</t>
        </is>
      </c>
      <c r="C516" s="12" t="inlineStr">
        <is>
          <t>U5X</t>
        </is>
      </c>
      <c r="D516" s="187" t="inlineStr">
        <is>
          <t>=</t>
        </is>
      </c>
      <c r="E516" s="13" t="n">
        <v>0</v>
      </c>
      <c r="F516" s="12" t="inlineStr">
        <is>
          <t>U5X</t>
        </is>
      </c>
      <c r="H516" s="11" t="inlineStr">
        <is>
          <t>D5X</t>
        </is>
      </c>
      <c r="I516" s="12" t="inlineStr">
        <is>
          <t>U5X</t>
        </is>
      </c>
      <c r="J516" s="187" t="inlineStr">
        <is>
          <t>=</t>
        </is>
      </c>
      <c r="K516" s="14">
        <f>H516</f>
        <v/>
      </c>
      <c r="L516" s="12" t="inlineStr">
        <is>
          <t>U5X</t>
        </is>
      </c>
      <c r="N516" s="186">
        <f>IF(OR($G$4=0, 5&gt;$G$4), "RESTRINGIDO", IF(ISNUMBER(K516), IF(K516=0, "RESTRINGIDO", "LIBRE"), "LIBRE"))</f>
        <v/>
      </c>
    </row>
    <row r="517" ht="26.4" customHeight="1" s="183">
      <c r="B517" s="11" t="inlineStr">
        <is>
          <t>C5Y</t>
        </is>
      </c>
      <c r="C517" s="12" t="inlineStr">
        <is>
          <t>U5Y</t>
        </is>
      </c>
      <c r="D517" s="187" t="inlineStr">
        <is>
          <t>=</t>
        </is>
      </c>
      <c r="E517" s="13" t="n">
        <v>0</v>
      </c>
      <c r="F517" s="12" t="inlineStr">
        <is>
          <t>U5Y</t>
        </is>
      </c>
      <c r="H517" s="11" t="inlineStr">
        <is>
          <t>D5Y</t>
        </is>
      </c>
      <c r="I517" s="12" t="inlineStr">
        <is>
          <t>U5Y</t>
        </is>
      </c>
      <c r="J517" s="187" t="inlineStr">
        <is>
          <t>=</t>
        </is>
      </c>
      <c r="K517" s="14">
        <f>H517</f>
        <v/>
      </c>
      <c r="L517" s="12" t="inlineStr">
        <is>
          <t>U5Y</t>
        </is>
      </c>
      <c r="N517" s="186">
        <f>IF(OR($G$4=0, 5&gt;$G$4), "RESTRINGIDO", IF(ISNUMBER(K517), IF(K517=0, "RESTRINGIDO", "LIBRE"), "LIBRE"))</f>
        <v/>
      </c>
    </row>
    <row r="518" ht="26.4" customHeight="1" s="183">
      <c r="B518" s="11" t="inlineStr">
        <is>
          <t>C5θ</t>
        </is>
      </c>
      <c r="C518" s="12" t="inlineStr">
        <is>
          <t>U5θ</t>
        </is>
      </c>
      <c r="D518" s="187" t="inlineStr">
        <is>
          <t>=</t>
        </is>
      </c>
      <c r="E518" s="13" t="n">
        <v>0</v>
      </c>
      <c r="F518" s="12" t="inlineStr">
        <is>
          <t>U5θ</t>
        </is>
      </c>
      <c r="H518" s="11" t="inlineStr">
        <is>
          <t>D5θ</t>
        </is>
      </c>
      <c r="I518" s="12" t="inlineStr">
        <is>
          <t>U5θ</t>
        </is>
      </c>
      <c r="J518" s="187" t="inlineStr">
        <is>
          <t>=</t>
        </is>
      </c>
      <c r="K518" s="14">
        <f>H518</f>
        <v/>
      </c>
      <c r="L518" s="12" t="inlineStr">
        <is>
          <t>U5θ</t>
        </is>
      </c>
      <c r="N518" s="186">
        <f>IF(OR($G$4=0, 5&gt;$G$4), "RESTRINGIDO", IF(ISNUMBER(K518), IF(K518=0, "RESTRINGIDO", "LIBRE"), "LIBRE"))</f>
        <v/>
      </c>
    </row>
    <row r="519" ht="26.4" customHeight="1" s="183">
      <c r="B519" s="11" t="inlineStr">
        <is>
          <t>C6X</t>
        </is>
      </c>
      <c r="C519" s="12" t="inlineStr">
        <is>
          <t>U6X</t>
        </is>
      </c>
      <c r="D519" s="187" t="inlineStr">
        <is>
          <t>=</t>
        </is>
      </c>
      <c r="E519" s="13" t="n">
        <v>0</v>
      </c>
      <c r="F519" s="12" t="inlineStr">
        <is>
          <t>U6X</t>
        </is>
      </c>
      <c r="H519" s="11" t="inlineStr">
        <is>
          <t>D6X</t>
        </is>
      </c>
      <c r="I519" s="12" t="inlineStr">
        <is>
          <t>U6X</t>
        </is>
      </c>
      <c r="J519" s="187" t="inlineStr">
        <is>
          <t>=</t>
        </is>
      </c>
      <c r="K519" s="14">
        <f>H519</f>
        <v/>
      </c>
      <c r="L519" s="12" t="inlineStr">
        <is>
          <t>U6X</t>
        </is>
      </c>
      <c r="N519" s="186">
        <f>IF(OR($G$4=0, 6&gt;$G$4), "RESTRINGIDO", IF(ISNUMBER(K519), IF(K519=0, "RESTRINGIDO", "LIBRE"), "LIBRE"))</f>
        <v/>
      </c>
    </row>
    <row r="520" ht="26.4" customHeight="1" s="183">
      <c r="B520" s="11" t="inlineStr">
        <is>
          <t>C6Y</t>
        </is>
      </c>
      <c r="C520" s="12" t="inlineStr">
        <is>
          <t>U6Y</t>
        </is>
      </c>
      <c r="D520" s="187" t="inlineStr">
        <is>
          <t>=</t>
        </is>
      </c>
      <c r="E520" s="13" t="n">
        <v>0</v>
      </c>
      <c r="F520" s="12" t="inlineStr">
        <is>
          <t>U6Y</t>
        </is>
      </c>
      <c r="H520" s="11" t="inlineStr">
        <is>
          <t>D6Y</t>
        </is>
      </c>
      <c r="I520" s="12" t="inlineStr">
        <is>
          <t>U6Y</t>
        </is>
      </c>
      <c r="J520" s="187" t="inlineStr">
        <is>
          <t>=</t>
        </is>
      </c>
      <c r="K520" s="14">
        <f>H520</f>
        <v/>
      </c>
      <c r="L520" s="12" t="inlineStr">
        <is>
          <t>U6Y</t>
        </is>
      </c>
      <c r="N520" s="186">
        <f>IF(OR($G$4=0, 6&gt;$G$4), "RESTRINGIDO", IF(ISNUMBER(K520), IF(K520=0, "RESTRINGIDO", "LIBRE"), "LIBRE"))</f>
        <v/>
      </c>
    </row>
    <row r="521" ht="26.4" customHeight="1" s="183">
      <c r="B521" s="11" t="inlineStr">
        <is>
          <t>C6θ</t>
        </is>
      </c>
      <c r="C521" s="12" t="inlineStr">
        <is>
          <t>U6θ</t>
        </is>
      </c>
      <c r="D521" s="187" t="inlineStr">
        <is>
          <t>=</t>
        </is>
      </c>
      <c r="E521" s="13" t="n">
        <v>0</v>
      </c>
      <c r="F521" s="12" t="inlineStr">
        <is>
          <t>U6θ</t>
        </is>
      </c>
      <c r="H521" s="11" t="inlineStr">
        <is>
          <t>D6θ</t>
        </is>
      </c>
      <c r="I521" s="12" t="inlineStr">
        <is>
          <t>U6θ</t>
        </is>
      </c>
      <c r="J521" s="187" t="inlineStr">
        <is>
          <t>=</t>
        </is>
      </c>
      <c r="K521" s="14">
        <f>H521</f>
        <v/>
      </c>
      <c r="L521" s="12" t="inlineStr">
        <is>
          <t>U6θ</t>
        </is>
      </c>
      <c r="N521" s="186">
        <f>IF(OR($G$4=0, 6&gt;$G$4), "RESTRINGIDO", IF(ISNUMBER(K521), IF(K521=0, "RESTRINGIDO", "LIBRE"), "LIBRE"))</f>
        <v/>
      </c>
    </row>
    <row r="522" ht="26.4" customHeight="1" s="183">
      <c r="B522" s="11" t="inlineStr">
        <is>
          <t>C7X</t>
        </is>
      </c>
      <c r="C522" s="12" t="inlineStr">
        <is>
          <t>U7X</t>
        </is>
      </c>
      <c r="D522" s="187" t="inlineStr">
        <is>
          <t>=</t>
        </is>
      </c>
      <c r="E522" s="13" t="n">
        <v>0</v>
      </c>
      <c r="F522" s="12" t="inlineStr">
        <is>
          <t>U7X</t>
        </is>
      </c>
      <c r="H522" s="11" t="inlineStr">
        <is>
          <t>D7X</t>
        </is>
      </c>
      <c r="I522" s="12" t="inlineStr">
        <is>
          <t>U7X</t>
        </is>
      </c>
      <c r="J522" s="187" t="inlineStr">
        <is>
          <t>=</t>
        </is>
      </c>
      <c r="K522" s="14">
        <f>H522</f>
        <v/>
      </c>
      <c r="L522" s="12" t="inlineStr">
        <is>
          <t>U7X</t>
        </is>
      </c>
      <c r="N522" s="186">
        <f>IF(OR($G$4=0, 7&gt;$G$4), "RESTRINGIDO", IF(ISNUMBER(K522), IF(K522=0, "RESTRINGIDO", "LIBRE"), "LIBRE"))</f>
        <v/>
      </c>
    </row>
    <row r="523" ht="26.4" customHeight="1" s="183">
      <c r="B523" s="11" t="inlineStr">
        <is>
          <t>C7Y</t>
        </is>
      </c>
      <c r="C523" s="12" t="inlineStr">
        <is>
          <t>U7Y</t>
        </is>
      </c>
      <c r="D523" s="187" t="inlineStr">
        <is>
          <t>=</t>
        </is>
      </c>
      <c r="E523" s="13" t="n">
        <v>0</v>
      </c>
      <c r="F523" s="12" t="inlineStr">
        <is>
          <t>U7Y</t>
        </is>
      </c>
      <c r="H523" s="11" t="inlineStr">
        <is>
          <t>D7Y</t>
        </is>
      </c>
      <c r="I523" s="12" t="inlineStr">
        <is>
          <t>U7Y</t>
        </is>
      </c>
      <c r="J523" s="187" t="inlineStr">
        <is>
          <t>=</t>
        </is>
      </c>
      <c r="K523" s="14">
        <f>H523</f>
        <v/>
      </c>
      <c r="L523" s="12" t="inlineStr">
        <is>
          <t>U7Y</t>
        </is>
      </c>
      <c r="N523" s="186">
        <f>IF(OR($G$4=0, 7&gt;$G$4), "RESTRINGIDO", IF(ISNUMBER(K523), IF(K523=0, "RESTRINGIDO", "LIBRE"), "LIBRE"))</f>
        <v/>
      </c>
    </row>
    <row r="524" ht="26.4" customHeight="1" s="183">
      <c r="B524" s="11" t="inlineStr">
        <is>
          <t>C7θ</t>
        </is>
      </c>
      <c r="C524" s="12" t="inlineStr">
        <is>
          <t>U7θ</t>
        </is>
      </c>
      <c r="D524" s="187" t="inlineStr">
        <is>
          <t>=</t>
        </is>
      </c>
      <c r="E524" s="13" t="n">
        <v>0</v>
      </c>
      <c r="F524" s="12" t="inlineStr">
        <is>
          <t>U7θ</t>
        </is>
      </c>
      <c r="H524" s="11" t="inlineStr">
        <is>
          <t>D7θ</t>
        </is>
      </c>
      <c r="I524" s="12" t="inlineStr">
        <is>
          <t>U7θ</t>
        </is>
      </c>
      <c r="J524" s="187" t="inlineStr">
        <is>
          <t>=</t>
        </is>
      </c>
      <c r="K524" s="14">
        <f>H524</f>
        <v/>
      </c>
      <c r="L524" s="12" t="inlineStr">
        <is>
          <t>U7θ</t>
        </is>
      </c>
      <c r="N524" s="186">
        <f>IF(OR($G$4=0, 7&gt;$G$4), "RESTRINGIDO", IF(ISNUMBER(K524), IF(K524=0, "RESTRINGIDO", "LIBRE"), "LIBRE"))</f>
        <v/>
      </c>
    </row>
    <row r="525" ht="26.4" customHeight="1" s="183">
      <c r="B525" s="11" t="inlineStr">
        <is>
          <t>C8X</t>
        </is>
      </c>
      <c r="C525" s="12" t="inlineStr">
        <is>
          <t>U8X</t>
        </is>
      </c>
      <c r="D525" s="187" t="inlineStr">
        <is>
          <t>=</t>
        </is>
      </c>
      <c r="E525" s="13" t="n">
        <v>0</v>
      </c>
      <c r="F525" s="12" t="inlineStr">
        <is>
          <t>U8X</t>
        </is>
      </c>
      <c r="H525" s="11" t="inlineStr">
        <is>
          <t>D8X</t>
        </is>
      </c>
      <c r="I525" s="12" t="inlineStr">
        <is>
          <t>U8X</t>
        </is>
      </c>
      <c r="J525" s="187" t="inlineStr">
        <is>
          <t>=</t>
        </is>
      </c>
      <c r="K525" s="14">
        <f>H525</f>
        <v/>
      </c>
      <c r="L525" s="12" t="inlineStr">
        <is>
          <t>U8X</t>
        </is>
      </c>
      <c r="N525" s="186">
        <f>IF(OR($G$4=0, 8&gt;$G$4), "RESTRINGIDO", IF(ISNUMBER(K525), IF(K525=0, "RESTRINGIDO", "LIBRE"), "LIBRE"))</f>
        <v/>
      </c>
    </row>
    <row r="526" ht="26.4" customHeight="1" s="183">
      <c r="B526" s="11" t="inlineStr">
        <is>
          <t>C8Y</t>
        </is>
      </c>
      <c r="C526" s="12" t="inlineStr">
        <is>
          <t>U8Y</t>
        </is>
      </c>
      <c r="D526" s="187" t="inlineStr">
        <is>
          <t>=</t>
        </is>
      </c>
      <c r="E526" s="13" t="n">
        <v>0</v>
      </c>
      <c r="F526" s="12" t="inlineStr">
        <is>
          <t>U8Y</t>
        </is>
      </c>
      <c r="H526" s="11" t="inlineStr">
        <is>
          <t>D8Y</t>
        </is>
      </c>
      <c r="I526" s="12" t="inlineStr">
        <is>
          <t>U8Y</t>
        </is>
      </c>
      <c r="J526" s="187" t="inlineStr">
        <is>
          <t>=</t>
        </is>
      </c>
      <c r="K526" s="14">
        <f>H526</f>
        <v/>
      </c>
      <c r="L526" s="12" t="inlineStr">
        <is>
          <t>U8Y</t>
        </is>
      </c>
      <c r="N526" s="186">
        <f>IF(OR($G$4=0, 8&gt;$G$4), "RESTRINGIDO", IF(ISNUMBER(K526), IF(K526=0, "RESTRINGIDO", "LIBRE"), "LIBRE"))</f>
        <v/>
      </c>
    </row>
    <row r="527" ht="26.4" customHeight="1" s="183">
      <c r="B527" s="11" t="inlineStr">
        <is>
          <t>C8θ</t>
        </is>
      </c>
      <c r="C527" s="12" t="inlineStr">
        <is>
          <t>U8θ</t>
        </is>
      </c>
      <c r="D527" s="187" t="inlineStr">
        <is>
          <t>=</t>
        </is>
      </c>
      <c r="E527" s="13" t="n">
        <v>0</v>
      </c>
      <c r="F527" s="12" t="inlineStr">
        <is>
          <t>U8θ</t>
        </is>
      </c>
      <c r="H527" s="11" t="inlineStr">
        <is>
          <t>D8θ</t>
        </is>
      </c>
      <c r="I527" s="12" t="inlineStr">
        <is>
          <t>U8θ</t>
        </is>
      </c>
      <c r="J527" s="187" t="inlineStr">
        <is>
          <t>=</t>
        </is>
      </c>
      <c r="K527" s="14">
        <f>H527</f>
        <v/>
      </c>
      <c r="L527" s="12" t="inlineStr">
        <is>
          <t>U8θ</t>
        </is>
      </c>
      <c r="N527" s="186">
        <f>IF(OR($G$4=0, 8&gt;$G$4), "RESTRINGIDO", IF(ISNUMBER(K527), IF(K527=0, "RESTRINGIDO", "LIBRE"), "LIBRE"))</f>
        <v/>
      </c>
    </row>
    <row r="528" ht="26.4" customHeight="1" s="183">
      <c r="B528" s="11" t="inlineStr">
        <is>
          <t>C9X</t>
        </is>
      </c>
      <c r="C528" s="12" t="inlineStr">
        <is>
          <t>U9X</t>
        </is>
      </c>
      <c r="D528" s="187" t="inlineStr">
        <is>
          <t>=</t>
        </is>
      </c>
      <c r="E528" s="13" t="n">
        <v>0</v>
      </c>
      <c r="F528" s="12" t="inlineStr">
        <is>
          <t>U9X</t>
        </is>
      </c>
      <c r="H528" s="11" t="inlineStr">
        <is>
          <t>D9X</t>
        </is>
      </c>
      <c r="I528" s="12" t="inlineStr">
        <is>
          <t>U9X</t>
        </is>
      </c>
      <c r="J528" s="187" t="inlineStr">
        <is>
          <t>=</t>
        </is>
      </c>
      <c r="K528" s="14">
        <f>H528</f>
        <v/>
      </c>
      <c r="L528" s="12" t="inlineStr">
        <is>
          <t>U9X</t>
        </is>
      </c>
      <c r="N528" s="186">
        <f>IF(OR($G$4=0, 9&gt;$G$4), "RESTRINGIDO", IF(ISNUMBER(K528), IF(K528=0, "RESTRINGIDO", "LIBRE"), "LIBRE"))</f>
        <v/>
      </c>
    </row>
    <row r="529" ht="26.4" customHeight="1" s="183">
      <c r="B529" s="11" t="inlineStr">
        <is>
          <t>C9Y</t>
        </is>
      </c>
      <c r="C529" s="12" t="inlineStr">
        <is>
          <t>U9Y</t>
        </is>
      </c>
      <c r="D529" s="187" t="inlineStr">
        <is>
          <t>=</t>
        </is>
      </c>
      <c r="E529" s="13" t="n">
        <v>0</v>
      </c>
      <c r="F529" s="12" t="inlineStr">
        <is>
          <t>U9Y</t>
        </is>
      </c>
      <c r="H529" s="11" t="inlineStr">
        <is>
          <t>D9Y</t>
        </is>
      </c>
      <c r="I529" s="12" t="inlineStr">
        <is>
          <t>U9Y</t>
        </is>
      </c>
      <c r="J529" s="187" t="inlineStr">
        <is>
          <t>=</t>
        </is>
      </c>
      <c r="K529" s="14">
        <f>H529</f>
        <v/>
      </c>
      <c r="L529" s="12" t="inlineStr">
        <is>
          <t>U9Y</t>
        </is>
      </c>
      <c r="N529" s="186">
        <f>IF(OR($G$4=0, 9&gt;$G$4), "RESTRINGIDO", IF(ISNUMBER(K529), IF(K529=0, "RESTRINGIDO", "LIBRE"), "LIBRE"))</f>
        <v/>
      </c>
    </row>
    <row r="530" ht="26.4" customHeight="1" s="183">
      <c r="B530" s="11" t="inlineStr">
        <is>
          <t>C9θ</t>
        </is>
      </c>
      <c r="C530" s="12" t="inlineStr">
        <is>
          <t>U9θ</t>
        </is>
      </c>
      <c r="D530" s="187" t="inlineStr">
        <is>
          <t>=</t>
        </is>
      </c>
      <c r="E530" s="13" t="n">
        <v>0</v>
      </c>
      <c r="F530" s="12" t="inlineStr">
        <is>
          <t>U9θ</t>
        </is>
      </c>
      <c r="H530" s="11" t="inlineStr">
        <is>
          <t>D9θ</t>
        </is>
      </c>
      <c r="I530" s="12" t="inlineStr">
        <is>
          <t>U9θ</t>
        </is>
      </c>
      <c r="J530" s="187" t="inlineStr">
        <is>
          <t>=</t>
        </is>
      </c>
      <c r="K530" s="14">
        <f>H530</f>
        <v/>
      </c>
      <c r="L530" s="12" t="inlineStr">
        <is>
          <t>U9θ</t>
        </is>
      </c>
      <c r="N530" s="186">
        <f>IF(OR($G$4=0, 9&gt;$G$4), "RESTRINGIDO", IF(ISNUMBER(K530), IF(K530=0, "RESTRINGIDO", "LIBRE"), "LIBRE"))</f>
        <v/>
      </c>
    </row>
    <row r="531" ht="26.4" customHeight="1" s="183">
      <c r="B531" s="11" t="inlineStr">
        <is>
          <t>C10X</t>
        </is>
      </c>
      <c r="C531" s="12" t="inlineStr">
        <is>
          <t>U10X</t>
        </is>
      </c>
      <c r="D531" s="187" t="inlineStr">
        <is>
          <t>=</t>
        </is>
      </c>
      <c r="E531" s="13" t="n">
        <v>0</v>
      </c>
      <c r="F531" s="12" t="inlineStr">
        <is>
          <t>U10X</t>
        </is>
      </c>
      <c r="H531" s="11" t="inlineStr">
        <is>
          <t>D10X</t>
        </is>
      </c>
      <c r="I531" s="12" t="inlineStr">
        <is>
          <t>U10X</t>
        </is>
      </c>
      <c r="J531" s="187" t="inlineStr">
        <is>
          <t>=</t>
        </is>
      </c>
      <c r="K531" s="14">
        <f>H531</f>
        <v/>
      </c>
      <c r="L531" s="12" t="inlineStr">
        <is>
          <t>U10X</t>
        </is>
      </c>
      <c r="N531" s="186">
        <f>IF(OR($G$4=0, 10&gt;$G$4), "RESTRINGIDO", IF(ISNUMBER(K531), IF(K531=0, "RESTRINGIDO", "LIBRE"), "LIBRE"))</f>
        <v/>
      </c>
    </row>
    <row r="532" ht="26.4" customHeight="1" s="183">
      <c r="B532" s="11" t="inlineStr">
        <is>
          <t>C10Y</t>
        </is>
      </c>
      <c r="C532" s="12" t="inlineStr">
        <is>
          <t>U10Y</t>
        </is>
      </c>
      <c r="D532" s="187" t="inlineStr">
        <is>
          <t>=</t>
        </is>
      </c>
      <c r="E532" s="13" t="n">
        <v>0</v>
      </c>
      <c r="F532" s="12" t="inlineStr">
        <is>
          <t>U10Y</t>
        </is>
      </c>
      <c r="H532" s="11" t="inlineStr">
        <is>
          <t>D10Y</t>
        </is>
      </c>
      <c r="I532" s="12" t="inlineStr">
        <is>
          <t>U10Y</t>
        </is>
      </c>
      <c r="J532" s="187" t="inlineStr">
        <is>
          <t>=</t>
        </is>
      </c>
      <c r="K532" s="14">
        <f>H532</f>
        <v/>
      </c>
      <c r="L532" s="12" t="inlineStr">
        <is>
          <t>U10Y</t>
        </is>
      </c>
      <c r="N532" s="186">
        <f>IF(OR($G$4=0, 10&gt;$G$4), "RESTRINGIDO", IF(ISNUMBER(K532), IF(K532=0, "RESTRINGIDO", "LIBRE"), "LIBRE"))</f>
        <v/>
      </c>
    </row>
    <row r="533" ht="26.4" customHeight="1" s="183">
      <c r="B533" s="11" t="inlineStr">
        <is>
          <t>C10θ</t>
        </is>
      </c>
      <c r="C533" s="12" t="inlineStr">
        <is>
          <t>U10θ</t>
        </is>
      </c>
      <c r="D533" s="187" t="inlineStr">
        <is>
          <t>=</t>
        </is>
      </c>
      <c r="E533" s="13" t="n">
        <v>0</v>
      </c>
      <c r="F533" s="12" t="inlineStr">
        <is>
          <t>U10θ</t>
        </is>
      </c>
      <c r="H533" s="11" t="inlineStr">
        <is>
          <t>D10θ</t>
        </is>
      </c>
      <c r="I533" s="12" t="inlineStr">
        <is>
          <t>U10θ</t>
        </is>
      </c>
      <c r="J533" s="187" t="inlineStr">
        <is>
          <t>=</t>
        </is>
      </c>
      <c r="K533" s="14">
        <f>H533</f>
        <v/>
      </c>
      <c r="L533" s="12" t="inlineStr">
        <is>
          <t>U10θ</t>
        </is>
      </c>
      <c r="N533" s="186">
        <f>IF(OR($G$4=0, 10&gt;$G$4), "RESTRINGIDO", IF(ISNUMBER(K533), IF(K533=0, "RESTRINGIDO", "LIBRE"), "LIBRE"))</f>
        <v/>
      </c>
    </row>
    <row r="534" ht="26.4" customHeight="1" s="183">
      <c r="B534" s="11" t="inlineStr">
        <is>
          <t>C11X</t>
        </is>
      </c>
      <c r="C534" s="12" t="inlineStr">
        <is>
          <t>U11X</t>
        </is>
      </c>
      <c r="D534" s="187" t="inlineStr">
        <is>
          <t>=</t>
        </is>
      </c>
      <c r="E534" s="13" t="n">
        <v>0</v>
      </c>
      <c r="F534" s="12" t="inlineStr">
        <is>
          <t>U11X</t>
        </is>
      </c>
      <c r="H534" s="11" t="inlineStr">
        <is>
          <t>D11X</t>
        </is>
      </c>
      <c r="I534" s="12" t="inlineStr">
        <is>
          <t>U11X</t>
        </is>
      </c>
      <c r="J534" s="187" t="inlineStr">
        <is>
          <t>=</t>
        </is>
      </c>
      <c r="K534" s="14">
        <f>H534</f>
        <v/>
      </c>
      <c r="L534" s="12" t="inlineStr">
        <is>
          <t>U11X</t>
        </is>
      </c>
      <c r="N534" s="186">
        <f>IF(OR($G$4=0, 11&gt;$G$4), "RESTRINGIDO", IF(ISNUMBER(K534), IF(K534=0, "RESTRINGIDO", "LIBRE"), "LIBRE"))</f>
        <v/>
      </c>
    </row>
    <row r="535" ht="26.4" customHeight="1" s="183">
      <c r="B535" s="11" t="inlineStr">
        <is>
          <t>C11Y</t>
        </is>
      </c>
      <c r="C535" s="12" t="inlineStr">
        <is>
          <t>U11Y</t>
        </is>
      </c>
      <c r="D535" s="187" t="inlineStr">
        <is>
          <t>=</t>
        </is>
      </c>
      <c r="E535" s="13" t="n">
        <v>0</v>
      </c>
      <c r="F535" s="12" t="inlineStr">
        <is>
          <t>U11Y</t>
        </is>
      </c>
      <c r="H535" s="11" t="inlineStr">
        <is>
          <t>D11Y</t>
        </is>
      </c>
      <c r="I535" s="12" t="inlineStr">
        <is>
          <t>U11Y</t>
        </is>
      </c>
      <c r="J535" s="187" t="inlineStr">
        <is>
          <t>=</t>
        </is>
      </c>
      <c r="K535" s="14">
        <f>H535</f>
        <v/>
      </c>
      <c r="L535" s="12" t="inlineStr">
        <is>
          <t>U11Y</t>
        </is>
      </c>
      <c r="N535" s="186">
        <f>IF(OR($G$4=0, 11&gt;$G$4), "RESTRINGIDO", IF(ISNUMBER(K535), IF(K535=0, "RESTRINGIDO", "LIBRE"), "LIBRE"))</f>
        <v/>
      </c>
    </row>
    <row r="536" ht="26.4" customHeight="1" s="183">
      <c r="B536" s="11" t="inlineStr">
        <is>
          <t>C11θ</t>
        </is>
      </c>
      <c r="C536" s="12" t="inlineStr">
        <is>
          <t>U11θ</t>
        </is>
      </c>
      <c r="D536" s="187" t="inlineStr">
        <is>
          <t>=</t>
        </is>
      </c>
      <c r="E536" s="13" t="n">
        <v>0</v>
      </c>
      <c r="F536" s="12" t="inlineStr">
        <is>
          <t>U11θ</t>
        </is>
      </c>
      <c r="H536" s="11" t="inlineStr">
        <is>
          <t>D11θ</t>
        </is>
      </c>
      <c r="I536" s="12" t="inlineStr">
        <is>
          <t>U11θ</t>
        </is>
      </c>
      <c r="J536" s="187" t="inlineStr">
        <is>
          <t>=</t>
        </is>
      </c>
      <c r="K536" s="14">
        <f>H536</f>
        <v/>
      </c>
      <c r="L536" s="12" t="inlineStr">
        <is>
          <t>U11θ</t>
        </is>
      </c>
      <c r="N536" s="186">
        <f>IF(OR($G$4=0, 11&gt;$G$4), "RESTRINGIDO", IF(ISNUMBER(K536), IF(K536=0, "RESTRINGIDO", "LIBRE"), "LIBRE"))</f>
        <v/>
      </c>
    </row>
    <row r="539">
      <c r="B539" s="53" t="inlineStr">
        <is>
          <t>ECUACION MATRICIAL DEL SISTEMA: {C} = [Kviga] * {D}</t>
        </is>
      </c>
      <c r="C539" s="190" t="n"/>
      <c r="D539" s="190" t="n"/>
      <c r="E539" s="190" t="n"/>
      <c r="F539" s="190" t="n"/>
      <c r="G539" s="190" t="n"/>
      <c r="H539" s="190" t="n"/>
      <c r="I539" s="190" t="n"/>
      <c r="J539" s="190" t="n"/>
      <c r="K539" s="190" t="n"/>
      <c r="L539" s="190" t="n"/>
      <c r="M539" s="190" t="n"/>
      <c r="N539" s="190" t="n"/>
      <c r="O539" s="190" t="n"/>
      <c r="P539" s="190" t="n"/>
      <c r="Q539" s="190" t="n"/>
      <c r="R539" s="190" t="n"/>
      <c r="S539" s="190" t="n"/>
      <c r="T539" s="190" t="n"/>
      <c r="U539" s="190" t="n"/>
      <c r="V539" s="190" t="n"/>
      <c r="W539" s="190" t="n"/>
      <c r="X539" s="190" t="n"/>
      <c r="Y539" s="190" t="n"/>
      <c r="Z539" s="190" t="n"/>
      <c r="AA539" s="190" t="n"/>
      <c r="AB539" s="190" t="n"/>
      <c r="AC539" s="190" t="n"/>
      <c r="AD539" s="190" t="n"/>
      <c r="AE539" s="190" t="n"/>
      <c r="AF539" s="190" t="n"/>
      <c r="AG539" s="190" t="n"/>
      <c r="AH539" s="191" t="n"/>
    </row>
    <row r="541">
      <c r="A541" s="189">
        <f>E504</f>
        <v/>
      </c>
      <c r="B541" s="118" t="inlineStr">
        <is>
          <t>=</t>
        </is>
      </c>
      <c r="C541" s="8">
        <f>B467</f>
        <v/>
      </c>
      <c r="D541" s="189">
        <f>C467</f>
        <v/>
      </c>
      <c r="E541" s="189">
        <f>D467</f>
        <v/>
      </c>
      <c r="F541" s="189">
        <f>E467</f>
        <v/>
      </c>
      <c r="G541" s="189">
        <f>F467</f>
        <v/>
      </c>
      <c r="H541" s="189">
        <f>G467</f>
        <v/>
      </c>
      <c r="I541" s="189">
        <f>H467</f>
        <v/>
      </c>
      <c r="J541" s="189">
        <f>I467</f>
        <v/>
      </c>
      <c r="K541" s="189">
        <f>J467</f>
        <v/>
      </c>
      <c r="L541" s="189">
        <f>K467</f>
        <v/>
      </c>
      <c r="M541" s="189">
        <f>L467</f>
        <v/>
      </c>
      <c r="N541" s="189">
        <f>M467</f>
        <v/>
      </c>
      <c r="O541" s="189">
        <f>N467</f>
        <v/>
      </c>
      <c r="P541" s="189">
        <f>O467</f>
        <v/>
      </c>
      <c r="Q541" s="189">
        <f>P467</f>
        <v/>
      </c>
      <c r="R541" s="189">
        <f>Q467</f>
        <v/>
      </c>
      <c r="S541" s="189">
        <f>R467</f>
        <v/>
      </c>
      <c r="T541" s="189">
        <f>S467</f>
        <v/>
      </c>
      <c r="U541" s="189">
        <f>T467</f>
        <v/>
      </c>
      <c r="V541" s="189">
        <f>U467</f>
        <v/>
      </c>
      <c r="W541" s="189">
        <f>V467</f>
        <v/>
      </c>
      <c r="X541" s="189">
        <f>W467</f>
        <v/>
      </c>
      <c r="Y541" s="189">
        <f>X467</f>
        <v/>
      </c>
      <c r="Z541" s="189">
        <f>Y467</f>
        <v/>
      </c>
      <c r="AA541" s="189">
        <f>Z467</f>
        <v/>
      </c>
      <c r="AB541" s="189">
        <f>AA467</f>
        <v/>
      </c>
      <c r="AC541" s="189">
        <f>AB467</f>
        <v/>
      </c>
      <c r="AD541" s="189">
        <f>AC467</f>
        <v/>
      </c>
      <c r="AE541" s="189">
        <f>AD467</f>
        <v/>
      </c>
      <c r="AF541" s="189">
        <f>AE467</f>
        <v/>
      </c>
      <c r="AG541" s="189">
        <f>AF467</f>
        <v/>
      </c>
      <c r="AH541" s="189">
        <f>AG467</f>
        <v/>
      </c>
      <c r="AI541" s="189">
        <f>AH467</f>
        <v/>
      </c>
      <c r="AQ541" s="187">
        <f>K504</f>
        <v/>
      </c>
    </row>
    <row r="542">
      <c r="A542" s="189">
        <f>E505</f>
        <v/>
      </c>
      <c r="B542" s="118" t="inlineStr">
        <is>
          <t>=</t>
        </is>
      </c>
      <c r="C542" s="189">
        <f>B468</f>
        <v/>
      </c>
      <c r="D542" s="8">
        <f>C468</f>
        <v/>
      </c>
      <c r="E542" s="189">
        <f>D468</f>
        <v/>
      </c>
      <c r="F542" s="189">
        <f>E468</f>
        <v/>
      </c>
      <c r="G542" s="189">
        <f>F468</f>
        <v/>
      </c>
      <c r="H542" s="189">
        <f>G468</f>
        <v/>
      </c>
      <c r="I542" s="189">
        <f>H468</f>
        <v/>
      </c>
      <c r="J542" s="189">
        <f>I468</f>
        <v/>
      </c>
      <c r="K542" s="189">
        <f>J468</f>
        <v/>
      </c>
      <c r="L542" s="189">
        <f>K468</f>
        <v/>
      </c>
      <c r="M542" s="189">
        <f>L468</f>
        <v/>
      </c>
      <c r="N542" s="189">
        <f>M468</f>
        <v/>
      </c>
      <c r="O542" s="189">
        <f>N468</f>
        <v/>
      </c>
      <c r="P542" s="189">
        <f>O468</f>
        <v/>
      </c>
      <c r="Q542" s="189">
        <f>P468</f>
        <v/>
      </c>
      <c r="R542" s="189">
        <f>Q468</f>
        <v/>
      </c>
      <c r="S542" s="189">
        <f>R468</f>
        <v/>
      </c>
      <c r="T542" s="189">
        <f>S468</f>
        <v/>
      </c>
      <c r="U542" s="189">
        <f>T468</f>
        <v/>
      </c>
      <c r="V542" s="189">
        <f>U468</f>
        <v/>
      </c>
      <c r="W542" s="189">
        <f>V468</f>
        <v/>
      </c>
      <c r="X542" s="189">
        <f>W468</f>
        <v/>
      </c>
      <c r="Y542" s="189">
        <f>X468</f>
        <v/>
      </c>
      <c r="Z542" s="189">
        <f>Y468</f>
        <v/>
      </c>
      <c r="AA542" s="189">
        <f>Z468</f>
        <v/>
      </c>
      <c r="AB542" s="189">
        <f>AA468</f>
        <v/>
      </c>
      <c r="AC542" s="189">
        <f>AB468</f>
        <v/>
      </c>
      <c r="AD542" s="189">
        <f>AC468</f>
        <v/>
      </c>
      <c r="AE542" s="189">
        <f>AD468</f>
        <v/>
      </c>
      <c r="AF542" s="189">
        <f>AE468</f>
        <v/>
      </c>
      <c r="AG542" s="189">
        <f>AF468</f>
        <v/>
      </c>
      <c r="AH542" s="189">
        <f>AG468</f>
        <v/>
      </c>
      <c r="AI542" s="189">
        <f>AH468</f>
        <v/>
      </c>
      <c r="AQ542" s="187">
        <f>K505</f>
        <v/>
      </c>
    </row>
    <row r="543">
      <c r="A543" s="189">
        <f>E506</f>
        <v/>
      </c>
      <c r="B543" s="118" t="inlineStr">
        <is>
          <t>=</t>
        </is>
      </c>
      <c r="C543" s="189">
        <f>B469</f>
        <v/>
      </c>
      <c r="D543" s="189">
        <f>C469</f>
        <v/>
      </c>
      <c r="E543" s="8">
        <f>D469</f>
        <v/>
      </c>
      <c r="F543" s="189">
        <f>E469</f>
        <v/>
      </c>
      <c r="G543" s="189">
        <f>F469</f>
        <v/>
      </c>
      <c r="H543" s="189">
        <f>G469</f>
        <v/>
      </c>
      <c r="I543" s="189">
        <f>H469</f>
        <v/>
      </c>
      <c r="J543" s="189">
        <f>I469</f>
        <v/>
      </c>
      <c r="K543" s="189">
        <f>J469</f>
        <v/>
      </c>
      <c r="L543" s="189">
        <f>K469</f>
        <v/>
      </c>
      <c r="M543" s="189">
        <f>L469</f>
        <v/>
      </c>
      <c r="N543" s="189">
        <f>M469</f>
        <v/>
      </c>
      <c r="O543" s="189">
        <f>N469</f>
        <v/>
      </c>
      <c r="P543" s="189">
        <f>O469</f>
        <v/>
      </c>
      <c r="Q543" s="189">
        <f>P469</f>
        <v/>
      </c>
      <c r="R543" s="189">
        <f>Q469</f>
        <v/>
      </c>
      <c r="S543" s="189">
        <f>R469</f>
        <v/>
      </c>
      <c r="T543" s="189">
        <f>S469</f>
        <v/>
      </c>
      <c r="U543" s="189">
        <f>T469</f>
        <v/>
      </c>
      <c r="V543" s="189">
        <f>U469</f>
        <v/>
      </c>
      <c r="W543" s="189">
        <f>V469</f>
        <v/>
      </c>
      <c r="X543" s="189">
        <f>W469</f>
        <v/>
      </c>
      <c r="Y543" s="189">
        <f>X469</f>
        <v/>
      </c>
      <c r="Z543" s="189">
        <f>Y469</f>
        <v/>
      </c>
      <c r="AA543" s="189">
        <f>Z469</f>
        <v/>
      </c>
      <c r="AB543" s="189">
        <f>AA469</f>
        <v/>
      </c>
      <c r="AC543" s="189">
        <f>AB469</f>
        <v/>
      </c>
      <c r="AD543" s="189">
        <f>AC469</f>
        <v/>
      </c>
      <c r="AE543" s="189">
        <f>AD469</f>
        <v/>
      </c>
      <c r="AF543" s="189">
        <f>AE469</f>
        <v/>
      </c>
      <c r="AG543" s="189">
        <f>AF469</f>
        <v/>
      </c>
      <c r="AH543" s="189">
        <f>AG469</f>
        <v/>
      </c>
      <c r="AI543" s="189">
        <f>AH469</f>
        <v/>
      </c>
      <c r="AQ543" s="187">
        <f>K506</f>
        <v/>
      </c>
    </row>
    <row r="544">
      <c r="A544" s="189">
        <f>E507</f>
        <v/>
      </c>
      <c r="B544" s="118" t="inlineStr">
        <is>
          <t>=</t>
        </is>
      </c>
      <c r="C544" s="189">
        <f>B470</f>
        <v/>
      </c>
      <c r="D544" s="189">
        <f>C470</f>
        <v/>
      </c>
      <c r="E544" s="189">
        <f>D470</f>
        <v/>
      </c>
      <c r="F544" s="8">
        <f>E470</f>
        <v/>
      </c>
      <c r="G544" s="189">
        <f>F470</f>
        <v/>
      </c>
      <c r="H544" s="189">
        <f>G470</f>
        <v/>
      </c>
      <c r="I544" s="189">
        <f>H470</f>
        <v/>
      </c>
      <c r="J544" s="189">
        <f>I470</f>
        <v/>
      </c>
      <c r="K544" s="189">
        <f>J470</f>
        <v/>
      </c>
      <c r="L544" s="189">
        <f>K470</f>
        <v/>
      </c>
      <c r="M544" s="189">
        <f>L470</f>
        <v/>
      </c>
      <c r="N544" s="189">
        <f>M470</f>
        <v/>
      </c>
      <c r="O544" s="189">
        <f>N470</f>
        <v/>
      </c>
      <c r="P544" s="189">
        <f>O470</f>
        <v/>
      </c>
      <c r="Q544" s="189">
        <f>P470</f>
        <v/>
      </c>
      <c r="R544" s="189">
        <f>Q470</f>
        <v/>
      </c>
      <c r="S544" s="189">
        <f>R470</f>
        <v/>
      </c>
      <c r="T544" s="189">
        <f>S470</f>
        <v/>
      </c>
      <c r="U544" s="189">
        <f>T470</f>
        <v/>
      </c>
      <c r="V544" s="189">
        <f>U470</f>
        <v/>
      </c>
      <c r="W544" s="189">
        <f>V470</f>
        <v/>
      </c>
      <c r="X544" s="189">
        <f>W470</f>
        <v/>
      </c>
      <c r="Y544" s="189">
        <f>X470</f>
        <v/>
      </c>
      <c r="Z544" s="189">
        <f>Y470</f>
        <v/>
      </c>
      <c r="AA544" s="189">
        <f>Z470</f>
        <v/>
      </c>
      <c r="AB544" s="189">
        <f>AA470</f>
        <v/>
      </c>
      <c r="AC544" s="189">
        <f>AB470</f>
        <v/>
      </c>
      <c r="AD544" s="189">
        <f>AC470</f>
        <v/>
      </c>
      <c r="AE544" s="189">
        <f>AD470</f>
        <v/>
      </c>
      <c r="AF544" s="189">
        <f>AE470</f>
        <v/>
      </c>
      <c r="AG544" s="189">
        <f>AF470</f>
        <v/>
      </c>
      <c r="AH544" s="189">
        <f>AG470</f>
        <v/>
      </c>
      <c r="AI544" s="189">
        <f>AH470</f>
        <v/>
      </c>
      <c r="AQ544" s="187">
        <f>K507</f>
        <v/>
      </c>
    </row>
    <row r="545">
      <c r="A545" s="189">
        <f>E508</f>
        <v/>
      </c>
      <c r="B545" s="118" t="inlineStr">
        <is>
          <t>=</t>
        </is>
      </c>
      <c r="C545" s="189">
        <f>B471</f>
        <v/>
      </c>
      <c r="D545" s="189">
        <f>C471</f>
        <v/>
      </c>
      <c r="E545" s="189">
        <f>D471</f>
        <v/>
      </c>
      <c r="F545" s="189">
        <f>E471</f>
        <v/>
      </c>
      <c r="G545" s="8">
        <f>F471</f>
        <v/>
      </c>
      <c r="H545" s="189">
        <f>G471</f>
        <v/>
      </c>
      <c r="I545" s="189">
        <f>H471</f>
        <v/>
      </c>
      <c r="J545" s="189">
        <f>I471</f>
        <v/>
      </c>
      <c r="K545" s="189">
        <f>J471</f>
        <v/>
      </c>
      <c r="L545" s="189">
        <f>K471</f>
        <v/>
      </c>
      <c r="M545" s="189">
        <f>L471</f>
        <v/>
      </c>
      <c r="N545" s="189">
        <f>M471</f>
        <v/>
      </c>
      <c r="O545" s="189">
        <f>N471</f>
        <v/>
      </c>
      <c r="P545" s="189">
        <f>O471</f>
        <v/>
      </c>
      <c r="Q545" s="189">
        <f>P471</f>
        <v/>
      </c>
      <c r="R545" s="189">
        <f>Q471</f>
        <v/>
      </c>
      <c r="S545" s="189">
        <f>R471</f>
        <v/>
      </c>
      <c r="T545" s="189">
        <f>S471</f>
        <v/>
      </c>
      <c r="U545" s="189">
        <f>T471</f>
        <v/>
      </c>
      <c r="V545" s="189">
        <f>U471</f>
        <v/>
      </c>
      <c r="W545" s="189">
        <f>V471</f>
        <v/>
      </c>
      <c r="X545" s="189">
        <f>W471</f>
        <v/>
      </c>
      <c r="Y545" s="189">
        <f>X471</f>
        <v/>
      </c>
      <c r="Z545" s="189">
        <f>Y471</f>
        <v/>
      </c>
      <c r="AA545" s="189">
        <f>Z471</f>
        <v/>
      </c>
      <c r="AB545" s="189">
        <f>AA471</f>
        <v/>
      </c>
      <c r="AC545" s="189">
        <f>AB471</f>
        <v/>
      </c>
      <c r="AD545" s="189">
        <f>AC471</f>
        <v/>
      </c>
      <c r="AE545" s="189">
        <f>AD471</f>
        <v/>
      </c>
      <c r="AF545" s="189">
        <f>AE471</f>
        <v/>
      </c>
      <c r="AG545" s="189">
        <f>AF471</f>
        <v/>
      </c>
      <c r="AH545" s="189">
        <f>AG471</f>
        <v/>
      </c>
      <c r="AI545" s="189">
        <f>AH471</f>
        <v/>
      </c>
      <c r="AQ545" s="187">
        <f>K508</f>
        <v/>
      </c>
    </row>
    <row r="546">
      <c r="A546" s="189">
        <f>E509</f>
        <v/>
      </c>
      <c r="B546" s="118" t="inlineStr">
        <is>
          <t>=</t>
        </is>
      </c>
      <c r="C546" s="189">
        <f>B472</f>
        <v/>
      </c>
      <c r="D546" s="189">
        <f>C472</f>
        <v/>
      </c>
      <c r="E546" s="189">
        <f>D472</f>
        <v/>
      </c>
      <c r="F546" s="189">
        <f>E472</f>
        <v/>
      </c>
      <c r="G546" s="189">
        <f>F472</f>
        <v/>
      </c>
      <c r="H546" s="8">
        <f>G472</f>
        <v/>
      </c>
      <c r="I546" s="189">
        <f>H472</f>
        <v/>
      </c>
      <c r="J546" s="189">
        <f>I472</f>
        <v/>
      </c>
      <c r="K546" s="189">
        <f>J472</f>
        <v/>
      </c>
      <c r="L546" s="189">
        <f>K472</f>
        <v/>
      </c>
      <c r="M546" s="189">
        <f>L472</f>
        <v/>
      </c>
      <c r="N546" s="189">
        <f>M472</f>
        <v/>
      </c>
      <c r="O546" s="189">
        <f>N472</f>
        <v/>
      </c>
      <c r="P546" s="189">
        <f>O472</f>
        <v/>
      </c>
      <c r="Q546" s="189">
        <f>P472</f>
        <v/>
      </c>
      <c r="R546" s="189">
        <f>Q472</f>
        <v/>
      </c>
      <c r="S546" s="189">
        <f>R472</f>
        <v/>
      </c>
      <c r="T546" s="189">
        <f>S472</f>
        <v/>
      </c>
      <c r="U546" s="189">
        <f>T472</f>
        <v/>
      </c>
      <c r="V546" s="189">
        <f>U472</f>
        <v/>
      </c>
      <c r="W546" s="189">
        <f>V472</f>
        <v/>
      </c>
      <c r="X546" s="189">
        <f>W472</f>
        <v/>
      </c>
      <c r="Y546" s="189">
        <f>X472</f>
        <v/>
      </c>
      <c r="Z546" s="189">
        <f>Y472</f>
        <v/>
      </c>
      <c r="AA546" s="189">
        <f>Z472</f>
        <v/>
      </c>
      <c r="AB546" s="189">
        <f>AA472</f>
        <v/>
      </c>
      <c r="AC546" s="189">
        <f>AB472</f>
        <v/>
      </c>
      <c r="AD546" s="189">
        <f>AC472</f>
        <v/>
      </c>
      <c r="AE546" s="189">
        <f>AD472</f>
        <v/>
      </c>
      <c r="AF546" s="189">
        <f>AE472</f>
        <v/>
      </c>
      <c r="AG546" s="189">
        <f>AF472</f>
        <v/>
      </c>
      <c r="AH546" s="189">
        <f>AG472</f>
        <v/>
      </c>
      <c r="AI546" s="189">
        <f>AH472</f>
        <v/>
      </c>
      <c r="AQ546" s="187">
        <f>K509</f>
        <v/>
      </c>
    </row>
    <row r="547">
      <c r="A547" s="189">
        <f>E510</f>
        <v/>
      </c>
      <c r="B547" s="118" t="inlineStr">
        <is>
          <t>=</t>
        </is>
      </c>
      <c r="C547" s="189">
        <f>B473</f>
        <v/>
      </c>
      <c r="D547" s="189">
        <f>C473</f>
        <v/>
      </c>
      <c r="E547" s="189">
        <f>D473</f>
        <v/>
      </c>
      <c r="F547" s="189">
        <f>E473</f>
        <v/>
      </c>
      <c r="G547" s="189">
        <f>F473</f>
        <v/>
      </c>
      <c r="H547" s="189">
        <f>G473</f>
        <v/>
      </c>
      <c r="I547" s="8">
        <f>H473</f>
        <v/>
      </c>
      <c r="J547" s="189">
        <f>I473</f>
        <v/>
      </c>
      <c r="K547" s="189">
        <f>J473</f>
        <v/>
      </c>
      <c r="L547" s="189">
        <f>K473</f>
        <v/>
      </c>
      <c r="M547" s="189">
        <f>L473</f>
        <v/>
      </c>
      <c r="N547" s="189">
        <f>M473</f>
        <v/>
      </c>
      <c r="O547" s="189">
        <f>N473</f>
        <v/>
      </c>
      <c r="P547" s="189">
        <f>O473</f>
        <v/>
      </c>
      <c r="Q547" s="189">
        <f>P473</f>
        <v/>
      </c>
      <c r="R547" s="189">
        <f>Q473</f>
        <v/>
      </c>
      <c r="S547" s="189">
        <f>R473</f>
        <v/>
      </c>
      <c r="T547" s="189">
        <f>S473</f>
        <v/>
      </c>
      <c r="U547" s="189">
        <f>T473</f>
        <v/>
      </c>
      <c r="V547" s="189">
        <f>U473</f>
        <v/>
      </c>
      <c r="W547" s="189">
        <f>V473</f>
        <v/>
      </c>
      <c r="X547" s="189">
        <f>W473</f>
        <v/>
      </c>
      <c r="Y547" s="189">
        <f>X473</f>
        <v/>
      </c>
      <c r="Z547" s="189">
        <f>Y473</f>
        <v/>
      </c>
      <c r="AA547" s="189">
        <f>Z473</f>
        <v/>
      </c>
      <c r="AB547" s="189">
        <f>AA473</f>
        <v/>
      </c>
      <c r="AC547" s="189">
        <f>AB473</f>
        <v/>
      </c>
      <c r="AD547" s="189">
        <f>AC473</f>
        <v/>
      </c>
      <c r="AE547" s="189">
        <f>AD473</f>
        <v/>
      </c>
      <c r="AF547" s="189">
        <f>AE473</f>
        <v/>
      </c>
      <c r="AG547" s="189">
        <f>AF473</f>
        <v/>
      </c>
      <c r="AH547" s="189">
        <f>AG473</f>
        <v/>
      </c>
      <c r="AI547" s="189">
        <f>AH473</f>
        <v/>
      </c>
      <c r="AQ547" s="187">
        <f>K510</f>
        <v/>
      </c>
    </row>
    <row r="548">
      <c r="A548" s="189">
        <f>E511</f>
        <v/>
      </c>
      <c r="B548" s="118" t="inlineStr">
        <is>
          <t>=</t>
        </is>
      </c>
      <c r="C548" s="189">
        <f>B474</f>
        <v/>
      </c>
      <c r="D548" s="189">
        <f>C474</f>
        <v/>
      </c>
      <c r="E548" s="189">
        <f>D474</f>
        <v/>
      </c>
      <c r="F548" s="189">
        <f>E474</f>
        <v/>
      </c>
      <c r="G548" s="189">
        <f>F474</f>
        <v/>
      </c>
      <c r="H548" s="189">
        <f>G474</f>
        <v/>
      </c>
      <c r="I548" s="189">
        <f>H474</f>
        <v/>
      </c>
      <c r="J548" s="8">
        <f>I474</f>
        <v/>
      </c>
      <c r="K548" s="189">
        <f>J474</f>
        <v/>
      </c>
      <c r="L548" s="189">
        <f>K474</f>
        <v/>
      </c>
      <c r="M548" s="189">
        <f>L474</f>
        <v/>
      </c>
      <c r="N548" s="189">
        <f>M474</f>
        <v/>
      </c>
      <c r="O548" s="189">
        <f>N474</f>
        <v/>
      </c>
      <c r="P548" s="189">
        <f>O474</f>
        <v/>
      </c>
      <c r="Q548" s="189">
        <f>P474</f>
        <v/>
      </c>
      <c r="R548" s="189">
        <f>Q474</f>
        <v/>
      </c>
      <c r="S548" s="189">
        <f>R474</f>
        <v/>
      </c>
      <c r="T548" s="189">
        <f>S474</f>
        <v/>
      </c>
      <c r="U548" s="189">
        <f>T474</f>
        <v/>
      </c>
      <c r="V548" s="189">
        <f>U474</f>
        <v/>
      </c>
      <c r="W548" s="189">
        <f>V474</f>
        <v/>
      </c>
      <c r="X548" s="189">
        <f>W474</f>
        <v/>
      </c>
      <c r="Y548" s="189">
        <f>X474</f>
        <v/>
      </c>
      <c r="Z548" s="189">
        <f>Y474</f>
        <v/>
      </c>
      <c r="AA548" s="189">
        <f>Z474</f>
        <v/>
      </c>
      <c r="AB548" s="189">
        <f>AA474</f>
        <v/>
      </c>
      <c r="AC548" s="189">
        <f>AB474</f>
        <v/>
      </c>
      <c r="AD548" s="189">
        <f>AC474</f>
        <v/>
      </c>
      <c r="AE548" s="189">
        <f>AD474</f>
        <v/>
      </c>
      <c r="AF548" s="189">
        <f>AE474</f>
        <v/>
      </c>
      <c r="AG548" s="189">
        <f>AF474</f>
        <v/>
      </c>
      <c r="AH548" s="189">
        <f>AG474</f>
        <v/>
      </c>
      <c r="AI548" s="189">
        <f>AH474</f>
        <v/>
      </c>
      <c r="AQ548" s="187">
        <f>K511</f>
        <v/>
      </c>
    </row>
    <row r="549">
      <c r="A549" s="189">
        <f>E512</f>
        <v/>
      </c>
      <c r="B549" s="118" t="inlineStr">
        <is>
          <t>=</t>
        </is>
      </c>
      <c r="C549" s="189">
        <f>B475</f>
        <v/>
      </c>
      <c r="D549" s="189">
        <f>C475</f>
        <v/>
      </c>
      <c r="E549" s="189">
        <f>D475</f>
        <v/>
      </c>
      <c r="F549" s="189">
        <f>E475</f>
        <v/>
      </c>
      <c r="G549" s="189">
        <f>F475</f>
        <v/>
      </c>
      <c r="H549" s="189">
        <f>G475</f>
        <v/>
      </c>
      <c r="I549" s="189">
        <f>H475</f>
        <v/>
      </c>
      <c r="J549" s="189">
        <f>I475</f>
        <v/>
      </c>
      <c r="K549" s="8">
        <f>J475</f>
        <v/>
      </c>
      <c r="L549" s="189">
        <f>K475</f>
        <v/>
      </c>
      <c r="M549" s="189">
        <f>L475</f>
        <v/>
      </c>
      <c r="N549" s="189">
        <f>M475</f>
        <v/>
      </c>
      <c r="O549" s="189">
        <f>N475</f>
        <v/>
      </c>
      <c r="P549" s="189">
        <f>O475</f>
        <v/>
      </c>
      <c r="Q549" s="189">
        <f>P475</f>
        <v/>
      </c>
      <c r="R549" s="189">
        <f>Q475</f>
        <v/>
      </c>
      <c r="S549" s="189">
        <f>R475</f>
        <v/>
      </c>
      <c r="T549" s="189">
        <f>S475</f>
        <v/>
      </c>
      <c r="U549" s="189">
        <f>T475</f>
        <v/>
      </c>
      <c r="V549" s="189">
        <f>U475</f>
        <v/>
      </c>
      <c r="W549" s="189">
        <f>V475</f>
        <v/>
      </c>
      <c r="X549" s="189">
        <f>W475</f>
        <v/>
      </c>
      <c r="Y549" s="189">
        <f>X475</f>
        <v/>
      </c>
      <c r="Z549" s="189">
        <f>Y475</f>
        <v/>
      </c>
      <c r="AA549" s="189">
        <f>Z475</f>
        <v/>
      </c>
      <c r="AB549" s="189">
        <f>AA475</f>
        <v/>
      </c>
      <c r="AC549" s="189">
        <f>AB475</f>
        <v/>
      </c>
      <c r="AD549" s="189">
        <f>AC475</f>
        <v/>
      </c>
      <c r="AE549" s="189">
        <f>AD475</f>
        <v/>
      </c>
      <c r="AF549" s="189">
        <f>AE475</f>
        <v/>
      </c>
      <c r="AG549" s="189">
        <f>AF475</f>
        <v/>
      </c>
      <c r="AH549" s="189">
        <f>AG475</f>
        <v/>
      </c>
      <c r="AI549" s="189">
        <f>AH475</f>
        <v/>
      </c>
      <c r="AQ549" s="187">
        <f>K512</f>
        <v/>
      </c>
    </row>
    <row r="550">
      <c r="A550" s="189">
        <f>E513</f>
        <v/>
      </c>
      <c r="B550" s="118" t="inlineStr">
        <is>
          <t>=</t>
        </is>
      </c>
      <c r="C550" s="189">
        <f>B476</f>
        <v/>
      </c>
      <c r="D550" s="189">
        <f>C476</f>
        <v/>
      </c>
      <c r="E550" s="189">
        <f>D476</f>
        <v/>
      </c>
      <c r="F550" s="189">
        <f>E476</f>
        <v/>
      </c>
      <c r="G550" s="189">
        <f>F476</f>
        <v/>
      </c>
      <c r="H550" s="189">
        <f>G476</f>
        <v/>
      </c>
      <c r="I550" s="189">
        <f>H476</f>
        <v/>
      </c>
      <c r="J550" s="189">
        <f>I476</f>
        <v/>
      </c>
      <c r="K550" s="189">
        <f>J476</f>
        <v/>
      </c>
      <c r="L550" s="8">
        <f>K476</f>
        <v/>
      </c>
      <c r="M550" s="189">
        <f>L476</f>
        <v/>
      </c>
      <c r="N550" s="189">
        <f>M476</f>
        <v/>
      </c>
      <c r="O550" s="189">
        <f>N476</f>
        <v/>
      </c>
      <c r="P550" s="189">
        <f>O476</f>
        <v/>
      </c>
      <c r="Q550" s="189">
        <f>P476</f>
        <v/>
      </c>
      <c r="R550" s="189">
        <f>Q476</f>
        <v/>
      </c>
      <c r="S550" s="189">
        <f>R476</f>
        <v/>
      </c>
      <c r="T550" s="189">
        <f>S476</f>
        <v/>
      </c>
      <c r="U550" s="189">
        <f>T476</f>
        <v/>
      </c>
      <c r="V550" s="189">
        <f>U476</f>
        <v/>
      </c>
      <c r="W550" s="189">
        <f>V476</f>
        <v/>
      </c>
      <c r="X550" s="189">
        <f>W476</f>
        <v/>
      </c>
      <c r="Y550" s="189">
        <f>X476</f>
        <v/>
      </c>
      <c r="Z550" s="189">
        <f>Y476</f>
        <v/>
      </c>
      <c r="AA550" s="189">
        <f>Z476</f>
        <v/>
      </c>
      <c r="AB550" s="189">
        <f>AA476</f>
        <v/>
      </c>
      <c r="AC550" s="189">
        <f>AB476</f>
        <v/>
      </c>
      <c r="AD550" s="189">
        <f>AC476</f>
        <v/>
      </c>
      <c r="AE550" s="189">
        <f>AD476</f>
        <v/>
      </c>
      <c r="AF550" s="189">
        <f>AE476</f>
        <v/>
      </c>
      <c r="AG550" s="189">
        <f>AF476</f>
        <v/>
      </c>
      <c r="AH550" s="189">
        <f>AG476</f>
        <v/>
      </c>
      <c r="AI550" s="189">
        <f>AH476</f>
        <v/>
      </c>
      <c r="AQ550" s="187">
        <f>K513</f>
        <v/>
      </c>
    </row>
    <row r="551">
      <c r="A551" s="189">
        <f>E514</f>
        <v/>
      </c>
      <c r="B551" s="118" t="inlineStr">
        <is>
          <t>=</t>
        </is>
      </c>
      <c r="C551" s="189">
        <f>B477</f>
        <v/>
      </c>
      <c r="D551" s="189">
        <f>C477</f>
        <v/>
      </c>
      <c r="E551" s="189">
        <f>D477</f>
        <v/>
      </c>
      <c r="F551" s="189">
        <f>E477</f>
        <v/>
      </c>
      <c r="G551" s="189">
        <f>F477</f>
        <v/>
      </c>
      <c r="H551" s="189">
        <f>G477</f>
        <v/>
      </c>
      <c r="I551" s="189">
        <f>H477</f>
        <v/>
      </c>
      <c r="J551" s="189">
        <f>I477</f>
        <v/>
      </c>
      <c r="K551" s="189">
        <f>J477</f>
        <v/>
      </c>
      <c r="L551" s="189">
        <f>K477</f>
        <v/>
      </c>
      <c r="M551" s="8">
        <f>L477</f>
        <v/>
      </c>
      <c r="N551" s="189">
        <f>M477</f>
        <v/>
      </c>
      <c r="O551" s="189">
        <f>N477</f>
        <v/>
      </c>
      <c r="P551" s="189">
        <f>O477</f>
        <v/>
      </c>
      <c r="Q551" s="189">
        <f>P477</f>
        <v/>
      </c>
      <c r="R551" s="189">
        <f>Q477</f>
        <v/>
      </c>
      <c r="S551" s="189">
        <f>R477</f>
        <v/>
      </c>
      <c r="T551" s="189">
        <f>S477</f>
        <v/>
      </c>
      <c r="U551" s="189">
        <f>T477</f>
        <v/>
      </c>
      <c r="V551" s="189">
        <f>U477</f>
        <v/>
      </c>
      <c r="W551" s="189">
        <f>V477</f>
        <v/>
      </c>
      <c r="X551" s="189">
        <f>W477</f>
        <v/>
      </c>
      <c r="Y551" s="189">
        <f>X477</f>
        <v/>
      </c>
      <c r="Z551" s="189">
        <f>Y477</f>
        <v/>
      </c>
      <c r="AA551" s="189">
        <f>Z477</f>
        <v/>
      </c>
      <c r="AB551" s="189">
        <f>AA477</f>
        <v/>
      </c>
      <c r="AC551" s="189">
        <f>AB477</f>
        <v/>
      </c>
      <c r="AD551" s="189">
        <f>AC477</f>
        <v/>
      </c>
      <c r="AE551" s="189">
        <f>AD477</f>
        <v/>
      </c>
      <c r="AF551" s="189">
        <f>AE477</f>
        <v/>
      </c>
      <c r="AG551" s="189">
        <f>AF477</f>
        <v/>
      </c>
      <c r="AH551" s="189">
        <f>AG477</f>
        <v/>
      </c>
      <c r="AI551" s="189">
        <f>AH477</f>
        <v/>
      </c>
      <c r="AQ551" s="187">
        <f>K514</f>
        <v/>
      </c>
    </row>
    <row r="552">
      <c r="A552" s="189">
        <f>E515</f>
        <v/>
      </c>
      <c r="B552" s="118" t="inlineStr">
        <is>
          <t>=</t>
        </is>
      </c>
      <c r="C552" s="189">
        <f>B478</f>
        <v/>
      </c>
      <c r="D552" s="189">
        <f>C478</f>
        <v/>
      </c>
      <c r="E552" s="189">
        <f>D478</f>
        <v/>
      </c>
      <c r="F552" s="189">
        <f>E478</f>
        <v/>
      </c>
      <c r="G552" s="189">
        <f>F478</f>
        <v/>
      </c>
      <c r="H552" s="189">
        <f>G478</f>
        <v/>
      </c>
      <c r="I552" s="189">
        <f>H478</f>
        <v/>
      </c>
      <c r="J552" s="189">
        <f>I478</f>
        <v/>
      </c>
      <c r="K552" s="189">
        <f>J478</f>
        <v/>
      </c>
      <c r="L552" s="189">
        <f>K478</f>
        <v/>
      </c>
      <c r="M552" s="189">
        <f>L478</f>
        <v/>
      </c>
      <c r="N552" s="8">
        <f>M478</f>
        <v/>
      </c>
      <c r="O552" s="189">
        <f>N478</f>
        <v/>
      </c>
      <c r="P552" s="189">
        <f>O478</f>
        <v/>
      </c>
      <c r="Q552" s="189">
        <f>P478</f>
        <v/>
      </c>
      <c r="R552" s="189">
        <f>Q478</f>
        <v/>
      </c>
      <c r="S552" s="189">
        <f>R478</f>
        <v/>
      </c>
      <c r="T552" s="189">
        <f>S478</f>
        <v/>
      </c>
      <c r="U552" s="189">
        <f>T478</f>
        <v/>
      </c>
      <c r="V552" s="189">
        <f>U478</f>
        <v/>
      </c>
      <c r="W552" s="189">
        <f>V478</f>
        <v/>
      </c>
      <c r="X552" s="189">
        <f>W478</f>
        <v/>
      </c>
      <c r="Y552" s="189">
        <f>X478</f>
        <v/>
      </c>
      <c r="Z552" s="189">
        <f>Y478</f>
        <v/>
      </c>
      <c r="AA552" s="189">
        <f>Z478</f>
        <v/>
      </c>
      <c r="AB552" s="189">
        <f>AA478</f>
        <v/>
      </c>
      <c r="AC552" s="189">
        <f>AB478</f>
        <v/>
      </c>
      <c r="AD552" s="189">
        <f>AC478</f>
        <v/>
      </c>
      <c r="AE552" s="189">
        <f>AD478</f>
        <v/>
      </c>
      <c r="AF552" s="189">
        <f>AE478</f>
        <v/>
      </c>
      <c r="AG552" s="189">
        <f>AF478</f>
        <v/>
      </c>
      <c r="AH552" s="189">
        <f>AG478</f>
        <v/>
      </c>
      <c r="AI552" s="189">
        <f>AH478</f>
        <v/>
      </c>
      <c r="AQ552" s="187">
        <f>K515</f>
        <v/>
      </c>
    </row>
    <row r="553">
      <c r="A553" s="189">
        <f>E516</f>
        <v/>
      </c>
      <c r="B553" s="118" t="inlineStr">
        <is>
          <t>=</t>
        </is>
      </c>
      <c r="C553" s="189">
        <f>B479</f>
        <v/>
      </c>
      <c r="D553" s="189">
        <f>C479</f>
        <v/>
      </c>
      <c r="E553" s="189">
        <f>D479</f>
        <v/>
      </c>
      <c r="F553" s="189">
        <f>E479</f>
        <v/>
      </c>
      <c r="G553" s="189">
        <f>F479</f>
        <v/>
      </c>
      <c r="H553" s="189">
        <f>G479</f>
        <v/>
      </c>
      <c r="I553" s="189">
        <f>H479</f>
        <v/>
      </c>
      <c r="J553" s="189">
        <f>I479</f>
        <v/>
      </c>
      <c r="K553" s="189">
        <f>J479</f>
        <v/>
      </c>
      <c r="L553" s="189">
        <f>K479</f>
        <v/>
      </c>
      <c r="M553" s="189">
        <f>L479</f>
        <v/>
      </c>
      <c r="N553" s="189">
        <f>M479</f>
        <v/>
      </c>
      <c r="O553" s="8">
        <f>N479</f>
        <v/>
      </c>
      <c r="P553" s="189">
        <f>O479</f>
        <v/>
      </c>
      <c r="Q553" s="189">
        <f>P479</f>
        <v/>
      </c>
      <c r="R553" s="189">
        <f>Q479</f>
        <v/>
      </c>
      <c r="S553" s="189">
        <f>R479</f>
        <v/>
      </c>
      <c r="T553" s="189">
        <f>S479</f>
        <v/>
      </c>
      <c r="U553" s="189">
        <f>T479</f>
        <v/>
      </c>
      <c r="V553" s="189">
        <f>U479</f>
        <v/>
      </c>
      <c r="W553" s="189">
        <f>V479</f>
        <v/>
      </c>
      <c r="X553" s="189">
        <f>W479</f>
        <v/>
      </c>
      <c r="Y553" s="189">
        <f>X479</f>
        <v/>
      </c>
      <c r="Z553" s="189">
        <f>Y479</f>
        <v/>
      </c>
      <c r="AA553" s="189">
        <f>Z479</f>
        <v/>
      </c>
      <c r="AB553" s="189">
        <f>AA479</f>
        <v/>
      </c>
      <c r="AC553" s="189">
        <f>AB479</f>
        <v/>
      </c>
      <c r="AD553" s="189">
        <f>AC479</f>
        <v/>
      </c>
      <c r="AE553" s="189">
        <f>AD479</f>
        <v/>
      </c>
      <c r="AF553" s="189">
        <f>AE479</f>
        <v/>
      </c>
      <c r="AG553" s="189">
        <f>AF479</f>
        <v/>
      </c>
      <c r="AH553" s="189">
        <f>AG479</f>
        <v/>
      </c>
      <c r="AI553" s="189">
        <f>AH479</f>
        <v/>
      </c>
      <c r="AQ553" s="187">
        <f>K516</f>
        <v/>
      </c>
    </row>
    <row r="554">
      <c r="A554" s="189">
        <f>E517</f>
        <v/>
      </c>
      <c r="B554" s="118" t="inlineStr">
        <is>
          <t>=</t>
        </is>
      </c>
      <c r="C554" s="189">
        <f>B480</f>
        <v/>
      </c>
      <c r="D554" s="189">
        <f>C480</f>
        <v/>
      </c>
      <c r="E554" s="189">
        <f>D480</f>
        <v/>
      </c>
      <c r="F554" s="189">
        <f>E480</f>
        <v/>
      </c>
      <c r="G554" s="189">
        <f>F480</f>
        <v/>
      </c>
      <c r="H554" s="189">
        <f>G480</f>
        <v/>
      </c>
      <c r="I554" s="189">
        <f>H480</f>
        <v/>
      </c>
      <c r="J554" s="189">
        <f>I480</f>
        <v/>
      </c>
      <c r="K554" s="189">
        <f>J480</f>
        <v/>
      </c>
      <c r="L554" s="189">
        <f>K480</f>
        <v/>
      </c>
      <c r="M554" s="189">
        <f>L480</f>
        <v/>
      </c>
      <c r="N554" s="189">
        <f>M480</f>
        <v/>
      </c>
      <c r="O554" s="189">
        <f>N480</f>
        <v/>
      </c>
      <c r="P554" s="8">
        <f>O480</f>
        <v/>
      </c>
      <c r="Q554" s="189">
        <f>P480</f>
        <v/>
      </c>
      <c r="R554" s="189">
        <f>Q480</f>
        <v/>
      </c>
      <c r="S554" s="189">
        <f>R480</f>
        <v/>
      </c>
      <c r="T554" s="189">
        <f>S480</f>
        <v/>
      </c>
      <c r="U554" s="189">
        <f>T480</f>
        <v/>
      </c>
      <c r="V554" s="189">
        <f>U480</f>
        <v/>
      </c>
      <c r="W554" s="189">
        <f>V480</f>
        <v/>
      </c>
      <c r="X554" s="189">
        <f>W480</f>
        <v/>
      </c>
      <c r="Y554" s="189">
        <f>X480</f>
        <v/>
      </c>
      <c r="Z554" s="189">
        <f>Y480</f>
        <v/>
      </c>
      <c r="AA554" s="189">
        <f>Z480</f>
        <v/>
      </c>
      <c r="AB554" s="189">
        <f>AA480</f>
        <v/>
      </c>
      <c r="AC554" s="189">
        <f>AB480</f>
        <v/>
      </c>
      <c r="AD554" s="189">
        <f>AC480</f>
        <v/>
      </c>
      <c r="AE554" s="189">
        <f>AD480</f>
        <v/>
      </c>
      <c r="AF554" s="189">
        <f>AE480</f>
        <v/>
      </c>
      <c r="AG554" s="189">
        <f>AF480</f>
        <v/>
      </c>
      <c r="AH554" s="189">
        <f>AG480</f>
        <v/>
      </c>
      <c r="AI554" s="189">
        <f>AH480</f>
        <v/>
      </c>
      <c r="AQ554" s="187">
        <f>K517</f>
        <v/>
      </c>
    </row>
    <row r="555">
      <c r="A555" s="189">
        <f>E518</f>
        <v/>
      </c>
      <c r="B555" s="118" t="inlineStr">
        <is>
          <t>=</t>
        </is>
      </c>
      <c r="C555" s="189">
        <f>B481</f>
        <v/>
      </c>
      <c r="D555" s="189">
        <f>C481</f>
        <v/>
      </c>
      <c r="E555" s="189">
        <f>D481</f>
        <v/>
      </c>
      <c r="F555" s="189">
        <f>E481</f>
        <v/>
      </c>
      <c r="G555" s="189">
        <f>F481</f>
        <v/>
      </c>
      <c r="H555" s="189">
        <f>G481</f>
        <v/>
      </c>
      <c r="I555" s="189">
        <f>H481</f>
        <v/>
      </c>
      <c r="J555" s="189">
        <f>I481</f>
        <v/>
      </c>
      <c r="K555" s="189">
        <f>J481</f>
        <v/>
      </c>
      <c r="L555" s="189">
        <f>K481</f>
        <v/>
      </c>
      <c r="M555" s="189">
        <f>L481</f>
        <v/>
      </c>
      <c r="N555" s="189">
        <f>M481</f>
        <v/>
      </c>
      <c r="O555" s="189">
        <f>N481</f>
        <v/>
      </c>
      <c r="P555" s="189">
        <f>O481</f>
        <v/>
      </c>
      <c r="Q555" s="8">
        <f>P481</f>
        <v/>
      </c>
      <c r="R555" s="189">
        <f>Q481</f>
        <v/>
      </c>
      <c r="S555" s="189">
        <f>R481</f>
        <v/>
      </c>
      <c r="T555" s="189">
        <f>S481</f>
        <v/>
      </c>
      <c r="U555" s="189">
        <f>T481</f>
        <v/>
      </c>
      <c r="V555" s="189">
        <f>U481</f>
        <v/>
      </c>
      <c r="W555" s="189">
        <f>V481</f>
        <v/>
      </c>
      <c r="X555" s="189">
        <f>W481</f>
        <v/>
      </c>
      <c r="Y555" s="189">
        <f>X481</f>
        <v/>
      </c>
      <c r="Z555" s="189">
        <f>Y481</f>
        <v/>
      </c>
      <c r="AA555" s="189">
        <f>Z481</f>
        <v/>
      </c>
      <c r="AB555" s="189">
        <f>AA481</f>
        <v/>
      </c>
      <c r="AC555" s="189">
        <f>AB481</f>
        <v/>
      </c>
      <c r="AD555" s="189">
        <f>AC481</f>
        <v/>
      </c>
      <c r="AE555" s="189">
        <f>AD481</f>
        <v/>
      </c>
      <c r="AF555" s="189">
        <f>AE481</f>
        <v/>
      </c>
      <c r="AG555" s="189">
        <f>AF481</f>
        <v/>
      </c>
      <c r="AH555" s="189">
        <f>AG481</f>
        <v/>
      </c>
      <c r="AI555" s="189">
        <f>AH481</f>
        <v/>
      </c>
      <c r="AQ555" s="187">
        <f>K518</f>
        <v/>
      </c>
    </row>
    <row r="556">
      <c r="A556" s="189">
        <f>E519</f>
        <v/>
      </c>
      <c r="B556" s="118" t="inlineStr">
        <is>
          <t>=</t>
        </is>
      </c>
      <c r="C556" s="189">
        <f>B482</f>
        <v/>
      </c>
      <c r="D556" s="189">
        <f>C482</f>
        <v/>
      </c>
      <c r="E556" s="189">
        <f>D482</f>
        <v/>
      </c>
      <c r="F556" s="189">
        <f>E482</f>
        <v/>
      </c>
      <c r="G556" s="189">
        <f>F482</f>
        <v/>
      </c>
      <c r="H556" s="189">
        <f>G482</f>
        <v/>
      </c>
      <c r="I556" s="189">
        <f>H482</f>
        <v/>
      </c>
      <c r="J556" s="189">
        <f>I482</f>
        <v/>
      </c>
      <c r="K556" s="189">
        <f>J482</f>
        <v/>
      </c>
      <c r="L556" s="189">
        <f>K482</f>
        <v/>
      </c>
      <c r="M556" s="189">
        <f>L482</f>
        <v/>
      </c>
      <c r="N556" s="189">
        <f>M482</f>
        <v/>
      </c>
      <c r="O556" s="189">
        <f>N482</f>
        <v/>
      </c>
      <c r="P556" s="189">
        <f>O482</f>
        <v/>
      </c>
      <c r="Q556" s="189">
        <f>P482</f>
        <v/>
      </c>
      <c r="R556" s="8">
        <f>Q482</f>
        <v/>
      </c>
      <c r="S556" s="189">
        <f>R482</f>
        <v/>
      </c>
      <c r="T556" s="189">
        <f>S482</f>
        <v/>
      </c>
      <c r="U556" s="189">
        <f>T482</f>
        <v/>
      </c>
      <c r="V556" s="189">
        <f>U482</f>
        <v/>
      </c>
      <c r="W556" s="189">
        <f>V482</f>
        <v/>
      </c>
      <c r="X556" s="189">
        <f>W482</f>
        <v/>
      </c>
      <c r="Y556" s="189">
        <f>X482</f>
        <v/>
      </c>
      <c r="Z556" s="189">
        <f>Y482</f>
        <v/>
      </c>
      <c r="AA556" s="189">
        <f>Z482</f>
        <v/>
      </c>
      <c r="AB556" s="189">
        <f>AA482</f>
        <v/>
      </c>
      <c r="AC556" s="189">
        <f>AB482</f>
        <v/>
      </c>
      <c r="AD556" s="189">
        <f>AC482</f>
        <v/>
      </c>
      <c r="AE556" s="189">
        <f>AD482</f>
        <v/>
      </c>
      <c r="AF556" s="189">
        <f>AE482</f>
        <v/>
      </c>
      <c r="AG556" s="189">
        <f>AF482</f>
        <v/>
      </c>
      <c r="AH556" s="189">
        <f>AG482</f>
        <v/>
      </c>
      <c r="AI556" s="189">
        <f>AH482</f>
        <v/>
      </c>
      <c r="AQ556" s="187">
        <f>K519</f>
        <v/>
      </c>
    </row>
    <row r="557">
      <c r="A557" s="189">
        <f>E520</f>
        <v/>
      </c>
      <c r="B557" s="118" t="inlineStr">
        <is>
          <t>=</t>
        </is>
      </c>
      <c r="C557" s="189">
        <f>B483</f>
        <v/>
      </c>
      <c r="D557" s="189">
        <f>C483</f>
        <v/>
      </c>
      <c r="E557" s="189">
        <f>D483</f>
        <v/>
      </c>
      <c r="F557" s="189">
        <f>E483</f>
        <v/>
      </c>
      <c r="G557" s="189">
        <f>F483</f>
        <v/>
      </c>
      <c r="H557" s="189">
        <f>G483</f>
        <v/>
      </c>
      <c r="I557" s="189">
        <f>H483</f>
        <v/>
      </c>
      <c r="J557" s="189">
        <f>I483</f>
        <v/>
      </c>
      <c r="K557" s="189">
        <f>J483</f>
        <v/>
      </c>
      <c r="L557" s="189">
        <f>K483</f>
        <v/>
      </c>
      <c r="M557" s="189">
        <f>L483</f>
        <v/>
      </c>
      <c r="N557" s="189">
        <f>M483</f>
        <v/>
      </c>
      <c r="O557" s="189">
        <f>N483</f>
        <v/>
      </c>
      <c r="P557" s="189">
        <f>O483</f>
        <v/>
      </c>
      <c r="Q557" s="189">
        <f>P483</f>
        <v/>
      </c>
      <c r="R557" s="189">
        <f>Q483</f>
        <v/>
      </c>
      <c r="S557" s="8">
        <f>R483</f>
        <v/>
      </c>
      <c r="T557" s="189">
        <f>S483</f>
        <v/>
      </c>
      <c r="U557" s="189">
        <f>T483</f>
        <v/>
      </c>
      <c r="V557" s="189">
        <f>U483</f>
        <v/>
      </c>
      <c r="W557" s="189">
        <f>V483</f>
        <v/>
      </c>
      <c r="X557" s="189">
        <f>W483</f>
        <v/>
      </c>
      <c r="Y557" s="189">
        <f>X483</f>
        <v/>
      </c>
      <c r="Z557" s="189">
        <f>Y483</f>
        <v/>
      </c>
      <c r="AA557" s="189">
        <f>Z483</f>
        <v/>
      </c>
      <c r="AB557" s="189">
        <f>AA483</f>
        <v/>
      </c>
      <c r="AC557" s="189">
        <f>AB483</f>
        <v/>
      </c>
      <c r="AD557" s="189">
        <f>AC483</f>
        <v/>
      </c>
      <c r="AE557" s="189">
        <f>AD483</f>
        <v/>
      </c>
      <c r="AF557" s="189">
        <f>AE483</f>
        <v/>
      </c>
      <c r="AG557" s="189">
        <f>AF483</f>
        <v/>
      </c>
      <c r="AH557" s="189">
        <f>AG483</f>
        <v/>
      </c>
      <c r="AI557" s="189">
        <f>AH483</f>
        <v/>
      </c>
      <c r="AQ557" s="187">
        <f>K520</f>
        <v/>
      </c>
    </row>
    <row r="558">
      <c r="A558" s="189">
        <f>E521</f>
        <v/>
      </c>
      <c r="B558" s="118" t="inlineStr">
        <is>
          <t>=</t>
        </is>
      </c>
      <c r="C558" s="189">
        <f>B484</f>
        <v/>
      </c>
      <c r="D558" s="189">
        <f>C484</f>
        <v/>
      </c>
      <c r="E558" s="189">
        <f>D484</f>
        <v/>
      </c>
      <c r="F558" s="189">
        <f>E484</f>
        <v/>
      </c>
      <c r="G558" s="189">
        <f>F484</f>
        <v/>
      </c>
      <c r="H558" s="189">
        <f>G484</f>
        <v/>
      </c>
      <c r="I558" s="189">
        <f>H484</f>
        <v/>
      </c>
      <c r="J558" s="189">
        <f>I484</f>
        <v/>
      </c>
      <c r="K558" s="189">
        <f>J484</f>
        <v/>
      </c>
      <c r="L558" s="189">
        <f>K484</f>
        <v/>
      </c>
      <c r="M558" s="189">
        <f>L484</f>
        <v/>
      </c>
      <c r="N558" s="189">
        <f>M484</f>
        <v/>
      </c>
      <c r="O558" s="189">
        <f>N484</f>
        <v/>
      </c>
      <c r="P558" s="189">
        <f>O484</f>
        <v/>
      </c>
      <c r="Q558" s="189">
        <f>P484</f>
        <v/>
      </c>
      <c r="R558" s="189">
        <f>Q484</f>
        <v/>
      </c>
      <c r="S558" s="189">
        <f>R484</f>
        <v/>
      </c>
      <c r="T558" s="8">
        <f>S484</f>
        <v/>
      </c>
      <c r="U558" s="189">
        <f>T484</f>
        <v/>
      </c>
      <c r="V558" s="189">
        <f>U484</f>
        <v/>
      </c>
      <c r="W558" s="189">
        <f>V484</f>
        <v/>
      </c>
      <c r="X558" s="189">
        <f>W484</f>
        <v/>
      </c>
      <c r="Y558" s="189">
        <f>X484</f>
        <v/>
      </c>
      <c r="Z558" s="189">
        <f>Y484</f>
        <v/>
      </c>
      <c r="AA558" s="189">
        <f>Z484</f>
        <v/>
      </c>
      <c r="AB558" s="189">
        <f>AA484</f>
        <v/>
      </c>
      <c r="AC558" s="189">
        <f>AB484</f>
        <v/>
      </c>
      <c r="AD558" s="189">
        <f>AC484</f>
        <v/>
      </c>
      <c r="AE558" s="189">
        <f>AD484</f>
        <v/>
      </c>
      <c r="AF558" s="189">
        <f>AE484</f>
        <v/>
      </c>
      <c r="AG558" s="189">
        <f>AF484</f>
        <v/>
      </c>
      <c r="AH558" s="189">
        <f>AG484</f>
        <v/>
      </c>
      <c r="AI558" s="189">
        <f>AH484</f>
        <v/>
      </c>
      <c r="AQ558" s="187">
        <f>K521</f>
        <v/>
      </c>
    </row>
    <row r="559">
      <c r="A559" s="189">
        <f>E522</f>
        <v/>
      </c>
      <c r="B559" s="118" t="inlineStr">
        <is>
          <t>=</t>
        </is>
      </c>
      <c r="C559" s="189">
        <f>B485</f>
        <v/>
      </c>
      <c r="D559" s="189">
        <f>C485</f>
        <v/>
      </c>
      <c r="E559" s="189">
        <f>D485</f>
        <v/>
      </c>
      <c r="F559" s="189">
        <f>E485</f>
        <v/>
      </c>
      <c r="G559" s="189">
        <f>F485</f>
        <v/>
      </c>
      <c r="H559" s="189">
        <f>G485</f>
        <v/>
      </c>
      <c r="I559" s="189">
        <f>H485</f>
        <v/>
      </c>
      <c r="J559" s="189">
        <f>I485</f>
        <v/>
      </c>
      <c r="K559" s="189">
        <f>J485</f>
        <v/>
      </c>
      <c r="L559" s="189">
        <f>K485</f>
        <v/>
      </c>
      <c r="M559" s="189">
        <f>L485</f>
        <v/>
      </c>
      <c r="N559" s="189">
        <f>M485</f>
        <v/>
      </c>
      <c r="O559" s="189">
        <f>N485</f>
        <v/>
      </c>
      <c r="P559" s="189">
        <f>O485</f>
        <v/>
      </c>
      <c r="Q559" s="189">
        <f>P485</f>
        <v/>
      </c>
      <c r="R559" s="189">
        <f>Q485</f>
        <v/>
      </c>
      <c r="S559" s="189">
        <f>R485</f>
        <v/>
      </c>
      <c r="T559" s="189">
        <f>S485</f>
        <v/>
      </c>
      <c r="U559" s="8">
        <f>T485</f>
        <v/>
      </c>
      <c r="V559" s="189">
        <f>U485</f>
        <v/>
      </c>
      <c r="W559" s="189">
        <f>V485</f>
        <v/>
      </c>
      <c r="X559" s="189">
        <f>W485</f>
        <v/>
      </c>
      <c r="Y559" s="189">
        <f>X485</f>
        <v/>
      </c>
      <c r="Z559" s="189">
        <f>Y485</f>
        <v/>
      </c>
      <c r="AA559" s="189">
        <f>Z485</f>
        <v/>
      </c>
      <c r="AB559" s="189">
        <f>AA485</f>
        <v/>
      </c>
      <c r="AC559" s="189">
        <f>AB485</f>
        <v/>
      </c>
      <c r="AD559" s="189">
        <f>AC485</f>
        <v/>
      </c>
      <c r="AE559" s="189">
        <f>AD485</f>
        <v/>
      </c>
      <c r="AF559" s="189">
        <f>AE485</f>
        <v/>
      </c>
      <c r="AG559" s="189">
        <f>AF485</f>
        <v/>
      </c>
      <c r="AH559" s="189">
        <f>AG485</f>
        <v/>
      </c>
      <c r="AI559" s="189">
        <f>AH485</f>
        <v/>
      </c>
      <c r="AQ559" s="187">
        <f>K522</f>
        <v/>
      </c>
    </row>
    <row r="560">
      <c r="A560" s="189">
        <f>E523</f>
        <v/>
      </c>
      <c r="B560" s="118" t="inlineStr">
        <is>
          <t>=</t>
        </is>
      </c>
      <c r="C560" s="189">
        <f>B486</f>
        <v/>
      </c>
      <c r="D560" s="189">
        <f>C486</f>
        <v/>
      </c>
      <c r="E560" s="189">
        <f>D486</f>
        <v/>
      </c>
      <c r="F560" s="189">
        <f>E486</f>
        <v/>
      </c>
      <c r="G560" s="189">
        <f>F486</f>
        <v/>
      </c>
      <c r="H560" s="189">
        <f>G486</f>
        <v/>
      </c>
      <c r="I560" s="189">
        <f>H486</f>
        <v/>
      </c>
      <c r="J560" s="189">
        <f>I486</f>
        <v/>
      </c>
      <c r="K560" s="189">
        <f>J486</f>
        <v/>
      </c>
      <c r="L560" s="189">
        <f>K486</f>
        <v/>
      </c>
      <c r="M560" s="189">
        <f>L486</f>
        <v/>
      </c>
      <c r="N560" s="189">
        <f>M486</f>
        <v/>
      </c>
      <c r="O560" s="189">
        <f>N486</f>
        <v/>
      </c>
      <c r="P560" s="189">
        <f>O486</f>
        <v/>
      </c>
      <c r="Q560" s="189">
        <f>P486</f>
        <v/>
      </c>
      <c r="R560" s="189">
        <f>Q486</f>
        <v/>
      </c>
      <c r="S560" s="189">
        <f>R486</f>
        <v/>
      </c>
      <c r="T560" s="189">
        <f>S486</f>
        <v/>
      </c>
      <c r="U560" s="189">
        <f>T486</f>
        <v/>
      </c>
      <c r="V560" s="8">
        <f>U486</f>
        <v/>
      </c>
      <c r="W560" s="189">
        <f>V486</f>
        <v/>
      </c>
      <c r="X560" s="189">
        <f>W486</f>
        <v/>
      </c>
      <c r="Y560" s="189">
        <f>X486</f>
        <v/>
      </c>
      <c r="Z560" s="189">
        <f>Y486</f>
        <v/>
      </c>
      <c r="AA560" s="189">
        <f>Z486</f>
        <v/>
      </c>
      <c r="AB560" s="189">
        <f>AA486</f>
        <v/>
      </c>
      <c r="AC560" s="189">
        <f>AB486</f>
        <v/>
      </c>
      <c r="AD560" s="189">
        <f>AC486</f>
        <v/>
      </c>
      <c r="AE560" s="189">
        <f>AD486</f>
        <v/>
      </c>
      <c r="AF560" s="189">
        <f>AE486</f>
        <v/>
      </c>
      <c r="AG560" s="189">
        <f>AF486</f>
        <v/>
      </c>
      <c r="AH560" s="189">
        <f>AG486</f>
        <v/>
      </c>
      <c r="AI560" s="189">
        <f>AH486</f>
        <v/>
      </c>
      <c r="AQ560" s="187">
        <f>K523</f>
        <v/>
      </c>
    </row>
    <row r="561">
      <c r="A561" s="189">
        <f>E524</f>
        <v/>
      </c>
      <c r="B561" s="118" t="inlineStr">
        <is>
          <t>=</t>
        </is>
      </c>
      <c r="C561" s="189">
        <f>B487</f>
        <v/>
      </c>
      <c r="D561" s="189">
        <f>C487</f>
        <v/>
      </c>
      <c r="E561" s="189">
        <f>D487</f>
        <v/>
      </c>
      <c r="F561" s="189">
        <f>E487</f>
        <v/>
      </c>
      <c r="G561" s="189">
        <f>F487</f>
        <v/>
      </c>
      <c r="H561" s="189">
        <f>G487</f>
        <v/>
      </c>
      <c r="I561" s="189">
        <f>H487</f>
        <v/>
      </c>
      <c r="J561" s="189">
        <f>I487</f>
        <v/>
      </c>
      <c r="K561" s="189">
        <f>J487</f>
        <v/>
      </c>
      <c r="L561" s="189">
        <f>K487</f>
        <v/>
      </c>
      <c r="M561" s="189">
        <f>L487</f>
        <v/>
      </c>
      <c r="N561" s="189">
        <f>M487</f>
        <v/>
      </c>
      <c r="O561" s="189">
        <f>N487</f>
        <v/>
      </c>
      <c r="P561" s="189">
        <f>O487</f>
        <v/>
      </c>
      <c r="Q561" s="189">
        <f>P487</f>
        <v/>
      </c>
      <c r="R561" s="189">
        <f>Q487</f>
        <v/>
      </c>
      <c r="S561" s="189">
        <f>R487</f>
        <v/>
      </c>
      <c r="T561" s="189">
        <f>S487</f>
        <v/>
      </c>
      <c r="U561" s="189">
        <f>T487</f>
        <v/>
      </c>
      <c r="V561" s="189">
        <f>U487</f>
        <v/>
      </c>
      <c r="W561" s="8">
        <f>V487</f>
        <v/>
      </c>
      <c r="X561" s="189">
        <f>W487</f>
        <v/>
      </c>
      <c r="Y561" s="189">
        <f>X487</f>
        <v/>
      </c>
      <c r="Z561" s="189">
        <f>Y487</f>
        <v/>
      </c>
      <c r="AA561" s="189">
        <f>Z487</f>
        <v/>
      </c>
      <c r="AB561" s="189">
        <f>AA487</f>
        <v/>
      </c>
      <c r="AC561" s="189">
        <f>AB487</f>
        <v/>
      </c>
      <c r="AD561" s="189">
        <f>AC487</f>
        <v/>
      </c>
      <c r="AE561" s="189">
        <f>AD487</f>
        <v/>
      </c>
      <c r="AF561" s="189">
        <f>AE487</f>
        <v/>
      </c>
      <c r="AG561" s="189">
        <f>AF487</f>
        <v/>
      </c>
      <c r="AH561" s="189">
        <f>AG487</f>
        <v/>
      </c>
      <c r="AI561" s="189">
        <f>AH487</f>
        <v/>
      </c>
      <c r="AQ561" s="187">
        <f>K524</f>
        <v/>
      </c>
    </row>
    <row r="562">
      <c r="A562" s="189">
        <f>E525</f>
        <v/>
      </c>
      <c r="B562" s="118" t="inlineStr">
        <is>
          <t>=</t>
        </is>
      </c>
      <c r="C562" s="189">
        <f>B488</f>
        <v/>
      </c>
      <c r="D562" s="189">
        <f>C488</f>
        <v/>
      </c>
      <c r="E562" s="189">
        <f>D488</f>
        <v/>
      </c>
      <c r="F562" s="189">
        <f>E488</f>
        <v/>
      </c>
      <c r="G562" s="189">
        <f>F488</f>
        <v/>
      </c>
      <c r="H562" s="189">
        <f>G488</f>
        <v/>
      </c>
      <c r="I562" s="189">
        <f>H488</f>
        <v/>
      </c>
      <c r="J562" s="189">
        <f>I488</f>
        <v/>
      </c>
      <c r="K562" s="189">
        <f>J488</f>
        <v/>
      </c>
      <c r="L562" s="189">
        <f>K488</f>
        <v/>
      </c>
      <c r="M562" s="189">
        <f>L488</f>
        <v/>
      </c>
      <c r="N562" s="189">
        <f>M488</f>
        <v/>
      </c>
      <c r="O562" s="189">
        <f>N488</f>
        <v/>
      </c>
      <c r="P562" s="189">
        <f>O488</f>
        <v/>
      </c>
      <c r="Q562" s="189">
        <f>P488</f>
        <v/>
      </c>
      <c r="R562" s="189">
        <f>Q488</f>
        <v/>
      </c>
      <c r="S562" s="189">
        <f>R488</f>
        <v/>
      </c>
      <c r="T562" s="189">
        <f>S488</f>
        <v/>
      </c>
      <c r="U562" s="189">
        <f>T488</f>
        <v/>
      </c>
      <c r="V562" s="189">
        <f>U488</f>
        <v/>
      </c>
      <c r="W562" s="189">
        <f>V488</f>
        <v/>
      </c>
      <c r="X562" s="8">
        <f>W488</f>
        <v/>
      </c>
      <c r="Y562" s="189">
        <f>X488</f>
        <v/>
      </c>
      <c r="Z562" s="189">
        <f>Y488</f>
        <v/>
      </c>
      <c r="AA562" s="189">
        <f>Z488</f>
        <v/>
      </c>
      <c r="AB562" s="189">
        <f>AA488</f>
        <v/>
      </c>
      <c r="AC562" s="189">
        <f>AB488</f>
        <v/>
      </c>
      <c r="AD562" s="189">
        <f>AC488</f>
        <v/>
      </c>
      <c r="AE562" s="189">
        <f>AD488</f>
        <v/>
      </c>
      <c r="AF562" s="189">
        <f>AE488</f>
        <v/>
      </c>
      <c r="AG562" s="189">
        <f>AF488</f>
        <v/>
      </c>
      <c r="AH562" s="189">
        <f>AG488</f>
        <v/>
      </c>
      <c r="AI562" s="189">
        <f>AH488</f>
        <v/>
      </c>
      <c r="AQ562" s="187">
        <f>K525</f>
        <v/>
      </c>
    </row>
    <row r="563">
      <c r="A563" s="189">
        <f>E526</f>
        <v/>
      </c>
      <c r="B563" s="118" t="inlineStr">
        <is>
          <t>=</t>
        </is>
      </c>
      <c r="C563" s="189">
        <f>B489</f>
        <v/>
      </c>
      <c r="D563" s="189">
        <f>C489</f>
        <v/>
      </c>
      <c r="E563" s="189">
        <f>D489</f>
        <v/>
      </c>
      <c r="F563" s="189">
        <f>E489</f>
        <v/>
      </c>
      <c r="G563" s="189">
        <f>F489</f>
        <v/>
      </c>
      <c r="H563" s="189">
        <f>G489</f>
        <v/>
      </c>
      <c r="I563" s="189">
        <f>H489</f>
        <v/>
      </c>
      <c r="J563" s="189">
        <f>I489</f>
        <v/>
      </c>
      <c r="K563" s="189">
        <f>J489</f>
        <v/>
      </c>
      <c r="L563" s="189">
        <f>K489</f>
        <v/>
      </c>
      <c r="M563" s="189">
        <f>L489</f>
        <v/>
      </c>
      <c r="N563" s="189">
        <f>M489</f>
        <v/>
      </c>
      <c r="O563" s="189">
        <f>N489</f>
        <v/>
      </c>
      <c r="P563" s="189">
        <f>O489</f>
        <v/>
      </c>
      <c r="Q563" s="189">
        <f>P489</f>
        <v/>
      </c>
      <c r="R563" s="189">
        <f>Q489</f>
        <v/>
      </c>
      <c r="S563" s="189">
        <f>R489</f>
        <v/>
      </c>
      <c r="T563" s="189">
        <f>S489</f>
        <v/>
      </c>
      <c r="U563" s="189">
        <f>T489</f>
        <v/>
      </c>
      <c r="V563" s="189">
        <f>U489</f>
        <v/>
      </c>
      <c r="W563" s="189">
        <f>V489</f>
        <v/>
      </c>
      <c r="X563" s="189">
        <f>W489</f>
        <v/>
      </c>
      <c r="Y563" s="8">
        <f>X489</f>
        <v/>
      </c>
      <c r="Z563" s="189">
        <f>Y489</f>
        <v/>
      </c>
      <c r="AA563" s="189">
        <f>Z489</f>
        <v/>
      </c>
      <c r="AB563" s="189">
        <f>AA489</f>
        <v/>
      </c>
      <c r="AC563" s="189">
        <f>AB489</f>
        <v/>
      </c>
      <c r="AD563" s="189">
        <f>AC489</f>
        <v/>
      </c>
      <c r="AE563" s="189">
        <f>AD489</f>
        <v/>
      </c>
      <c r="AF563" s="189">
        <f>AE489</f>
        <v/>
      </c>
      <c r="AG563" s="189">
        <f>AF489</f>
        <v/>
      </c>
      <c r="AH563" s="189">
        <f>AG489</f>
        <v/>
      </c>
      <c r="AI563" s="189">
        <f>AH489</f>
        <v/>
      </c>
      <c r="AQ563" s="187">
        <f>K526</f>
        <v/>
      </c>
    </row>
    <row r="564">
      <c r="A564" s="189">
        <f>E527</f>
        <v/>
      </c>
      <c r="B564" s="118" t="inlineStr">
        <is>
          <t>=</t>
        </is>
      </c>
      <c r="C564" s="189">
        <f>B490</f>
        <v/>
      </c>
      <c r="D564" s="189">
        <f>C490</f>
        <v/>
      </c>
      <c r="E564" s="189">
        <f>D490</f>
        <v/>
      </c>
      <c r="F564" s="189">
        <f>E490</f>
        <v/>
      </c>
      <c r="G564" s="189">
        <f>F490</f>
        <v/>
      </c>
      <c r="H564" s="189">
        <f>G490</f>
        <v/>
      </c>
      <c r="I564" s="189">
        <f>H490</f>
        <v/>
      </c>
      <c r="J564" s="189">
        <f>I490</f>
        <v/>
      </c>
      <c r="K564" s="189">
        <f>J490</f>
        <v/>
      </c>
      <c r="L564" s="189">
        <f>K490</f>
        <v/>
      </c>
      <c r="M564" s="189">
        <f>L490</f>
        <v/>
      </c>
      <c r="N564" s="189">
        <f>M490</f>
        <v/>
      </c>
      <c r="O564" s="189">
        <f>N490</f>
        <v/>
      </c>
      <c r="P564" s="189">
        <f>O490</f>
        <v/>
      </c>
      <c r="Q564" s="189">
        <f>P490</f>
        <v/>
      </c>
      <c r="R564" s="189">
        <f>Q490</f>
        <v/>
      </c>
      <c r="S564" s="189">
        <f>R490</f>
        <v/>
      </c>
      <c r="T564" s="189">
        <f>S490</f>
        <v/>
      </c>
      <c r="U564" s="189">
        <f>T490</f>
        <v/>
      </c>
      <c r="V564" s="189">
        <f>U490</f>
        <v/>
      </c>
      <c r="W564" s="189">
        <f>V490</f>
        <v/>
      </c>
      <c r="X564" s="189">
        <f>W490</f>
        <v/>
      </c>
      <c r="Y564" s="189">
        <f>X490</f>
        <v/>
      </c>
      <c r="Z564" s="8">
        <f>Y490</f>
        <v/>
      </c>
      <c r="AA564" s="189">
        <f>Z490</f>
        <v/>
      </c>
      <c r="AB564" s="189">
        <f>AA490</f>
        <v/>
      </c>
      <c r="AC564" s="189">
        <f>AB490</f>
        <v/>
      </c>
      <c r="AD564" s="189">
        <f>AC490</f>
        <v/>
      </c>
      <c r="AE564" s="189">
        <f>AD490</f>
        <v/>
      </c>
      <c r="AF564" s="189">
        <f>AE490</f>
        <v/>
      </c>
      <c r="AG564" s="189">
        <f>AF490</f>
        <v/>
      </c>
      <c r="AH564" s="189">
        <f>AG490</f>
        <v/>
      </c>
      <c r="AI564" s="189">
        <f>AH490</f>
        <v/>
      </c>
      <c r="AQ564" s="187">
        <f>K527</f>
        <v/>
      </c>
    </row>
    <row r="565">
      <c r="A565" s="189">
        <f>E528</f>
        <v/>
      </c>
      <c r="B565" s="118" t="inlineStr">
        <is>
          <t>=</t>
        </is>
      </c>
      <c r="C565" s="189">
        <f>B491</f>
        <v/>
      </c>
      <c r="D565" s="189">
        <f>C491</f>
        <v/>
      </c>
      <c r="E565" s="189">
        <f>D491</f>
        <v/>
      </c>
      <c r="F565" s="189">
        <f>E491</f>
        <v/>
      </c>
      <c r="G565" s="189">
        <f>F491</f>
        <v/>
      </c>
      <c r="H565" s="189">
        <f>G491</f>
        <v/>
      </c>
      <c r="I565" s="189">
        <f>H491</f>
        <v/>
      </c>
      <c r="J565" s="189">
        <f>I491</f>
        <v/>
      </c>
      <c r="K565" s="189">
        <f>J491</f>
        <v/>
      </c>
      <c r="L565" s="189">
        <f>K491</f>
        <v/>
      </c>
      <c r="M565" s="189">
        <f>L491</f>
        <v/>
      </c>
      <c r="N565" s="189">
        <f>M491</f>
        <v/>
      </c>
      <c r="O565" s="189">
        <f>N491</f>
        <v/>
      </c>
      <c r="P565" s="189">
        <f>O491</f>
        <v/>
      </c>
      <c r="Q565" s="189">
        <f>P491</f>
        <v/>
      </c>
      <c r="R565" s="189">
        <f>Q491</f>
        <v/>
      </c>
      <c r="S565" s="189">
        <f>R491</f>
        <v/>
      </c>
      <c r="T565" s="189">
        <f>S491</f>
        <v/>
      </c>
      <c r="U565" s="189">
        <f>T491</f>
        <v/>
      </c>
      <c r="V565" s="189">
        <f>U491</f>
        <v/>
      </c>
      <c r="W565" s="189">
        <f>V491</f>
        <v/>
      </c>
      <c r="X565" s="189">
        <f>W491</f>
        <v/>
      </c>
      <c r="Y565" s="189">
        <f>X491</f>
        <v/>
      </c>
      <c r="Z565" s="189">
        <f>Y491</f>
        <v/>
      </c>
      <c r="AA565" s="8">
        <f>Z491</f>
        <v/>
      </c>
      <c r="AB565" s="189">
        <f>AA491</f>
        <v/>
      </c>
      <c r="AC565" s="189">
        <f>AB491</f>
        <v/>
      </c>
      <c r="AD565" s="189">
        <f>AC491</f>
        <v/>
      </c>
      <c r="AE565" s="189">
        <f>AD491</f>
        <v/>
      </c>
      <c r="AF565" s="189">
        <f>AE491</f>
        <v/>
      </c>
      <c r="AG565" s="189">
        <f>AF491</f>
        <v/>
      </c>
      <c r="AH565" s="189">
        <f>AG491</f>
        <v/>
      </c>
      <c r="AI565" s="189">
        <f>AH491</f>
        <v/>
      </c>
      <c r="AQ565" s="187">
        <f>K528</f>
        <v/>
      </c>
    </row>
    <row r="566">
      <c r="A566" s="189">
        <f>E529</f>
        <v/>
      </c>
      <c r="B566" s="118" t="inlineStr">
        <is>
          <t>=</t>
        </is>
      </c>
      <c r="C566" s="189">
        <f>B492</f>
        <v/>
      </c>
      <c r="D566" s="189">
        <f>C492</f>
        <v/>
      </c>
      <c r="E566" s="189">
        <f>D492</f>
        <v/>
      </c>
      <c r="F566" s="189">
        <f>E492</f>
        <v/>
      </c>
      <c r="G566" s="189">
        <f>F492</f>
        <v/>
      </c>
      <c r="H566" s="189">
        <f>G492</f>
        <v/>
      </c>
      <c r="I566" s="189">
        <f>H492</f>
        <v/>
      </c>
      <c r="J566" s="189">
        <f>I492</f>
        <v/>
      </c>
      <c r="K566" s="189">
        <f>J492</f>
        <v/>
      </c>
      <c r="L566" s="189">
        <f>K492</f>
        <v/>
      </c>
      <c r="M566" s="189">
        <f>L492</f>
        <v/>
      </c>
      <c r="N566" s="189">
        <f>M492</f>
        <v/>
      </c>
      <c r="O566" s="189">
        <f>N492</f>
        <v/>
      </c>
      <c r="P566" s="189">
        <f>O492</f>
        <v/>
      </c>
      <c r="Q566" s="189">
        <f>P492</f>
        <v/>
      </c>
      <c r="R566" s="189">
        <f>Q492</f>
        <v/>
      </c>
      <c r="S566" s="189">
        <f>R492</f>
        <v/>
      </c>
      <c r="T566" s="189">
        <f>S492</f>
        <v/>
      </c>
      <c r="U566" s="189">
        <f>T492</f>
        <v/>
      </c>
      <c r="V566" s="189">
        <f>U492</f>
        <v/>
      </c>
      <c r="W566" s="189">
        <f>V492</f>
        <v/>
      </c>
      <c r="X566" s="189">
        <f>W492</f>
        <v/>
      </c>
      <c r="Y566" s="189">
        <f>X492</f>
        <v/>
      </c>
      <c r="Z566" s="189">
        <f>Y492</f>
        <v/>
      </c>
      <c r="AA566" s="189">
        <f>Z492</f>
        <v/>
      </c>
      <c r="AB566" s="8">
        <f>AA492</f>
        <v/>
      </c>
      <c r="AC566" s="189">
        <f>AB492</f>
        <v/>
      </c>
      <c r="AD566" s="189">
        <f>AC492</f>
        <v/>
      </c>
      <c r="AE566" s="189">
        <f>AD492</f>
        <v/>
      </c>
      <c r="AF566" s="189">
        <f>AE492</f>
        <v/>
      </c>
      <c r="AG566" s="189">
        <f>AF492</f>
        <v/>
      </c>
      <c r="AH566" s="189">
        <f>AG492</f>
        <v/>
      </c>
      <c r="AI566" s="189">
        <f>AH492</f>
        <v/>
      </c>
      <c r="AQ566" s="187">
        <f>K529</f>
        <v/>
      </c>
    </row>
    <row r="567">
      <c r="A567" s="189">
        <f>E530</f>
        <v/>
      </c>
      <c r="B567" s="118" t="inlineStr">
        <is>
          <t>=</t>
        </is>
      </c>
      <c r="C567" s="189">
        <f>B493</f>
        <v/>
      </c>
      <c r="D567" s="189">
        <f>C493</f>
        <v/>
      </c>
      <c r="E567" s="189">
        <f>D493</f>
        <v/>
      </c>
      <c r="F567" s="189">
        <f>E493</f>
        <v/>
      </c>
      <c r="G567" s="189">
        <f>F493</f>
        <v/>
      </c>
      <c r="H567" s="189">
        <f>G493</f>
        <v/>
      </c>
      <c r="I567" s="189">
        <f>H493</f>
        <v/>
      </c>
      <c r="J567" s="189">
        <f>I493</f>
        <v/>
      </c>
      <c r="K567" s="189">
        <f>J493</f>
        <v/>
      </c>
      <c r="L567" s="189">
        <f>K493</f>
        <v/>
      </c>
      <c r="M567" s="189">
        <f>L493</f>
        <v/>
      </c>
      <c r="N567" s="189">
        <f>M493</f>
        <v/>
      </c>
      <c r="O567" s="189">
        <f>N493</f>
        <v/>
      </c>
      <c r="P567" s="189">
        <f>O493</f>
        <v/>
      </c>
      <c r="Q567" s="189">
        <f>P493</f>
        <v/>
      </c>
      <c r="R567" s="189">
        <f>Q493</f>
        <v/>
      </c>
      <c r="S567" s="189">
        <f>R493</f>
        <v/>
      </c>
      <c r="T567" s="189">
        <f>S493</f>
        <v/>
      </c>
      <c r="U567" s="189">
        <f>T493</f>
        <v/>
      </c>
      <c r="V567" s="189">
        <f>U493</f>
        <v/>
      </c>
      <c r="W567" s="189">
        <f>V493</f>
        <v/>
      </c>
      <c r="X567" s="189">
        <f>W493</f>
        <v/>
      </c>
      <c r="Y567" s="189">
        <f>X493</f>
        <v/>
      </c>
      <c r="Z567" s="189">
        <f>Y493</f>
        <v/>
      </c>
      <c r="AA567" s="189">
        <f>Z493</f>
        <v/>
      </c>
      <c r="AB567" s="189">
        <f>AA493</f>
        <v/>
      </c>
      <c r="AC567" s="8">
        <f>AB493</f>
        <v/>
      </c>
      <c r="AD567" s="189">
        <f>AC493</f>
        <v/>
      </c>
      <c r="AE567" s="189">
        <f>AD493</f>
        <v/>
      </c>
      <c r="AF567" s="189">
        <f>AE493</f>
        <v/>
      </c>
      <c r="AG567" s="189">
        <f>AF493</f>
        <v/>
      </c>
      <c r="AH567" s="189">
        <f>AG493</f>
        <v/>
      </c>
      <c r="AI567" s="189">
        <f>AH493</f>
        <v/>
      </c>
      <c r="AQ567" s="187">
        <f>K530</f>
        <v/>
      </c>
    </row>
    <row r="568">
      <c r="A568" s="189">
        <f>E531</f>
        <v/>
      </c>
      <c r="B568" s="118" t="inlineStr">
        <is>
          <t>=</t>
        </is>
      </c>
      <c r="C568" s="189">
        <f>B494</f>
        <v/>
      </c>
      <c r="D568" s="189">
        <f>C494</f>
        <v/>
      </c>
      <c r="E568" s="189">
        <f>D494</f>
        <v/>
      </c>
      <c r="F568" s="189">
        <f>E494</f>
        <v/>
      </c>
      <c r="G568" s="189">
        <f>F494</f>
        <v/>
      </c>
      <c r="H568" s="189">
        <f>G494</f>
        <v/>
      </c>
      <c r="I568" s="189">
        <f>H494</f>
        <v/>
      </c>
      <c r="J568" s="189">
        <f>I494</f>
        <v/>
      </c>
      <c r="K568" s="189">
        <f>J494</f>
        <v/>
      </c>
      <c r="L568" s="189">
        <f>K494</f>
        <v/>
      </c>
      <c r="M568" s="189">
        <f>L494</f>
        <v/>
      </c>
      <c r="N568" s="189">
        <f>M494</f>
        <v/>
      </c>
      <c r="O568" s="189">
        <f>N494</f>
        <v/>
      </c>
      <c r="P568" s="189">
        <f>O494</f>
        <v/>
      </c>
      <c r="Q568" s="189">
        <f>P494</f>
        <v/>
      </c>
      <c r="R568" s="189">
        <f>Q494</f>
        <v/>
      </c>
      <c r="S568" s="189">
        <f>R494</f>
        <v/>
      </c>
      <c r="T568" s="189">
        <f>S494</f>
        <v/>
      </c>
      <c r="U568" s="189">
        <f>T494</f>
        <v/>
      </c>
      <c r="V568" s="189">
        <f>U494</f>
        <v/>
      </c>
      <c r="W568" s="189">
        <f>V494</f>
        <v/>
      </c>
      <c r="X568" s="189">
        <f>W494</f>
        <v/>
      </c>
      <c r="Y568" s="189">
        <f>X494</f>
        <v/>
      </c>
      <c r="Z568" s="189">
        <f>Y494</f>
        <v/>
      </c>
      <c r="AA568" s="189">
        <f>Z494</f>
        <v/>
      </c>
      <c r="AB568" s="189">
        <f>AA494</f>
        <v/>
      </c>
      <c r="AC568" s="189">
        <f>AB494</f>
        <v/>
      </c>
      <c r="AD568" s="8">
        <f>AC494</f>
        <v/>
      </c>
      <c r="AE568" s="189">
        <f>AD494</f>
        <v/>
      </c>
      <c r="AF568" s="189">
        <f>AE494</f>
        <v/>
      </c>
      <c r="AG568" s="189">
        <f>AF494</f>
        <v/>
      </c>
      <c r="AH568" s="189">
        <f>AG494</f>
        <v/>
      </c>
      <c r="AI568" s="189">
        <f>AH494</f>
        <v/>
      </c>
      <c r="AQ568" s="187">
        <f>K531</f>
        <v/>
      </c>
    </row>
    <row r="569">
      <c r="A569" s="189">
        <f>E532</f>
        <v/>
      </c>
      <c r="B569" s="118" t="inlineStr">
        <is>
          <t>=</t>
        </is>
      </c>
      <c r="C569" s="189">
        <f>B495</f>
        <v/>
      </c>
      <c r="D569" s="189">
        <f>C495</f>
        <v/>
      </c>
      <c r="E569" s="189">
        <f>D495</f>
        <v/>
      </c>
      <c r="F569" s="189">
        <f>E495</f>
        <v/>
      </c>
      <c r="G569" s="189">
        <f>F495</f>
        <v/>
      </c>
      <c r="H569" s="189">
        <f>G495</f>
        <v/>
      </c>
      <c r="I569" s="189">
        <f>H495</f>
        <v/>
      </c>
      <c r="J569" s="189">
        <f>I495</f>
        <v/>
      </c>
      <c r="K569" s="189">
        <f>J495</f>
        <v/>
      </c>
      <c r="L569" s="189">
        <f>K495</f>
        <v/>
      </c>
      <c r="M569" s="189">
        <f>L495</f>
        <v/>
      </c>
      <c r="N569" s="189">
        <f>M495</f>
        <v/>
      </c>
      <c r="O569" s="189">
        <f>N495</f>
        <v/>
      </c>
      <c r="P569" s="189">
        <f>O495</f>
        <v/>
      </c>
      <c r="Q569" s="189">
        <f>P495</f>
        <v/>
      </c>
      <c r="R569" s="189">
        <f>Q495</f>
        <v/>
      </c>
      <c r="S569" s="189">
        <f>R495</f>
        <v/>
      </c>
      <c r="T569" s="189">
        <f>S495</f>
        <v/>
      </c>
      <c r="U569" s="189">
        <f>T495</f>
        <v/>
      </c>
      <c r="V569" s="189">
        <f>U495</f>
        <v/>
      </c>
      <c r="W569" s="189">
        <f>V495</f>
        <v/>
      </c>
      <c r="X569" s="189">
        <f>W495</f>
        <v/>
      </c>
      <c r="Y569" s="189">
        <f>X495</f>
        <v/>
      </c>
      <c r="Z569" s="189">
        <f>Y495</f>
        <v/>
      </c>
      <c r="AA569" s="189">
        <f>Z495</f>
        <v/>
      </c>
      <c r="AB569" s="189">
        <f>AA495</f>
        <v/>
      </c>
      <c r="AC569" s="189">
        <f>AB495</f>
        <v/>
      </c>
      <c r="AD569" s="189">
        <f>AC495</f>
        <v/>
      </c>
      <c r="AE569" s="8">
        <f>AD495</f>
        <v/>
      </c>
      <c r="AF569" s="189">
        <f>AE495</f>
        <v/>
      </c>
      <c r="AG569" s="189">
        <f>AF495</f>
        <v/>
      </c>
      <c r="AH569" s="189">
        <f>AG495</f>
        <v/>
      </c>
      <c r="AI569" s="189">
        <f>AH495</f>
        <v/>
      </c>
      <c r="AQ569" s="187">
        <f>K532</f>
        <v/>
      </c>
    </row>
    <row r="570">
      <c r="A570" s="189">
        <f>E533</f>
        <v/>
      </c>
      <c r="B570" s="118" t="inlineStr">
        <is>
          <t>=</t>
        </is>
      </c>
      <c r="C570" s="189">
        <f>B496</f>
        <v/>
      </c>
      <c r="D570" s="189">
        <f>C496</f>
        <v/>
      </c>
      <c r="E570" s="189">
        <f>D496</f>
        <v/>
      </c>
      <c r="F570" s="189">
        <f>E496</f>
        <v/>
      </c>
      <c r="G570" s="189">
        <f>F496</f>
        <v/>
      </c>
      <c r="H570" s="189">
        <f>G496</f>
        <v/>
      </c>
      <c r="I570" s="189">
        <f>H496</f>
        <v/>
      </c>
      <c r="J570" s="189">
        <f>I496</f>
        <v/>
      </c>
      <c r="K570" s="189">
        <f>J496</f>
        <v/>
      </c>
      <c r="L570" s="189">
        <f>K496</f>
        <v/>
      </c>
      <c r="M570" s="189">
        <f>L496</f>
        <v/>
      </c>
      <c r="N570" s="189">
        <f>M496</f>
        <v/>
      </c>
      <c r="O570" s="189">
        <f>N496</f>
        <v/>
      </c>
      <c r="P570" s="189">
        <f>O496</f>
        <v/>
      </c>
      <c r="Q570" s="189">
        <f>P496</f>
        <v/>
      </c>
      <c r="R570" s="189">
        <f>Q496</f>
        <v/>
      </c>
      <c r="S570" s="189">
        <f>R496</f>
        <v/>
      </c>
      <c r="T570" s="189">
        <f>S496</f>
        <v/>
      </c>
      <c r="U570" s="189">
        <f>T496</f>
        <v/>
      </c>
      <c r="V570" s="189">
        <f>U496</f>
        <v/>
      </c>
      <c r="W570" s="189">
        <f>V496</f>
        <v/>
      </c>
      <c r="X570" s="189">
        <f>W496</f>
        <v/>
      </c>
      <c r="Y570" s="189">
        <f>X496</f>
        <v/>
      </c>
      <c r="Z570" s="189">
        <f>Y496</f>
        <v/>
      </c>
      <c r="AA570" s="189">
        <f>Z496</f>
        <v/>
      </c>
      <c r="AB570" s="189">
        <f>AA496</f>
        <v/>
      </c>
      <c r="AC570" s="189">
        <f>AB496</f>
        <v/>
      </c>
      <c r="AD570" s="189">
        <f>AC496</f>
        <v/>
      </c>
      <c r="AE570" s="189">
        <f>AD496</f>
        <v/>
      </c>
      <c r="AF570" s="8">
        <f>AE496</f>
        <v/>
      </c>
      <c r="AG570" s="189">
        <f>AF496</f>
        <v/>
      </c>
      <c r="AH570" s="189">
        <f>AG496</f>
        <v/>
      </c>
      <c r="AI570" s="189">
        <f>AH496</f>
        <v/>
      </c>
      <c r="AQ570" s="187">
        <f>K533</f>
        <v/>
      </c>
    </row>
    <row r="571">
      <c r="A571" s="189">
        <f>E534</f>
        <v/>
      </c>
      <c r="B571" s="118" t="inlineStr">
        <is>
          <t>=</t>
        </is>
      </c>
      <c r="C571" s="189">
        <f>B497</f>
        <v/>
      </c>
      <c r="D571" s="189">
        <f>C497</f>
        <v/>
      </c>
      <c r="E571" s="189">
        <f>D497</f>
        <v/>
      </c>
      <c r="F571" s="189">
        <f>E497</f>
        <v/>
      </c>
      <c r="G571" s="189">
        <f>F497</f>
        <v/>
      </c>
      <c r="H571" s="189">
        <f>G497</f>
        <v/>
      </c>
      <c r="I571" s="189">
        <f>H497</f>
        <v/>
      </c>
      <c r="J571" s="189">
        <f>I497</f>
        <v/>
      </c>
      <c r="K571" s="189">
        <f>J497</f>
        <v/>
      </c>
      <c r="L571" s="189">
        <f>K497</f>
        <v/>
      </c>
      <c r="M571" s="189">
        <f>L497</f>
        <v/>
      </c>
      <c r="N571" s="189">
        <f>M497</f>
        <v/>
      </c>
      <c r="O571" s="189">
        <f>N497</f>
        <v/>
      </c>
      <c r="P571" s="189">
        <f>O497</f>
        <v/>
      </c>
      <c r="Q571" s="189">
        <f>P497</f>
        <v/>
      </c>
      <c r="R571" s="189">
        <f>Q497</f>
        <v/>
      </c>
      <c r="S571" s="189">
        <f>R497</f>
        <v/>
      </c>
      <c r="T571" s="189">
        <f>S497</f>
        <v/>
      </c>
      <c r="U571" s="189">
        <f>T497</f>
        <v/>
      </c>
      <c r="V571" s="189">
        <f>U497</f>
        <v/>
      </c>
      <c r="W571" s="189">
        <f>V497</f>
        <v/>
      </c>
      <c r="X571" s="189">
        <f>W497</f>
        <v/>
      </c>
      <c r="Y571" s="189">
        <f>X497</f>
        <v/>
      </c>
      <c r="Z571" s="189">
        <f>Y497</f>
        <v/>
      </c>
      <c r="AA571" s="189">
        <f>Z497</f>
        <v/>
      </c>
      <c r="AB571" s="189">
        <f>AA497</f>
        <v/>
      </c>
      <c r="AC571" s="189">
        <f>AB497</f>
        <v/>
      </c>
      <c r="AD571" s="189">
        <f>AC497</f>
        <v/>
      </c>
      <c r="AE571" s="189">
        <f>AD497</f>
        <v/>
      </c>
      <c r="AF571" s="189">
        <f>AE497</f>
        <v/>
      </c>
      <c r="AG571" s="8">
        <f>AF497</f>
        <v/>
      </c>
      <c r="AH571" s="189">
        <f>AG497</f>
        <v/>
      </c>
      <c r="AI571" s="189">
        <f>AH497</f>
        <v/>
      </c>
      <c r="AQ571" s="187">
        <f>K534</f>
        <v/>
      </c>
    </row>
    <row r="572">
      <c r="A572" s="189">
        <f>E535</f>
        <v/>
      </c>
      <c r="B572" s="118" t="inlineStr">
        <is>
          <t>=</t>
        </is>
      </c>
      <c r="C572" s="189">
        <f>B498</f>
        <v/>
      </c>
      <c r="D572" s="189">
        <f>C498</f>
        <v/>
      </c>
      <c r="E572" s="189">
        <f>D498</f>
        <v/>
      </c>
      <c r="F572" s="189">
        <f>E498</f>
        <v/>
      </c>
      <c r="G572" s="189">
        <f>F498</f>
        <v/>
      </c>
      <c r="H572" s="189">
        <f>G498</f>
        <v/>
      </c>
      <c r="I572" s="189">
        <f>H498</f>
        <v/>
      </c>
      <c r="J572" s="189">
        <f>I498</f>
        <v/>
      </c>
      <c r="K572" s="189">
        <f>J498</f>
        <v/>
      </c>
      <c r="L572" s="189">
        <f>K498</f>
        <v/>
      </c>
      <c r="M572" s="189">
        <f>L498</f>
        <v/>
      </c>
      <c r="N572" s="189">
        <f>M498</f>
        <v/>
      </c>
      <c r="O572" s="189">
        <f>N498</f>
        <v/>
      </c>
      <c r="P572" s="189">
        <f>O498</f>
        <v/>
      </c>
      <c r="Q572" s="189">
        <f>P498</f>
        <v/>
      </c>
      <c r="R572" s="189">
        <f>Q498</f>
        <v/>
      </c>
      <c r="S572" s="189">
        <f>R498</f>
        <v/>
      </c>
      <c r="T572" s="189">
        <f>S498</f>
        <v/>
      </c>
      <c r="U572" s="189">
        <f>T498</f>
        <v/>
      </c>
      <c r="V572" s="189">
        <f>U498</f>
        <v/>
      </c>
      <c r="W572" s="189">
        <f>V498</f>
        <v/>
      </c>
      <c r="X572" s="189">
        <f>W498</f>
        <v/>
      </c>
      <c r="Y572" s="189">
        <f>X498</f>
        <v/>
      </c>
      <c r="Z572" s="189">
        <f>Y498</f>
        <v/>
      </c>
      <c r="AA572" s="189">
        <f>Z498</f>
        <v/>
      </c>
      <c r="AB572" s="189">
        <f>AA498</f>
        <v/>
      </c>
      <c r="AC572" s="189">
        <f>AB498</f>
        <v/>
      </c>
      <c r="AD572" s="189">
        <f>AC498</f>
        <v/>
      </c>
      <c r="AE572" s="189">
        <f>AD498</f>
        <v/>
      </c>
      <c r="AF572" s="189">
        <f>AE498</f>
        <v/>
      </c>
      <c r="AG572" s="189">
        <f>AF498</f>
        <v/>
      </c>
      <c r="AH572" s="8">
        <f>AG498</f>
        <v/>
      </c>
      <c r="AI572" s="189">
        <f>AH498</f>
        <v/>
      </c>
      <c r="AQ572" s="187">
        <f>K535</f>
        <v/>
      </c>
    </row>
    <row r="573">
      <c r="A573" s="189">
        <f>E536</f>
        <v/>
      </c>
      <c r="B573" s="118" t="inlineStr">
        <is>
          <t>=</t>
        </is>
      </c>
      <c r="C573" s="189">
        <f>B499</f>
        <v/>
      </c>
      <c r="D573" s="189">
        <f>C499</f>
        <v/>
      </c>
      <c r="E573" s="189">
        <f>D499</f>
        <v/>
      </c>
      <c r="F573" s="189">
        <f>E499</f>
        <v/>
      </c>
      <c r="G573" s="189">
        <f>F499</f>
        <v/>
      </c>
      <c r="H573" s="189">
        <f>G499</f>
        <v/>
      </c>
      <c r="I573" s="189">
        <f>H499</f>
        <v/>
      </c>
      <c r="J573" s="189">
        <f>I499</f>
        <v/>
      </c>
      <c r="K573" s="189">
        <f>J499</f>
        <v/>
      </c>
      <c r="L573" s="189">
        <f>K499</f>
        <v/>
      </c>
      <c r="M573" s="189">
        <f>L499</f>
        <v/>
      </c>
      <c r="N573" s="189">
        <f>M499</f>
        <v/>
      </c>
      <c r="O573" s="189">
        <f>N499</f>
        <v/>
      </c>
      <c r="P573" s="189">
        <f>O499</f>
        <v/>
      </c>
      <c r="Q573" s="189">
        <f>P499</f>
        <v/>
      </c>
      <c r="R573" s="189">
        <f>Q499</f>
        <v/>
      </c>
      <c r="S573" s="189">
        <f>R499</f>
        <v/>
      </c>
      <c r="T573" s="189">
        <f>S499</f>
        <v/>
      </c>
      <c r="U573" s="189">
        <f>T499</f>
        <v/>
      </c>
      <c r="V573" s="189">
        <f>U499</f>
        <v/>
      </c>
      <c r="W573" s="189">
        <f>V499</f>
        <v/>
      </c>
      <c r="X573" s="189">
        <f>W499</f>
        <v/>
      </c>
      <c r="Y573" s="189">
        <f>X499</f>
        <v/>
      </c>
      <c r="Z573" s="189">
        <f>Y499</f>
        <v/>
      </c>
      <c r="AA573" s="189">
        <f>Z499</f>
        <v/>
      </c>
      <c r="AB573" s="189">
        <f>AA499</f>
        <v/>
      </c>
      <c r="AC573" s="189">
        <f>AB499</f>
        <v/>
      </c>
      <c r="AD573" s="189">
        <f>AC499</f>
        <v/>
      </c>
      <c r="AE573" s="189">
        <f>AD499</f>
        <v/>
      </c>
      <c r="AF573" s="189">
        <f>AE499</f>
        <v/>
      </c>
      <c r="AG573" s="189">
        <f>AF499</f>
        <v/>
      </c>
      <c r="AH573" s="189">
        <f>AG499</f>
        <v/>
      </c>
      <c r="AI573" s="8">
        <f>AH499</f>
        <v/>
      </c>
      <c r="AQ573" s="187">
        <f>K536</f>
        <v/>
      </c>
    </row>
    <row r="576">
      <c r="B576" s="58" t="inlineStr">
        <is>
          <t>BLOQUE TÉCNICO DE RESOLUCIÓN AUTOMÁTICA [K_SOLVER] (INVERSIÓN POR PENALIZACIÓN/IDENTIDAD)</t>
        </is>
      </c>
      <c r="C576" s="190" t="n"/>
      <c r="D576" s="190" t="n"/>
      <c r="E576" s="190" t="n"/>
      <c r="F576" s="190" t="n"/>
      <c r="G576" s="190" t="n"/>
      <c r="H576" s="190" t="n"/>
      <c r="I576" s="190" t="n"/>
      <c r="J576" s="190" t="n"/>
      <c r="K576" s="190" t="n"/>
      <c r="L576" s="190" t="n"/>
      <c r="M576" s="190" t="n"/>
      <c r="N576" s="190" t="n"/>
      <c r="O576" s="190" t="n"/>
      <c r="P576" s="190" t="n"/>
      <c r="Q576" s="190" t="n"/>
      <c r="R576" s="190" t="n"/>
      <c r="S576" s="190" t="n"/>
      <c r="T576" s="190" t="n"/>
      <c r="U576" s="190" t="n"/>
      <c r="V576" s="190" t="n"/>
      <c r="W576" s="190" t="n"/>
      <c r="X576" s="190" t="n"/>
      <c r="Y576" s="190" t="n"/>
      <c r="Z576" s="190" t="n"/>
      <c r="AA576" s="190" t="n"/>
      <c r="AB576" s="190" t="n"/>
      <c r="AC576" s="190" t="n"/>
      <c r="AD576" s="190" t="n"/>
      <c r="AE576" s="190" t="n"/>
      <c r="AF576" s="190" t="n"/>
      <c r="AG576" s="190" t="n"/>
      <c r="AH576" s="191" t="n"/>
    </row>
    <row r="577">
      <c r="AL577" s="58" t="inlineStr">
        <is>
          <t>D_CALCULADO</t>
        </is>
      </c>
      <c r="AN577" s="58" t="inlineStr">
        <is>
          <t>REACCIONES_CALCULADAS</t>
        </is>
      </c>
    </row>
    <row r="578">
      <c r="B578" s="189">
        <f>IF($N504="RESTRINGIDO", 1, IF(OR($N504="", $C467=""), 1, B467))</f>
        <v/>
      </c>
      <c r="C578" s="189">
        <f>IF(OR($N504="RESTRINGIDO", $N505="RESTRINGIDO"), 0, C467)</f>
        <v/>
      </c>
      <c r="D578" s="189">
        <f>IF(OR($N504="RESTRINGIDO", $N506="RESTRINGIDO"), 0, D467)</f>
        <v/>
      </c>
      <c r="E578" s="189">
        <f>IF(OR($N504="RESTRINGIDO", $N507="RESTRINGIDO"), 0, E467)</f>
        <v/>
      </c>
      <c r="F578" s="189">
        <f>IF(OR($N504="RESTRINGIDO", $N508="RESTRINGIDO"), 0, F467)</f>
        <v/>
      </c>
      <c r="G578" s="189">
        <f>IF(OR($N504="RESTRINGIDO", $N509="RESTRINGIDO"), 0, G467)</f>
        <v/>
      </c>
      <c r="H578" s="189">
        <f>IF(OR($N504="RESTRINGIDO", $N510="RESTRINGIDO"), 0, H467)</f>
        <v/>
      </c>
      <c r="I578" s="189">
        <f>IF(OR($N504="RESTRINGIDO", $N511="RESTRINGIDO"), 0, I467)</f>
        <v/>
      </c>
      <c r="J578" s="189">
        <f>IF(OR($N504="RESTRINGIDO", $N512="RESTRINGIDO"), 0, J467)</f>
        <v/>
      </c>
      <c r="K578" s="189">
        <f>IF(OR($N504="RESTRINGIDO", $N513="RESTRINGIDO"), 0, K467)</f>
        <v/>
      </c>
      <c r="L578" s="189">
        <f>IF(OR($N504="RESTRINGIDO", $N514="RESTRINGIDO"), 0, L467)</f>
        <v/>
      </c>
      <c r="M578" s="189">
        <f>IF(OR($N504="RESTRINGIDO", $N515="RESTRINGIDO"), 0, M467)</f>
        <v/>
      </c>
      <c r="N578" s="189">
        <f>IF(OR($N504="RESTRINGIDO", $N516="RESTRINGIDO"), 0, N467)</f>
        <v/>
      </c>
      <c r="O578" s="189">
        <f>IF(OR($N504="RESTRINGIDO", $N517="RESTRINGIDO"), 0, O467)</f>
        <v/>
      </c>
      <c r="P578" s="189">
        <f>IF(OR($N504="RESTRINGIDO", $N518="RESTRINGIDO"), 0, P467)</f>
        <v/>
      </c>
      <c r="Q578" s="189">
        <f>IF(OR($N504="RESTRINGIDO", $N519="RESTRINGIDO"), 0, Q467)</f>
        <v/>
      </c>
      <c r="R578" s="189">
        <f>IF(OR($N504="RESTRINGIDO", $N520="RESTRINGIDO"), 0, R467)</f>
        <v/>
      </c>
      <c r="S578" s="189">
        <f>IF(OR($N504="RESTRINGIDO", $N521="RESTRINGIDO"), 0, S467)</f>
        <v/>
      </c>
      <c r="T578" s="189">
        <f>IF(OR($N504="RESTRINGIDO", $N522="RESTRINGIDO"), 0, T467)</f>
        <v/>
      </c>
      <c r="U578" s="189">
        <f>IF(OR($N504="RESTRINGIDO", $N523="RESTRINGIDO"), 0, U467)</f>
        <v/>
      </c>
      <c r="V578" s="189">
        <f>IF(OR($N504="RESTRINGIDO", $N524="RESTRINGIDO"), 0, V467)</f>
        <v/>
      </c>
      <c r="W578" s="189">
        <f>IF(OR($N504="RESTRINGIDO", $N525="RESTRINGIDO"), 0, W467)</f>
        <v/>
      </c>
      <c r="X578" s="189">
        <f>IF(OR($N504="RESTRINGIDO", $N526="RESTRINGIDO"), 0, X467)</f>
        <v/>
      </c>
      <c r="Y578" s="189">
        <f>IF(OR($N504="RESTRINGIDO", $N527="RESTRINGIDO"), 0, Y467)</f>
        <v/>
      </c>
      <c r="Z578" s="189">
        <f>IF(OR($N504="RESTRINGIDO", $N528="RESTRINGIDO"), 0, Z467)</f>
        <v/>
      </c>
      <c r="AA578" s="189">
        <f>IF(OR($N504="RESTRINGIDO", $N529="RESTRINGIDO"), 0, AA467)</f>
        <v/>
      </c>
      <c r="AB578" s="189">
        <f>IF(OR($N504="RESTRINGIDO", $N530="RESTRINGIDO"), 0, AB467)</f>
        <v/>
      </c>
      <c r="AC578" s="189">
        <f>IF(OR($N504="RESTRINGIDO", $N531="RESTRINGIDO"), 0, AC467)</f>
        <v/>
      </c>
      <c r="AD578" s="189">
        <f>IF(OR($N504="RESTRINGIDO", $N532="RESTRINGIDO"), 0, AD467)</f>
        <v/>
      </c>
      <c r="AE578" s="189">
        <f>IF(OR($N504="RESTRINGIDO", $N533="RESTRINGIDO"), 0, AE467)</f>
        <v/>
      </c>
      <c r="AF578" s="189">
        <f>IF(OR($N504="RESTRINGIDO", $N534="RESTRINGIDO"), 0, AF467)</f>
        <v/>
      </c>
      <c r="AG578" s="189">
        <f>IF(OR($N504="RESTRINGIDO", $N535="RESTRINGIDO"), 0, AG467)</f>
        <v/>
      </c>
      <c r="AH578" s="189">
        <f>IF(OR($N504="RESTRINGIDO", $N536="RESTRINGIDO"), 0, AH467)</f>
        <v/>
      </c>
      <c r="AJ578" s="189">
        <f>IF($N504="LIBRE", IF(ISNUMBER(E504), E504, 0), 0)</f>
        <v/>
      </c>
      <c r="AL578" s="188">
        <f t="array" ref="AL578:AL610">MMULT(MINVERSE(B578:AH610), AJ578:AJ610)</f>
        <v/>
      </c>
      <c r="AN578" s="188">
        <f t="array" ref="AN578:AN610">MMULT(B467:AH499, AL578:AL610) - IF(ISNUMBER(E504:E536), E504:E536, 0)</f>
        <v/>
      </c>
    </row>
    <row r="579">
      <c r="B579" s="189">
        <f>IF(OR($N505="RESTRINGIDO", $N504="RESTRINGIDO"), 0, B468)</f>
        <v/>
      </c>
      <c r="C579" s="189">
        <f>IF($N505="RESTRINGIDO", 1, IF(OR($N505="", $C468=""), 1, C468))</f>
        <v/>
      </c>
      <c r="D579" s="189">
        <f>IF(OR($N505="RESTRINGIDO", $N506="RESTRINGIDO"), 0, D468)</f>
        <v/>
      </c>
      <c r="E579" s="189">
        <f>IF(OR($N505="RESTRINGIDO", $N507="RESTRINGIDO"), 0, E468)</f>
        <v/>
      </c>
      <c r="F579" s="189">
        <f>IF(OR($N505="RESTRINGIDO", $N508="RESTRINGIDO"), 0, F468)</f>
        <v/>
      </c>
      <c r="G579" s="189">
        <f>IF(OR($N505="RESTRINGIDO", $N509="RESTRINGIDO"), 0, G468)</f>
        <v/>
      </c>
      <c r="H579" s="189">
        <f>IF(OR($N505="RESTRINGIDO", $N510="RESTRINGIDO"), 0, H468)</f>
        <v/>
      </c>
      <c r="I579" s="189">
        <f>IF(OR($N505="RESTRINGIDO", $N511="RESTRINGIDO"), 0, I468)</f>
        <v/>
      </c>
      <c r="J579" s="189">
        <f>IF(OR($N505="RESTRINGIDO", $N512="RESTRINGIDO"), 0, J468)</f>
        <v/>
      </c>
      <c r="K579" s="189">
        <f>IF(OR($N505="RESTRINGIDO", $N513="RESTRINGIDO"), 0, K468)</f>
        <v/>
      </c>
      <c r="L579" s="189">
        <f>IF(OR($N505="RESTRINGIDO", $N514="RESTRINGIDO"), 0, L468)</f>
        <v/>
      </c>
      <c r="M579" s="189">
        <f>IF(OR($N505="RESTRINGIDO", $N515="RESTRINGIDO"), 0, M468)</f>
        <v/>
      </c>
      <c r="N579" s="189">
        <f>IF(OR($N505="RESTRINGIDO", $N516="RESTRINGIDO"), 0, N468)</f>
        <v/>
      </c>
      <c r="O579" s="189">
        <f>IF(OR($N505="RESTRINGIDO", $N517="RESTRINGIDO"), 0, O468)</f>
        <v/>
      </c>
      <c r="P579" s="189">
        <f>IF(OR($N505="RESTRINGIDO", $N518="RESTRINGIDO"), 0, P468)</f>
        <v/>
      </c>
      <c r="Q579" s="189">
        <f>IF(OR($N505="RESTRINGIDO", $N519="RESTRINGIDO"), 0, Q468)</f>
        <v/>
      </c>
      <c r="R579" s="189">
        <f>IF(OR($N505="RESTRINGIDO", $N520="RESTRINGIDO"), 0, R468)</f>
        <v/>
      </c>
      <c r="S579" s="189">
        <f>IF(OR($N505="RESTRINGIDO", $N521="RESTRINGIDO"), 0, S468)</f>
        <v/>
      </c>
      <c r="T579" s="189">
        <f>IF(OR($N505="RESTRINGIDO", $N522="RESTRINGIDO"), 0, T468)</f>
        <v/>
      </c>
      <c r="U579" s="189">
        <f>IF(OR($N505="RESTRINGIDO", $N523="RESTRINGIDO"), 0, U468)</f>
        <v/>
      </c>
      <c r="V579" s="189">
        <f>IF(OR($N505="RESTRINGIDO", $N524="RESTRINGIDO"), 0, V468)</f>
        <v/>
      </c>
      <c r="W579" s="189">
        <f>IF(OR($N505="RESTRINGIDO", $N525="RESTRINGIDO"), 0, W468)</f>
        <v/>
      </c>
      <c r="X579" s="189">
        <f>IF(OR($N505="RESTRINGIDO", $N526="RESTRINGIDO"), 0, X468)</f>
        <v/>
      </c>
      <c r="Y579" s="189">
        <f>IF(OR($N505="RESTRINGIDO", $N527="RESTRINGIDO"), 0, Y468)</f>
        <v/>
      </c>
      <c r="Z579" s="189">
        <f>IF(OR($N505="RESTRINGIDO", $N528="RESTRINGIDO"), 0, Z468)</f>
        <v/>
      </c>
      <c r="AA579" s="189">
        <f>IF(OR($N505="RESTRINGIDO", $N529="RESTRINGIDO"), 0, AA468)</f>
        <v/>
      </c>
      <c r="AB579" s="189">
        <f>IF(OR($N505="RESTRINGIDO", $N530="RESTRINGIDO"), 0, AB468)</f>
        <v/>
      </c>
      <c r="AC579" s="189">
        <f>IF(OR($N505="RESTRINGIDO", $N531="RESTRINGIDO"), 0, AC468)</f>
        <v/>
      </c>
      <c r="AD579" s="189">
        <f>IF(OR($N505="RESTRINGIDO", $N532="RESTRINGIDO"), 0, AD468)</f>
        <v/>
      </c>
      <c r="AE579" s="189">
        <f>IF(OR($N505="RESTRINGIDO", $N533="RESTRINGIDO"), 0, AE468)</f>
        <v/>
      </c>
      <c r="AF579" s="189">
        <f>IF(OR($N505="RESTRINGIDO", $N534="RESTRINGIDO"), 0, AF468)</f>
        <v/>
      </c>
      <c r="AG579" s="189">
        <f>IF(OR($N505="RESTRINGIDO", $N535="RESTRINGIDO"), 0, AG468)</f>
        <v/>
      </c>
      <c r="AH579" s="189">
        <f>IF(OR($N505="RESTRINGIDO", $N536="RESTRINGIDO"), 0, AH468)</f>
        <v/>
      </c>
      <c r="AJ579" s="189">
        <f>IF($N505="LIBRE", IF(ISNUMBER(E505), E505, 0), 0)</f>
        <v/>
      </c>
      <c r="AL579" s="188" t="n">
        <v>0</v>
      </c>
      <c r="AN579" s="188" t="n">
        <v>1000</v>
      </c>
    </row>
    <row r="580">
      <c r="B580" s="189">
        <f>IF(OR($N506="RESTRINGIDO", $N504="RESTRINGIDO"), 0, B469)</f>
        <v/>
      </c>
      <c r="C580" s="189">
        <f>IF(OR($N506="RESTRINGIDO", $N505="RESTRINGIDO"), 0, C469)</f>
        <v/>
      </c>
      <c r="D580" s="189">
        <f>IF($N506="RESTRINGIDO", 1, IF(OR($N506="", $C469=""), 1, D469))</f>
        <v/>
      </c>
      <c r="E580" s="189">
        <f>IF(OR($N506="RESTRINGIDO", $N507="RESTRINGIDO"), 0, E469)</f>
        <v/>
      </c>
      <c r="F580" s="189">
        <f>IF(OR($N506="RESTRINGIDO", $N508="RESTRINGIDO"), 0, F469)</f>
        <v/>
      </c>
      <c r="G580" s="189">
        <f>IF(OR($N506="RESTRINGIDO", $N509="RESTRINGIDO"), 0, G469)</f>
        <v/>
      </c>
      <c r="H580" s="189">
        <f>IF(OR($N506="RESTRINGIDO", $N510="RESTRINGIDO"), 0, H469)</f>
        <v/>
      </c>
      <c r="I580" s="189">
        <f>IF(OR($N506="RESTRINGIDO", $N511="RESTRINGIDO"), 0, I469)</f>
        <v/>
      </c>
      <c r="J580" s="189">
        <f>IF(OR($N506="RESTRINGIDO", $N512="RESTRINGIDO"), 0, J469)</f>
        <v/>
      </c>
      <c r="K580" s="189">
        <f>IF(OR($N506="RESTRINGIDO", $N513="RESTRINGIDO"), 0, K469)</f>
        <v/>
      </c>
      <c r="L580" s="189">
        <f>IF(OR($N506="RESTRINGIDO", $N514="RESTRINGIDO"), 0, L469)</f>
        <v/>
      </c>
      <c r="M580" s="189">
        <f>IF(OR($N506="RESTRINGIDO", $N515="RESTRINGIDO"), 0, M469)</f>
        <v/>
      </c>
      <c r="N580" s="189">
        <f>IF(OR($N506="RESTRINGIDO", $N516="RESTRINGIDO"), 0, N469)</f>
        <v/>
      </c>
      <c r="O580" s="189">
        <f>IF(OR($N506="RESTRINGIDO", $N517="RESTRINGIDO"), 0, O469)</f>
        <v/>
      </c>
      <c r="P580" s="189">
        <f>IF(OR($N506="RESTRINGIDO", $N518="RESTRINGIDO"), 0, P469)</f>
        <v/>
      </c>
      <c r="Q580" s="189">
        <f>IF(OR($N506="RESTRINGIDO", $N519="RESTRINGIDO"), 0, Q469)</f>
        <v/>
      </c>
      <c r="R580" s="189">
        <f>IF(OR($N506="RESTRINGIDO", $N520="RESTRINGIDO"), 0, R469)</f>
        <v/>
      </c>
      <c r="S580" s="189">
        <f>IF(OR($N506="RESTRINGIDO", $N521="RESTRINGIDO"), 0, S469)</f>
        <v/>
      </c>
      <c r="T580" s="189">
        <f>IF(OR($N506="RESTRINGIDO", $N522="RESTRINGIDO"), 0, T469)</f>
        <v/>
      </c>
      <c r="U580" s="189">
        <f>IF(OR($N506="RESTRINGIDO", $N523="RESTRINGIDO"), 0, U469)</f>
        <v/>
      </c>
      <c r="V580" s="189">
        <f>IF(OR($N506="RESTRINGIDO", $N524="RESTRINGIDO"), 0, V469)</f>
        <v/>
      </c>
      <c r="W580" s="189">
        <f>IF(OR($N506="RESTRINGIDO", $N525="RESTRINGIDO"), 0, W469)</f>
        <v/>
      </c>
      <c r="X580" s="189">
        <f>IF(OR($N506="RESTRINGIDO", $N526="RESTRINGIDO"), 0, X469)</f>
        <v/>
      </c>
      <c r="Y580" s="189">
        <f>IF(OR($N506="RESTRINGIDO", $N527="RESTRINGIDO"), 0, Y469)</f>
        <v/>
      </c>
      <c r="Z580" s="189">
        <f>IF(OR($N506="RESTRINGIDO", $N528="RESTRINGIDO"), 0, Z469)</f>
        <v/>
      </c>
      <c r="AA580" s="189">
        <f>IF(OR($N506="RESTRINGIDO", $N529="RESTRINGIDO"), 0, AA469)</f>
        <v/>
      </c>
      <c r="AB580" s="189">
        <f>IF(OR($N506="RESTRINGIDO", $N530="RESTRINGIDO"), 0, AB469)</f>
        <v/>
      </c>
      <c r="AC580" s="189">
        <f>IF(OR($N506="RESTRINGIDO", $N531="RESTRINGIDO"), 0, AC469)</f>
        <v/>
      </c>
      <c r="AD580" s="189">
        <f>IF(OR($N506="RESTRINGIDO", $N532="RESTRINGIDO"), 0, AD469)</f>
        <v/>
      </c>
      <c r="AE580" s="189">
        <f>IF(OR($N506="RESTRINGIDO", $N533="RESTRINGIDO"), 0, AE469)</f>
        <v/>
      </c>
      <c r="AF580" s="189">
        <f>IF(OR($N506="RESTRINGIDO", $N534="RESTRINGIDO"), 0, AF469)</f>
        <v/>
      </c>
      <c r="AG580" s="189">
        <f>IF(OR($N506="RESTRINGIDO", $N535="RESTRINGIDO"), 0, AG469)</f>
        <v/>
      </c>
      <c r="AH580" s="189">
        <f>IF(OR($N506="RESTRINGIDO", $N536="RESTRINGIDO"), 0, AH469)</f>
        <v/>
      </c>
      <c r="AJ580" s="189">
        <f>IF($N506="LIBRE", IF(ISNUMBER(E506), E506, 0), 0)</f>
        <v/>
      </c>
      <c r="AL580" s="188" t="n">
        <v>-0.08</v>
      </c>
      <c r="AN580" s="188" t="n">
        <v>2.91038304567337e-11</v>
      </c>
    </row>
    <row r="581">
      <c r="B581" s="189">
        <f>IF(OR($N507="RESTRINGIDO", $N504="RESTRINGIDO"), 0, B470)</f>
        <v/>
      </c>
      <c r="C581" s="189">
        <f>IF(OR($N507="RESTRINGIDO", $N505="RESTRINGIDO"), 0, C470)</f>
        <v/>
      </c>
      <c r="D581" s="189">
        <f>IF(OR($N507="RESTRINGIDO", $N506="RESTRINGIDO"), 0, D470)</f>
        <v/>
      </c>
      <c r="E581" s="189">
        <f>IF($N507="RESTRINGIDO", 1, IF(OR($N507="", $C470=""), 1, E470))</f>
        <v/>
      </c>
      <c r="F581" s="189">
        <f>IF(OR($N507="RESTRINGIDO", $N508="RESTRINGIDO"), 0, F470)</f>
        <v/>
      </c>
      <c r="G581" s="189">
        <f>IF(OR($N507="RESTRINGIDO", $N509="RESTRINGIDO"), 0, G470)</f>
        <v/>
      </c>
      <c r="H581" s="189">
        <f>IF(OR($N507="RESTRINGIDO", $N510="RESTRINGIDO"), 0, H470)</f>
        <v/>
      </c>
      <c r="I581" s="189">
        <f>IF(OR($N507="RESTRINGIDO", $N511="RESTRINGIDO"), 0, I470)</f>
        <v/>
      </c>
      <c r="J581" s="189">
        <f>IF(OR($N507="RESTRINGIDO", $N512="RESTRINGIDO"), 0, J470)</f>
        <v/>
      </c>
      <c r="K581" s="189">
        <f>IF(OR($N507="RESTRINGIDO", $N513="RESTRINGIDO"), 0, K470)</f>
        <v/>
      </c>
      <c r="L581" s="189">
        <f>IF(OR($N507="RESTRINGIDO", $N514="RESTRINGIDO"), 0, L470)</f>
        <v/>
      </c>
      <c r="M581" s="189">
        <f>IF(OR($N507="RESTRINGIDO", $N515="RESTRINGIDO"), 0, M470)</f>
        <v/>
      </c>
      <c r="N581" s="189">
        <f>IF(OR($N507="RESTRINGIDO", $N516="RESTRINGIDO"), 0, N470)</f>
        <v/>
      </c>
      <c r="O581" s="189">
        <f>IF(OR($N507="RESTRINGIDO", $N517="RESTRINGIDO"), 0, O470)</f>
        <v/>
      </c>
      <c r="P581" s="189">
        <f>IF(OR($N507="RESTRINGIDO", $N518="RESTRINGIDO"), 0, P470)</f>
        <v/>
      </c>
      <c r="Q581" s="189">
        <f>IF(OR($N507="RESTRINGIDO", $N519="RESTRINGIDO"), 0, Q470)</f>
        <v/>
      </c>
      <c r="R581" s="189">
        <f>IF(OR($N507="RESTRINGIDO", $N520="RESTRINGIDO"), 0, R470)</f>
        <v/>
      </c>
      <c r="S581" s="189">
        <f>IF(OR($N507="RESTRINGIDO", $N521="RESTRINGIDO"), 0, S470)</f>
        <v/>
      </c>
      <c r="T581" s="189">
        <f>IF(OR($N507="RESTRINGIDO", $N522="RESTRINGIDO"), 0, T470)</f>
        <v/>
      </c>
      <c r="U581" s="189">
        <f>IF(OR($N507="RESTRINGIDO", $N523="RESTRINGIDO"), 0, U470)</f>
        <v/>
      </c>
      <c r="V581" s="189">
        <f>IF(OR($N507="RESTRINGIDO", $N524="RESTRINGIDO"), 0, V470)</f>
        <v/>
      </c>
      <c r="W581" s="189">
        <f>IF(OR($N507="RESTRINGIDO", $N525="RESTRINGIDO"), 0, W470)</f>
        <v/>
      </c>
      <c r="X581" s="189">
        <f>IF(OR($N507="RESTRINGIDO", $N526="RESTRINGIDO"), 0, X470)</f>
        <v/>
      </c>
      <c r="Y581" s="189">
        <f>IF(OR($N507="RESTRINGIDO", $N527="RESTRINGIDO"), 0, Y470)</f>
        <v/>
      </c>
      <c r="Z581" s="189">
        <f>IF(OR($N507="RESTRINGIDO", $N528="RESTRINGIDO"), 0, Z470)</f>
        <v/>
      </c>
      <c r="AA581" s="189">
        <f>IF(OR($N507="RESTRINGIDO", $N529="RESTRINGIDO"), 0, AA470)</f>
        <v/>
      </c>
      <c r="AB581" s="189">
        <f>IF(OR($N507="RESTRINGIDO", $N530="RESTRINGIDO"), 0, AB470)</f>
        <v/>
      </c>
      <c r="AC581" s="189">
        <f>IF(OR($N507="RESTRINGIDO", $N531="RESTRINGIDO"), 0, AC470)</f>
        <v/>
      </c>
      <c r="AD581" s="189">
        <f>IF(OR($N507="RESTRINGIDO", $N532="RESTRINGIDO"), 0, AD470)</f>
        <v/>
      </c>
      <c r="AE581" s="189">
        <f>IF(OR($N507="RESTRINGIDO", $N533="RESTRINGIDO"), 0, AE470)</f>
        <v/>
      </c>
      <c r="AF581" s="189">
        <f>IF(OR($N507="RESTRINGIDO", $N534="RESTRINGIDO"), 0, AF470)</f>
        <v/>
      </c>
      <c r="AG581" s="189">
        <f>IF(OR($N507="RESTRINGIDO", $N535="RESTRINGIDO"), 0, AG470)</f>
        <v/>
      </c>
      <c r="AH581" s="189">
        <f>IF(OR($N507="RESTRINGIDO", $N536="RESTRINGIDO"), 0, AH470)</f>
        <v/>
      </c>
      <c r="AJ581" s="189">
        <f>IF($N507="LIBRE", IF(ISNUMBER(E507), E507, 0), 0)</f>
        <v/>
      </c>
      <c r="AL581" s="188" t="n">
        <v>0</v>
      </c>
      <c r="AN581" s="188" t="n">
        <v>0</v>
      </c>
    </row>
    <row r="582">
      <c r="B582" s="189">
        <f>IF(OR($N508="RESTRINGIDO", $N504="RESTRINGIDO"), 0, B471)</f>
        <v/>
      </c>
      <c r="C582" s="189">
        <f>IF(OR($N508="RESTRINGIDO", $N505="RESTRINGIDO"), 0, C471)</f>
        <v/>
      </c>
      <c r="D582" s="189">
        <f>IF(OR($N508="RESTRINGIDO", $N506="RESTRINGIDO"), 0, D471)</f>
        <v/>
      </c>
      <c r="E582" s="189">
        <f>IF(OR($N508="RESTRINGIDO", $N507="RESTRINGIDO"), 0, E471)</f>
        <v/>
      </c>
      <c r="F582" s="189">
        <f>IF($N508="RESTRINGIDO", 1, IF(OR($N508="", $C471=""), 1, F471))</f>
        <v/>
      </c>
      <c r="G582" s="189">
        <f>IF(OR($N508="RESTRINGIDO", $N509="RESTRINGIDO"), 0, G471)</f>
        <v/>
      </c>
      <c r="H582" s="189">
        <f>IF(OR($N508="RESTRINGIDO", $N510="RESTRINGIDO"), 0, H471)</f>
        <v/>
      </c>
      <c r="I582" s="189">
        <f>IF(OR($N508="RESTRINGIDO", $N511="RESTRINGIDO"), 0, I471)</f>
        <v/>
      </c>
      <c r="J582" s="189">
        <f>IF(OR($N508="RESTRINGIDO", $N512="RESTRINGIDO"), 0, J471)</f>
        <v/>
      </c>
      <c r="K582" s="189">
        <f>IF(OR($N508="RESTRINGIDO", $N513="RESTRINGIDO"), 0, K471)</f>
        <v/>
      </c>
      <c r="L582" s="189">
        <f>IF(OR($N508="RESTRINGIDO", $N514="RESTRINGIDO"), 0, L471)</f>
        <v/>
      </c>
      <c r="M582" s="189">
        <f>IF(OR($N508="RESTRINGIDO", $N515="RESTRINGIDO"), 0, M471)</f>
        <v/>
      </c>
      <c r="N582" s="189">
        <f>IF(OR($N508="RESTRINGIDO", $N516="RESTRINGIDO"), 0, N471)</f>
        <v/>
      </c>
      <c r="O582" s="189">
        <f>IF(OR($N508="RESTRINGIDO", $N517="RESTRINGIDO"), 0, O471)</f>
        <v/>
      </c>
      <c r="P582" s="189">
        <f>IF(OR($N508="RESTRINGIDO", $N518="RESTRINGIDO"), 0, P471)</f>
        <v/>
      </c>
      <c r="Q582" s="189">
        <f>IF(OR($N508="RESTRINGIDO", $N519="RESTRINGIDO"), 0, Q471)</f>
        <v/>
      </c>
      <c r="R582" s="189">
        <f>IF(OR($N508="RESTRINGIDO", $N520="RESTRINGIDO"), 0, R471)</f>
        <v/>
      </c>
      <c r="S582" s="189">
        <f>IF(OR($N508="RESTRINGIDO", $N521="RESTRINGIDO"), 0, S471)</f>
        <v/>
      </c>
      <c r="T582" s="189">
        <f>IF(OR($N508="RESTRINGIDO", $N522="RESTRINGIDO"), 0, T471)</f>
        <v/>
      </c>
      <c r="U582" s="189">
        <f>IF(OR($N508="RESTRINGIDO", $N523="RESTRINGIDO"), 0, U471)</f>
        <v/>
      </c>
      <c r="V582" s="189">
        <f>IF(OR($N508="RESTRINGIDO", $N524="RESTRINGIDO"), 0, V471)</f>
        <v/>
      </c>
      <c r="W582" s="189">
        <f>IF(OR($N508="RESTRINGIDO", $N525="RESTRINGIDO"), 0, W471)</f>
        <v/>
      </c>
      <c r="X582" s="189">
        <f>IF(OR($N508="RESTRINGIDO", $N526="RESTRINGIDO"), 0, X471)</f>
        <v/>
      </c>
      <c r="Y582" s="189">
        <f>IF(OR($N508="RESTRINGIDO", $N527="RESTRINGIDO"), 0, Y471)</f>
        <v/>
      </c>
      <c r="Z582" s="189">
        <f>IF(OR($N508="RESTRINGIDO", $N528="RESTRINGIDO"), 0, Z471)</f>
        <v/>
      </c>
      <c r="AA582" s="189">
        <f>IF(OR($N508="RESTRINGIDO", $N529="RESTRINGIDO"), 0, AA471)</f>
        <v/>
      </c>
      <c r="AB582" s="189">
        <f>IF(OR($N508="RESTRINGIDO", $N530="RESTRINGIDO"), 0, AB471)</f>
        <v/>
      </c>
      <c r="AC582" s="189">
        <f>IF(OR($N508="RESTRINGIDO", $N531="RESTRINGIDO"), 0, AC471)</f>
        <v/>
      </c>
      <c r="AD582" s="189">
        <f>IF(OR($N508="RESTRINGIDO", $N532="RESTRINGIDO"), 0, AD471)</f>
        <v/>
      </c>
      <c r="AE582" s="189">
        <f>IF(OR($N508="RESTRINGIDO", $N533="RESTRINGIDO"), 0, AE471)</f>
        <v/>
      </c>
      <c r="AF582" s="189">
        <f>IF(OR($N508="RESTRINGIDO", $N534="RESTRINGIDO"), 0, AF471)</f>
        <v/>
      </c>
      <c r="AG582" s="189">
        <f>IF(OR($N508="RESTRINGIDO", $N535="RESTRINGIDO"), 0, AG471)</f>
        <v/>
      </c>
      <c r="AH582" s="189">
        <f>IF(OR($N508="RESTRINGIDO", $N536="RESTRINGIDO"), 0, AH471)</f>
        <v/>
      </c>
      <c r="AJ582" s="189">
        <f>IF($N508="LIBRE", IF(ISNUMBER(E508), E508, 0), 0)</f>
        <v/>
      </c>
      <c r="AL582" s="188" t="n">
        <v>-5.333333333333334</v>
      </c>
      <c r="AN582" s="188" t="n">
        <v>0</v>
      </c>
    </row>
    <row r="583">
      <c r="B583" s="189">
        <f>IF(OR($N509="RESTRINGIDO", $N504="RESTRINGIDO"), 0, B472)</f>
        <v/>
      </c>
      <c r="C583" s="189">
        <f>IF(OR($N509="RESTRINGIDO", $N505="RESTRINGIDO"), 0, C472)</f>
        <v/>
      </c>
      <c r="D583" s="189">
        <f>IF(OR($N509="RESTRINGIDO", $N506="RESTRINGIDO"), 0, D472)</f>
        <v/>
      </c>
      <c r="E583" s="189">
        <f>IF(OR($N509="RESTRINGIDO", $N507="RESTRINGIDO"), 0, E472)</f>
        <v/>
      </c>
      <c r="F583" s="189">
        <f>IF(OR($N509="RESTRINGIDO", $N508="RESTRINGIDO"), 0, F472)</f>
        <v/>
      </c>
      <c r="G583" s="189">
        <f>IF($N509="RESTRINGIDO", 1, IF(OR($N509="", $C472=""), 1, G472))</f>
        <v/>
      </c>
      <c r="H583" s="189">
        <f>IF(OR($N509="RESTRINGIDO", $N510="RESTRINGIDO"), 0, H472)</f>
        <v/>
      </c>
      <c r="I583" s="189">
        <f>IF(OR($N509="RESTRINGIDO", $N511="RESTRINGIDO"), 0, I472)</f>
        <v/>
      </c>
      <c r="J583" s="189">
        <f>IF(OR($N509="RESTRINGIDO", $N512="RESTRINGIDO"), 0, J472)</f>
        <v/>
      </c>
      <c r="K583" s="189">
        <f>IF(OR($N509="RESTRINGIDO", $N513="RESTRINGIDO"), 0, K472)</f>
        <v/>
      </c>
      <c r="L583" s="189">
        <f>IF(OR($N509="RESTRINGIDO", $N514="RESTRINGIDO"), 0, L472)</f>
        <v/>
      </c>
      <c r="M583" s="189">
        <f>IF(OR($N509="RESTRINGIDO", $N515="RESTRINGIDO"), 0, M472)</f>
        <v/>
      </c>
      <c r="N583" s="189">
        <f>IF(OR($N509="RESTRINGIDO", $N516="RESTRINGIDO"), 0, N472)</f>
        <v/>
      </c>
      <c r="O583" s="189">
        <f>IF(OR($N509="RESTRINGIDO", $N517="RESTRINGIDO"), 0, O472)</f>
        <v/>
      </c>
      <c r="P583" s="189">
        <f>IF(OR($N509="RESTRINGIDO", $N518="RESTRINGIDO"), 0, P472)</f>
        <v/>
      </c>
      <c r="Q583" s="189">
        <f>IF(OR($N509="RESTRINGIDO", $N519="RESTRINGIDO"), 0, Q472)</f>
        <v/>
      </c>
      <c r="R583" s="189">
        <f>IF(OR($N509="RESTRINGIDO", $N520="RESTRINGIDO"), 0, R472)</f>
        <v/>
      </c>
      <c r="S583" s="189">
        <f>IF(OR($N509="RESTRINGIDO", $N521="RESTRINGIDO"), 0, S472)</f>
        <v/>
      </c>
      <c r="T583" s="189">
        <f>IF(OR($N509="RESTRINGIDO", $N522="RESTRINGIDO"), 0, T472)</f>
        <v/>
      </c>
      <c r="U583" s="189">
        <f>IF(OR($N509="RESTRINGIDO", $N523="RESTRINGIDO"), 0, U472)</f>
        <v/>
      </c>
      <c r="V583" s="189">
        <f>IF(OR($N509="RESTRINGIDO", $N524="RESTRINGIDO"), 0, V472)</f>
        <v/>
      </c>
      <c r="W583" s="189">
        <f>IF(OR($N509="RESTRINGIDO", $N525="RESTRINGIDO"), 0, W472)</f>
        <v/>
      </c>
      <c r="X583" s="189">
        <f>IF(OR($N509="RESTRINGIDO", $N526="RESTRINGIDO"), 0, X472)</f>
        <v/>
      </c>
      <c r="Y583" s="189">
        <f>IF(OR($N509="RESTRINGIDO", $N527="RESTRINGIDO"), 0, Y472)</f>
        <v/>
      </c>
      <c r="Z583" s="189">
        <f>IF(OR($N509="RESTRINGIDO", $N528="RESTRINGIDO"), 0, Z472)</f>
        <v/>
      </c>
      <c r="AA583" s="189">
        <f>IF(OR($N509="RESTRINGIDO", $N529="RESTRINGIDO"), 0, AA472)</f>
        <v/>
      </c>
      <c r="AB583" s="189">
        <f>IF(OR($N509="RESTRINGIDO", $N530="RESTRINGIDO"), 0, AB472)</f>
        <v/>
      </c>
      <c r="AC583" s="189">
        <f>IF(OR($N509="RESTRINGIDO", $N531="RESTRINGIDO"), 0, AC472)</f>
        <v/>
      </c>
      <c r="AD583" s="189">
        <f>IF(OR($N509="RESTRINGIDO", $N532="RESTRINGIDO"), 0, AD472)</f>
        <v/>
      </c>
      <c r="AE583" s="189">
        <f>IF(OR($N509="RESTRINGIDO", $N533="RESTRINGIDO"), 0, AE472)</f>
        <v/>
      </c>
      <c r="AF583" s="189">
        <f>IF(OR($N509="RESTRINGIDO", $N534="RESTRINGIDO"), 0, AF472)</f>
        <v/>
      </c>
      <c r="AG583" s="189">
        <f>IF(OR($N509="RESTRINGIDO", $N535="RESTRINGIDO"), 0, AG472)</f>
        <v/>
      </c>
      <c r="AH583" s="189">
        <f>IF(OR($N509="RESTRINGIDO", $N536="RESTRINGIDO"), 0, AH472)</f>
        <v/>
      </c>
      <c r="AJ583" s="189">
        <f>IF($N509="LIBRE", IF(ISNUMBER(E509), E509, 0), 0)</f>
        <v/>
      </c>
      <c r="AL583" s="188" t="n">
        <v>0</v>
      </c>
      <c r="AN583" s="188" t="n">
        <v>0</v>
      </c>
    </row>
    <row r="584">
      <c r="B584" s="189">
        <f>IF(OR($N510="RESTRINGIDO", $N504="RESTRINGIDO"), 0, B473)</f>
        <v/>
      </c>
      <c r="C584" s="189">
        <f>IF(OR($N510="RESTRINGIDO", $N505="RESTRINGIDO"), 0, C473)</f>
        <v/>
      </c>
      <c r="D584" s="189">
        <f>IF(OR($N510="RESTRINGIDO", $N506="RESTRINGIDO"), 0, D473)</f>
        <v/>
      </c>
      <c r="E584" s="189">
        <f>IF(OR($N510="RESTRINGIDO", $N507="RESTRINGIDO"), 0, E473)</f>
        <v/>
      </c>
      <c r="F584" s="189">
        <f>IF(OR($N510="RESTRINGIDO", $N508="RESTRINGIDO"), 0, F473)</f>
        <v/>
      </c>
      <c r="G584" s="189">
        <f>IF(OR($N510="RESTRINGIDO", $N509="RESTRINGIDO"), 0, G473)</f>
        <v/>
      </c>
      <c r="H584" s="189">
        <f>IF($N510="RESTRINGIDO", 1, IF(OR($N510="", $C473=""), 1, H473))</f>
        <v/>
      </c>
      <c r="I584" s="189">
        <f>IF(OR($N510="RESTRINGIDO", $N511="RESTRINGIDO"), 0, I473)</f>
        <v/>
      </c>
      <c r="J584" s="189">
        <f>IF(OR($N510="RESTRINGIDO", $N512="RESTRINGIDO"), 0, J473)</f>
        <v/>
      </c>
      <c r="K584" s="189">
        <f>IF(OR($N510="RESTRINGIDO", $N513="RESTRINGIDO"), 0, K473)</f>
        <v/>
      </c>
      <c r="L584" s="189">
        <f>IF(OR($N510="RESTRINGIDO", $N514="RESTRINGIDO"), 0, L473)</f>
        <v/>
      </c>
      <c r="M584" s="189">
        <f>IF(OR($N510="RESTRINGIDO", $N515="RESTRINGIDO"), 0, M473)</f>
        <v/>
      </c>
      <c r="N584" s="189">
        <f>IF(OR($N510="RESTRINGIDO", $N516="RESTRINGIDO"), 0, N473)</f>
        <v/>
      </c>
      <c r="O584" s="189">
        <f>IF(OR($N510="RESTRINGIDO", $N517="RESTRINGIDO"), 0, O473)</f>
        <v/>
      </c>
      <c r="P584" s="189">
        <f>IF(OR($N510="RESTRINGIDO", $N518="RESTRINGIDO"), 0, P473)</f>
        <v/>
      </c>
      <c r="Q584" s="189">
        <f>IF(OR($N510="RESTRINGIDO", $N519="RESTRINGIDO"), 0, Q473)</f>
        <v/>
      </c>
      <c r="R584" s="189">
        <f>IF(OR($N510="RESTRINGIDO", $N520="RESTRINGIDO"), 0, R473)</f>
        <v/>
      </c>
      <c r="S584" s="189">
        <f>IF(OR($N510="RESTRINGIDO", $N521="RESTRINGIDO"), 0, S473)</f>
        <v/>
      </c>
      <c r="T584" s="189">
        <f>IF(OR($N510="RESTRINGIDO", $N522="RESTRINGIDO"), 0, T473)</f>
        <v/>
      </c>
      <c r="U584" s="189">
        <f>IF(OR($N510="RESTRINGIDO", $N523="RESTRINGIDO"), 0, U473)</f>
        <v/>
      </c>
      <c r="V584" s="189">
        <f>IF(OR($N510="RESTRINGIDO", $N524="RESTRINGIDO"), 0, V473)</f>
        <v/>
      </c>
      <c r="W584" s="189">
        <f>IF(OR($N510="RESTRINGIDO", $N525="RESTRINGIDO"), 0, W473)</f>
        <v/>
      </c>
      <c r="X584" s="189">
        <f>IF(OR($N510="RESTRINGIDO", $N526="RESTRINGIDO"), 0, X473)</f>
        <v/>
      </c>
      <c r="Y584" s="189">
        <f>IF(OR($N510="RESTRINGIDO", $N527="RESTRINGIDO"), 0, Y473)</f>
        <v/>
      </c>
      <c r="Z584" s="189">
        <f>IF(OR($N510="RESTRINGIDO", $N528="RESTRINGIDO"), 0, Z473)</f>
        <v/>
      </c>
      <c r="AA584" s="189">
        <f>IF(OR($N510="RESTRINGIDO", $N529="RESTRINGIDO"), 0, AA473)</f>
        <v/>
      </c>
      <c r="AB584" s="189">
        <f>IF(OR($N510="RESTRINGIDO", $N530="RESTRINGIDO"), 0, AB473)</f>
        <v/>
      </c>
      <c r="AC584" s="189">
        <f>IF(OR($N510="RESTRINGIDO", $N531="RESTRINGIDO"), 0, AC473)</f>
        <v/>
      </c>
      <c r="AD584" s="189">
        <f>IF(OR($N510="RESTRINGIDO", $N532="RESTRINGIDO"), 0, AD473)</f>
        <v/>
      </c>
      <c r="AE584" s="189">
        <f>IF(OR($N510="RESTRINGIDO", $N533="RESTRINGIDO"), 0, AE473)</f>
        <v/>
      </c>
      <c r="AF584" s="189">
        <f>IF(OR($N510="RESTRINGIDO", $N534="RESTRINGIDO"), 0, AF473)</f>
        <v/>
      </c>
      <c r="AG584" s="189">
        <f>IF(OR($N510="RESTRINGIDO", $N535="RESTRINGIDO"), 0, AG473)</f>
        <v/>
      </c>
      <c r="AH584" s="189">
        <f>IF(OR($N510="RESTRINGIDO", $N536="RESTRINGIDO"), 0, AH473)</f>
        <v/>
      </c>
      <c r="AJ584" s="189">
        <f>IF($N510="LIBRE", IF(ISNUMBER(E510), E510, 0), 0)</f>
        <v/>
      </c>
      <c r="AL584" s="188" t="n">
        <v>0</v>
      </c>
      <c r="AN584" s="188" t="n">
        <v>0</v>
      </c>
    </row>
    <row r="585">
      <c r="B585" s="189">
        <f>IF(OR($N511="RESTRINGIDO", $N504="RESTRINGIDO"), 0, B474)</f>
        <v/>
      </c>
      <c r="C585" s="189">
        <f>IF(OR($N511="RESTRINGIDO", $N505="RESTRINGIDO"), 0, C474)</f>
        <v/>
      </c>
      <c r="D585" s="189">
        <f>IF(OR($N511="RESTRINGIDO", $N506="RESTRINGIDO"), 0, D474)</f>
        <v/>
      </c>
      <c r="E585" s="189">
        <f>IF(OR($N511="RESTRINGIDO", $N507="RESTRINGIDO"), 0, E474)</f>
        <v/>
      </c>
      <c r="F585" s="189">
        <f>IF(OR($N511="RESTRINGIDO", $N508="RESTRINGIDO"), 0, F474)</f>
        <v/>
      </c>
      <c r="G585" s="189">
        <f>IF(OR($N511="RESTRINGIDO", $N509="RESTRINGIDO"), 0, G474)</f>
        <v/>
      </c>
      <c r="H585" s="189">
        <f>IF(OR($N511="RESTRINGIDO", $N510="RESTRINGIDO"), 0, H474)</f>
        <v/>
      </c>
      <c r="I585" s="189">
        <f>IF($N511="RESTRINGIDO", 1, IF(OR($N511="", $C474=""), 1, I474))</f>
        <v/>
      </c>
      <c r="J585" s="189">
        <f>IF(OR($N511="RESTRINGIDO", $N512="RESTRINGIDO"), 0, J474)</f>
        <v/>
      </c>
      <c r="K585" s="189">
        <f>IF(OR($N511="RESTRINGIDO", $N513="RESTRINGIDO"), 0, K474)</f>
        <v/>
      </c>
      <c r="L585" s="189">
        <f>IF(OR($N511="RESTRINGIDO", $N514="RESTRINGIDO"), 0, L474)</f>
        <v/>
      </c>
      <c r="M585" s="189">
        <f>IF(OR($N511="RESTRINGIDO", $N515="RESTRINGIDO"), 0, M474)</f>
        <v/>
      </c>
      <c r="N585" s="189">
        <f>IF(OR($N511="RESTRINGIDO", $N516="RESTRINGIDO"), 0, N474)</f>
        <v/>
      </c>
      <c r="O585" s="189">
        <f>IF(OR($N511="RESTRINGIDO", $N517="RESTRINGIDO"), 0, O474)</f>
        <v/>
      </c>
      <c r="P585" s="189">
        <f>IF(OR($N511="RESTRINGIDO", $N518="RESTRINGIDO"), 0, P474)</f>
        <v/>
      </c>
      <c r="Q585" s="189">
        <f>IF(OR($N511="RESTRINGIDO", $N519="RESTRINGIDO"), 0, Q474)</f>
        <v/>
      </c>
      <c r="R585" s="189">
        <f>IF(OR($N511="RESTRINGIDO", $N520="RESTRINGIDO"), 0, R474)</f>
        <v/>
      </c>
      <c r="S585" s="189">
        <f>IF(OR($N511="RESTRINGIDO", $N521="RESTRINGIDO"), 0, S474)</f>
        <v/>
      </c>
      <c r="T585" s="189">
        <f>IF(OR($N511="RESTRINGIDO", $N522="RESTRINGIDO"), 0, T474)</f>
        <v/>
      </c>
      <c r="U585" s="189">
        <f>IF(OR($N511="RESTRINGIDO", $N523="RESTRINGIDO"), 0, U474)</f>
        <v/>
      </c>
      <c r="V585" s="189">
        <f>IF(OR($N511="RESTRINGIDO", $N524="RESTRINGIDO"), 0, V474)</f>
        <v/>
      </c>
      <c r="W585" s="189">
        <f>IF(OR($N511="RESTRINGIDO", $N525="RESTRINGIDO"), 0, W474)</f>
        <v/>
      </c>
      <c r="X585" s="189">
        <f>IF(OR($N511="RESTRINGIDO", $N526="RESTRINGIDO"), 0, X474)</f>
        <v/>
      </c>
      <c r="Y585" s="189">
        <f>IF(OR($N511="RESTRINGIDO", $N527="RESTRINGIDO"), 0, Y474)</f>
        <v/>
      </c>
      <c r="Z585" s="189">
        <f>IF(OR($N511="RESTRINGIDO", $N528="RESTRINGIDO"), 0, Z474)</f>
        <v/>
      </c>
      <c r="AA585" s="189">
        <f>IF(OR($N511="RESTRINGIDO", $N529="RESTRINGIDO"), 0, AA474)</f>
        <v/>
      </c>
      <c r="AB585" s="189">
        <f>IF(OR($N511="RESTRINGIDO", $N530="RESTRINGIDO"), 0, AB474)</f>
        <v/>
      </c>
      <c r="AC585" s="189">
        <f>IF(OR($N511="RESTRINGIDO", $N531="RESTRINGIDO"), 0, AC474)</f>
        <v/>
      </c>
      <c r="AD585" s="189">
        <f>IF(OR($N511="RESTRINGIDO", $N532="RESTRINGIDO"), 0, AD474)</f>
        <v/>
      </c>
      <c r="AE585" s="189">
        <f>IF(OR($N511="RESTRINGIDO", $N533="RESTRINGIDO"), 0, AE474)</f>
        <v/>
      </c>
      <c r="AF585" s="189">
        <f>IF(OR($N511="RESTRINGIDO", $N534="RESTRINGIDO"), 0, AF474)</f>
        <v/>
      </c>
      <c r="AG585" s="189">
        <f>IF(OR($N511="RESTRINGIDO", $N535="RESTRINGIDO"), 0, AG474)</f>
        <v/>
      </c>
      <c r="AH585" s="189">
        <f>IF(OR($N511="RESTRINGIDO", $N536="RESTRINGIDO"), 0, AH474)</f>
        <v/>
      </c>
      <c r="AJ585" s="189">
        <f>IF($N511="LIBRE", IF(ISNUMBER(E511), E511, 0), 0)</f>
        <v/>
      </c>
      <c r="AL585" s="188" t="n">
        <v>0</v>
      </c>
      <c r="AN585" s="188" t="n">
        <v>1000</v>
      </c>
    </row>
    <row r="586">
      <c r="B586" s="189">
        <f>IF(OR($N512="RESTRINGIDO", $N504="RESTRINGIDO"), 0, B475)</f>
        <v/>
      </c>
      <c r="C586" s="189">
        <f>IF(OR($N512="RESTRINGIDO", $N505="RESTRINGIDO"), 0, C475)</f>
        <v/>
      </c>
      <c r="D586" s="189">
        <f>IF(OR($N512="RESTRINGIDO", $N506="RESTRINGIDO"), 0, D475)</f>
        <v/>
      </c>
      <c r="E586" s="189">
        <f>IF(OR($N512="RESTRINGIDO", $N507="RESTRINGIDO"), 0, E475)</f>
        <v/>
      </c>
      <c r="F586" s="189">
        <f>IF(OR($N512="RESTRINGIDO", $N508="RESTRINGIDO"), 0, F475)</f>
        <v/>
      </c>
      <c r="G586" s="189">
        <f>IF(OR($N512="RESTRINGIDO", $N509="RESTRINGIDO"), 0, G475)</f>
        <v/>
      </c>
      <c r="H586" s="189">
        <f>IF(OR($N512="RESTRINGIDO", $N510="RESTRINGIDO"), 0, H475)</f>
        <v/>
      </c>
      <c r="I586" s="189">
        <f>IF(OR($N512="RESTRINGIDO", $N511="RESTRINGIDO"), 0, I475)</f>
        <v/>
      </c>
      <c r="J586" s="189">
        <f>IF($N512="RESTRINGIDO", 1, IF(OR($N512="", $C475=""), 1, J475))</f>
        <v/>
      </c>
      <c r="K586" s="189">
        <f>IF(OR($N512="RESTRINGIDO", $N513="RESTRINGIDO"), 0, K475)</f>
        <v/>
      </c>
      <c r="L586" s="189">
        <f>IF(OR($N512="RESTRINGIDO", $N514="RESTRINGIDO"), 0, L475)</f>
        <v/>
      </c>
      <c r="M586" s="189">
        <f>IF(OR($N512="RESTRINGIDO", $N515="RESTRINGIDO"), 0, M475)</f>
        <v/>
      </c>
      <c r="N586" s="189">
        <f>IF(OR($N512="RESTRINGIDO", $N516="RESTRINGIDO"), 0, N475)</f>
        <v/>
      </c>
      <c r="O586" s="189">
        <f>IF(OR($N512="RESTRINGIDO", $N517="RESTRINGIDO"), 0, O475)</f>
        <v/>
      </c>
      <c r="P586" s="189">
        <f>IF(OR($N512="RESTRINGIDO", $N518="RESTRINGIDO"), 0, P475)</f>
        <v/>
      </c>
      <c r="Q586" s="189">
        <f>IF(OR($N512="RESTRINGIDO", $N519="RESTRINGIDO"), 0, Q475)</f>
        <v/>
      </c>
      <c r="R586" s="189">
        <f>IF(OR($N512="RESTRINGIDO", $N520="RESTRINGIDO"), 0, R475)</f>
        <v/>
      </c>
      <c r="S586" s="189">
        <f>IF(OR($N512="RESTRINGIDO", $N521="RESTRINGIDO"), 0, S475)</f>
        <v/>
      </c>
      <c r="T586" s="189">
        <f>IF(OR($N512="RESTRINGIDO", $N522="RESTRINGIDO"), 0, T475)</f>
        <v/>
      </c>
      <c r="U586" s="189">
        <f>IF(OR($N512="RESTRINGIDO", $N523="RESTRINGIDO"), 0, U475)</f>
        <v/>
      </c>
      <c r="V586" s="189">
        <f>IF(OR($N512="RESTRINGIDO", $N524="RESTRINGIDO"), 0, V475)</f>
        <v/>
      </c>
      <c r="W586" s="189">
        <f>IF(OR($N512="RESTRINGIDO", $N525="RESTRINGIDO"), 0, W475)</f>
        <v/>
      </c>
      <c r="X586" s="189">
        <f>IF(OR($N512="RESTRINGIDO", $N526="RESTRINGIDO"), 0, X475)</f>
        <v/>
      </c>
      <c r="Y586" s="189">
        <f>IF(OR($N512="RESTRINGIDO", $N527="RESTRINGIDO"), 0, Y475)</f>
        <v/>
      </c>
      <c r="Z586" s="189">
        <f>IF(OR($N512="RESTRINGIDO", $N528="RESTRINGIDO"), 0, Z475)</f>
        <v/>
      </c>
      <c r="AA586" s="189">
        <f>IF(OR($N512="RESTRINGIDO", $N529="RESTRINGIDO"), 0, AA475)</f>
        <v/>
      </c>
      <c r="AB586" s="189">
        <f>IF(OR($N512="RESTRINGIDO", $N530="RESTRINGIDO"), 0, AB475)</f>
        <v/>
      </c>
      <c r="AC586" s="189">
        <f>IF(OR($N512="RESTRINGIDO", $N531="RESTRINGIDO"), 0, AC475)</f>
        <v/>
      </c>
      <c r="AD586" s="189">
        <f>IF(OR($N512="RESTRINGIDO", $N532="RESTRINGIDO"), 0, AD475)</f>
        <v/>
      </c>
      <c r="AE586" s="189">
        <f>IF(OR($N512="RESTRINGIDO", $N533="RESTRINGIDO"), 0, AE475)</f>
        <v/>
      </c>
      <c r="AF586" s="189">
        <f>IF(OR($N512="RESTRINGIDO", $N534="RESTRINGIDO"), 0, AF475)</f>
        <v/>
      </c>
      <c r="AG586" s="189">
        <f>IF(OR($N512="RESTRINGIDO", $N535="RESTRINGIDO"), 0, AG475)</f>
        <v/>
      </c>
      <c r="AH586" s="189">
        <f>IF(OR($N512="RESTRINGIDO", $N536="RESTRINGIDO"), 0, AH475)</f>
        <v/>
      </c>
      <c r="AJ586" s="189">
        <f>IF($N512="LIBRE", IF(ISNUMBER(E512), E512, 0), 0)</f>
        <v/>
      </c>
      <c r="AL586" s="188" t="n">
        <v>0.08</v>
      </c>
      <c r="AN586" s="188" t="n">
        <v>-2.91038304567337e-11</v>
      </c>
    </row>
    <row r="587">
      <c r="B587" s="189">
        <f>IF(OR($N513="RESTRINGIDO", $N504="RESTRINGIDO"), 0, B476)</f>
        <v/>
      </c>
      <c r="C587" s="189">
        <f>IF(OR($N513="RESTRINGIDO", $N505="RESTRINGIDO"), 0, C476)</f>
        <v/>
      </c>
      <c r="D587" s="189">
        <f>IF(OR($N513="RESTRINGIDO", $N506="RESTRINGIDO"), 0, D476)</f>
        <v/>
      </c>
      <c r="E587" s="189">
        <f>IF(OR($N513="RESTRINGIDO", $N507="RESTRINGIDO"), 0, E476)</f>
        <v/>
      </c>
      <c r="F587" s="189">
        <f>IF(OR($N513="RESTRINGIDO", $N508="RESTRINGIDO"), 0, F476)</f>
        <v/>
      </c>
      <c r="G587" s="189">
        <f>IF(OR($N513="RESTRINGIDO", $N509="RESTRINGIDO"), 0, G476)</f>
        <v/>
      </c>
      <c r="H587" s="189">
        <f>IF(OR($N513="RESTRINGIDO", $N510="RESTRINGIDO"), 0, H476)</f>
        <v/>
      </c>
      <c r="I587" s="189">
        <f>IF(OR($N513="RESTRINGIDO", $N511="RESTRINGIDO"), 0, I476)</f>
        <v/>
      </c>
      <c r="J587" s="189">
        <f>IF(OR($N513="RESTRINGIDO", $N512="RESTRINGIDO"), 0, J476)</f>
        <v/>
      </c>
      <c r="K587" s="189">
        <f>IF($N513="RESTRINGIDO", 1, IF(OR($N513="", $C476=""), 1, K476))</f>
        <v/>
      </c>
      <c r="L587" s="189">
        <f>IF(OR($N513="RESTRINGIDO", $N514="RESTRINGIDO"), 0, L476)</f>
        <v/>
      </c>
      <c r="M587" s="189">
        <f>IF(OR($N513="RESTRINGIDO", $N515="RESTRINGIDO"), 0, M476)</f>
        <v/>
      </c>
      <c r="N587" s="189">
        <f>IF(OR($N513="RESTRINGIDO", $N516="RESTRINGIDO"), 0, N476)</f>
        <v/>
      </c>
      <c r="O587" s="189">
        <f>IF(OR($N513="RESTRINGIDO", $N517="RESTRINGIDO"), 0, O476)</f>
        <v/>
      </c>
      <c r="P587" s="189">
        <f>IF(OR($N513="RESTRINGIDO", $N518="RESTRINGIDO"), 0, P476)</f>
        <v/>
      </c>
      <c r="Q587" s="189">
        <f>IF(OR($N513="RESTRINGIDO", $N519="RESTRINGIDO"), 0, Q476)</f>
        <v/>
      </c>
      <c r="R587" s="189">
        <f>IF(OR($N513="RESTRINGIDO", $N520="RESTRINGIDO"), 0, R476)</f>
        <v/>
      </c>
      <c r="S587" s="189">
        <f>IF(OR($N513="RESTRINGIDO", $N521="RESTRINGIDO"), 0, S476)</f>
        <v/>
      </c>
      <c r="T587" s="189">
        <f>IF(OR($N513="RESTRINGIDO", $N522="RESTRINGIDO"), 0, T476)</f>
        <v/>
      </c>
      <c r="U587" s="189">
        <f>IF(OR($N513="RESTRINGIDO", $N523="RESTRINGIDO"), 0, U476)</f>
        <v/>
      </c>
      <c r="V587" s="189">
        <f>IF(OR($N513="RESTRINGIDO", $N524="RESTRINGIDO"), 0, V476)</f>
        <v/>
      </c>
      <c r="W587" s="189">
        <f>IF(OR($N513="RESTRINGIDO", $N525="RESTRINGIDO"), 0, W476)</f>
        <v/>
      </c>
      <c r="X587" s="189">
        <f>IF(OR($N513="RESTRINGIDO", $N526="RESTRINGIDO"), 0, X476)</f>
        <v/>
      </c>
      <c r="Y587" s="189">
        <f>IF(OR($N513="RESTRINGIDO", $N527="RESTRINGIDO"), 0, Y476)</f>
        <v/>
      </c>
      <c r="Z587" s="189">
        <f>IF(OR($N513="RESTRINGIDO", $N528="RESTRINGIDO"), 0, Z476)</f>
        <v/>
      </c>
      <c r="AA587" s="189">
        <f>IF(OR($N513="RESTRINGIDO", $N529="RESTRINGIDO"), 0, AA476)</f>
        <v/>
      </c>
      <c r="AB587" s="189">
        <f>IF(OR($N513="RESTRINGIDO", $N530="RESTRINGIDO"), 0, AB476)</f>
        <v/>
      </c>
      <c r="AC587" s="189">
        <f>IF(OR($N513="RESTRINGIDO", $N531="RESTRINGIDO"), 0, AC476)</f>
        <v/>
      </c>
      <c r="AD587" s="189">
        <f>IF(OR($N513="RESTRINGIDO", $N532="RESTRINGIDO"), 0, AD476)</f>
        <v/>
      </c>
      <c r="AE587" s="189">
        <f>IF(OR($N513="RESTRINGIDO", $N533="RESTRINGIDO"), 0, AE476)</f>
        <v/>
      </c>
      <c r="AF587" s="189">
        <f>IF(OR($N513="RESTRINGIDO", $N534="RESTRINGIDO"), 0, AF476)</f>
        <v/>
      </c>
      <c r="AG587" s="189">
        <f>IF(OR($N513="RESTRINGIDO", $N535="RESTRINGIDO"), 0, AG476)</f>
        <v/>
      </c>
      <c r="AH587" s="189">
        <f>IF(OR($N513="RESTRINGIDO", $N536="RESTRINGIDO"), 0, AH476)</f>
        <v/>
      </c>
      <c r="AJ587" s="189">
        <f>IF($N513="LIBRE", IF(ISNUMBER(E513), E513, 0), 0)</f>
        <v/>
      </c>
      <c r="AL587" s="188" t="n">
        <v>0</v>
      </c>
      <c r="AN587" s="188" t="n">
        <v>0</v>
      </c>
    </row>
    <row r="588">
      <c r="B588" s="189">
        <f>IF(OR($N514="RESTRINGIDO", $N504="RESTRINGIDO"), 0, B477)</f>
        <v/>
      </c>
      <c r="C588" s="189">
        <f>IF(OR($N514="RESTRINGIDO", $N505="RESTRINGIDO"), 0, C477)</f>
        <v/>
      </c>
      <c r="D588" s="189">
        <f>IF(OR($N514="RESTRINGIDO", $N506="RESTRINGIDO"), 0, D477)</f>
        <v/>
      </c>
      <c r="E588" s="189">
        <f>IF(OR($N514="RESTRINGIDO", $N507="RESTRINGIDO"), 0, E477)</f>
        <v/>
      </c>
      <c r="F588" s="189">
        <f>IF(OR($N514="RESTRINGIDO", $N508="RESTRINGIDO"), 0, F477)</f>
        <v/>
      </c>
      <c r="G588" s="189">
        <f>IF(OR($N514="RESTRINGIDO", $N509="RESTRINGIDO"), 0, G477)</f>
        <v/>
      </c>
      <c r="H588" s="189">
        <f>IF(OR($N514="RESTRINGIDO", $N510="RESTRINGIDO"), 0, H477)</f>
        <v/>
      </c>
      <c r="I588" s="189">
        <f>IF(OR($N514="RESTRINGIDO", $N511="RESTRINGIDO"), 0, I477)</f>
        <v/>
      </c>
      <c r="J588" s="189">
        <f>IF(OR($N514="RESTRINGIDO", $N512="RESTRINGIDO"), 0, J477)</f>
        <v/>
      </c>
      <c r="K588" s="189">
        <f>IF(OR($N514="RESTRINGIDO", $N513="RESTRINGIDO"), 0, K477)</f>
        <v/>
      </c>
      <c r="L588" s="189">
        <f>IF($N514="RESTRINGIDO", 1, IF(OR($N514="", $C477=""), 1, L477))</f>
        <v/>
      </c>
      <c r="M588" s="189">
        <f>IF(OR($N514="RESTRINGIDO", $N515="RESTRINGIDO"), 0, M477)</f>
        <v/>
      </c>
      <c r="N588" s="189">
        <f>IF(OR($N514="RESTRINGIDO", $N516="RESTRINGIDO"), 0, N477)</f>
        <v/>
      </c>
      <c r="O588" s="189">
        <f>IF(OR($N514="RESTRINGIDO", $N517="RESTRINGIDO"), 0, O477)</f>
        <v/>
      </c>
      <c r="P588" s="189">
        <f>IF(OR($N514="RESTRINGIDO", $N518="RESTRINGIDO"), 0, P477)</f>
        <v/>
      </c>
      <c r="Q588" s="189">
        <f>IF(OR($N514="RESTRINGIDO", $N519="RESTRINGIDO"), 0, Q477)</f>
        <v/>
      </c>
      <c r="R588" s="189">
        <f>IF(OR($N514="RESTRINGIDO", $N520="RESTRINGIDO"), 0, R477)</f>
        <v/>
      </c>
      <c r="S588" s="189">
        <f>IF(OR($N514="RESTRINGIDO", $N521="RESTRINGIDO"), 0, S477)</f>
        <v/>
      </c>
      <c r="T588" s="189">
        <f>IF(OR($N514="RESTRINGIDO", $N522="RESTRINGIDO"), 0, T477)</f>
        <v/>
      </c>
      <c r="U588" s="189">
        <f>IF(OR($N514="RESTRINGIDO", $N523="RESTRINGIDO"), 0, U477)</f>
        <v/>
      </c>
      <c r="V588" s="189">
        <f>IF(OR($N514="RESTRINGIDO", $N524="RESTRINGIDO"), 0, V477)</f>
        <v/>
      </c>
      <c r="W588" s="189">
        <f>IF(OR($N514="RESTRINGIDO", $N525="RESTRINGIDO"), 0, W477)</f>
        <v/>
      </c>
      <c r="X588" s="189">
        <f>IF(OR($N514="RESTRINGIDO", $N526="RESTRINGIDO"), 0, X477)</f>
        <v/>
      </c>
      <c r="Y588" s="189">
        <f>IF(OR($N514="RESTRINGIDO", $N527="RESTRINGIDO"), 0, Y477)</f>
        <v/>
      </c>
      <c r="Z588" s="189">
        <f>IF(OR($N514="RESTRINGIDO", $N528="RESTRINGIDO"), 0, Z477)</f>
        <v/>
      </c>
      <c r="AA588" s="189">
        <f>IF(OR($N514="RESTRINGIDO", $N529="RESTRINGIDO"), 0, AA477)</f>
        <v/>
      </c>
      <c r="AB588" s="189">
        <f>IF(OR($N514="RESTRINGIDO", $N530="RESTRINGIDO"), 0, AB477)</f>
        <v/>
      </c>
      <c r="AC588" s="189">
        <f>IF(OR($N514="RESTRINGIDO", $N531="RESTRINGIDO"), 0, AC477)</f>
        <v/>
      </c>
      <c r="AD588" s="189">
        <f>IF(OR($N514="RESTRINGIDO", $N532="RESTRINGIDO"), 0, AD477)</f>
        <v/>
      </c>
      <c r="AE588" s="189">
        <f>IF(OR($N514="RESTRINGIDO", $N533="RESTRINGIDO"), 0, AE477)</f>
        <v/>
      </c>
      <c r="AF588" s="189">
        <f>IF(OR($N514="RESTRINGIDO", $N534="RESTRINGIDO"), 0, AF477)</f>
        <v/>
      </c>
      <c r="AG588" s="189">
        <f>IF(OR($N514="RESTRINGIDO", $N535="RESTRINGIDO"), 0, AG477)</f>
        <v/>
      </c>
      <c r="AH588" s="189">
        <f>IF(OR($N514="RESTRINGIDO", $N536="RESTRINGIDO"), 0, AH477)</f>
        <v/>
      </c>
      <c r="AJ588" s="189">
        <f>IF($N514="LIBRE", IF(ISNUMBER(E514), E514, 0), 0)</f>
        <v/>
      </c>
      <c r="AL588" s="188" t="n">
        <v>0</v>
      </c>
      <c r="AN588" s="188" t="n">
        <v>0</v>
      </c>
    </row>
    <row r="589">
      <c r="B589" s="189">
        <f>IF(OR($N515="RESTRINGIDO", $N504="RESTRINGIDO"), 0, B478)</f>
        <v/>
      </c>
      <c r="C589" s="189">
        <f>IF(OR($N515="RESTRINGIDO", $N505="RESTRINGIDO"), 0, C478)</f>
        <v/>
      </c>
      <c r="D589" s="189">
        <f>IF(OR($N515="RESTRINGIDO", $N506="RESTRINGIDO"), 0, D478)</f>
        <v/>
      </c>
      <c r="E589" s="189">
        <f>IF(OR($N515="RESTRINGIDO", $N507="RESTRINGIDO"), 0, E478)</f>
        <v/>
      </c>
      <c r="F589" s="189">
        <f>IF(OR($N515="RESTRINGIDO", $N508="RESTRINGIDO"), 0, F478)</f>
        <v/>
      </c>
      <c r="G589" s="189">
        <f>IF(OR($N515="RESTRINGIDO", $N509="RESTRINGIDO"), 0, G478)</f>
        <v/>
      </c>
      <c r="H589" s="189">
        <f>IF(OR($N515="RESTRINGIDO", $N510="RESTRINGIDO"), 0, H478)</f>
        <v/>
      </c>
      <c r="I589" s="189">
        <f>IF(OR($N515="RESTRINGIDO", $N511="RESTRINGIDO"), 0, I478)</f>
        <v/>
      </c>
      <c r="J589" s="189">
        <f>IF(OR($N515="RESTRINGIDO", $N512="RESTRINGIDO"), 0, J478)</f>
        <v/>
      </c>
      <c r="K589" s="189">
        <f>IF(OR($N515="RESTRINGIDO", $N513="RESTRINGIDO"), 0, K478)</f>
        <v/>
      </c>
      <c r="L589" s="189">
        <f>IF(OR($N515="RESTRINGIDO", $N514="RESTRINGIDO"), 0, L478)</f>
        <v/>
      </c>
      <c r="M589" s="189">
        <f>IF($N515="RESTRINGIDO", 1, IF(OR($N515="", $C478=""), 1, M478))</f>
        <v/>
      </c>
      <c r="N589" s="189">
        <f>IF(OR($N515="RESTRINGIDO", $N516="RESTRINGIDO"), 0, N478)</f>
        <v/>
      </c>
      <c r="O589" s="189">
        <f>IF(OR($N515="RESTRINGIDO", $N517="RESTRINGIDO"), 0, O478)</f>
        <v/>
      </c>
      <c r="P589" s="189">
        <f>IF(OR($N515="RESTRINGIDO", $N518="RESTRINGIDO"), 0, P478)</f>
        <v/>
      </c>
      <c r="Q589" s="189">
        <f>IF(OR($N515="RESTRINGIDO", $N519="RESTRINGIDO"), 0, Q478)</f>
        <v/>
      </c>
      <c r="R589" s="189">
        <f>IF(OR($N515="RESTRINGIDO", $N520="RESTRINGIDO"), 0, R478)</f>
        <v/>
      </c>
      <c r="S589" s="189">
        <f>IF(OR($N515="RESTRINGIDO", $N521="RESTRINGIDO"), 0, S478)</f>
        <v/>
      </c>
      <c r="T589" s="189">
        <f>IF(OR($N515="RESTRINGIDO", $N522="RESTRINGIDO"), 0, T478)</f>
        <v/>
      </c>
      <c r="U589" s="189">
        <f>IF(OR($N515="RESTRINGIDO", $N523="RESTRINGIDO"), 0, U478)</f>
        <v/>
      </c>
      <c r="V589" s="189">
        <f>IF(OR($N515="RESTRINGIDO", $N524="RESTRINGIDO"), 0, V478)</f>
        <v/>
      </c>
      <c r="W589" s="189">
        <f>IF(OR($N515="RESTRINGIDO", $N525="RESTRINGIDO"), 0, W478)</f>
        <v/>
      </c>
      <c r="X589" s="189">
        <f>IF(OR($N515="RESTRINGIDO", $N526="RESTRINGIDO"), 0, X478)</f>
        <v/>
      </c>
      <c r="Y589" s="189">
        <f>IF(OR($N515="RESTRINGIDO", $N527="RESTRINGIDO"), 0, Y478)</f>
        <v/>
      </c>
      <c r="Z589" s="189">
        <f>IF(OR($N515="RESTRINGIDO", $N528="RESTRINGIDO"), 0, Z478)</f>
        <v/>
      </c>
      <c r="AA589" s="189">
        <f>IF(OR($N515="RESTRINGIDO", $N529="RESTRINGIDO"), 0, AA478)</f>
        <v/>
      </c>
      <c r="AB589" s="189">
        <f>IF(OR($N515="RESTRINGIDO", $N530="RESTRINGIDO"), 0, AB478)</f>
        <v/>
      </c>
      <c r="AC589" s="189">
        <f>IF(OR($N515="RESTRINGIDO", $N531="RESTRINGIDO"), 0, AC478)</f>
        <v/>
      </c>
      <c r="AD589" s="189">
        <f>IF(OR($N515="RESTRINGIDO", $N532="RESTRINGIDO"), 0, AD478)</f>
        <v/>
      </c>
      <c r="AE589" s="189">
        <f>IF(OR($N515="RESTRINGIDO", $N533="RESTRINGIDO"), 0, AE478)</f>
        <v/>
      </c>
      <c r="AF589" s="189">
        <f>IF(OR($N515="RESTRINGIDO", $N534="RESTRINGIDO"), 0, AF478)</f>
        <v/>
      </c>
      <c r="AG589" s="189">
        <f>IF(OR($N515="RESTRINGIDO", $N535="RESTRINGIDO"), 0, AG478)</f>
        <v/>
      </c>
      <c r="AH589" s="189">
        <f>IF(OR($N515="RESTRINGIDO", $N536="RESTRINGIDO"), 0, AH478)</f>
        <v/>
      </c>
      <c r="AJ589" s="189">
        <f>IF($N515="LIBRE", IF(ISNUMBER(E515), E515, 0), 0)</f>
        <v/>
      </c>
      <c r="AL589" s="188" t="n">
        <v>0</v>
      </c>
      <c r="AN589" s="188" t="n">
        <v>0</v>
      </c>
    </row>
    <row r="590">
      <c r="B590" s="189">
        <f>IF(OR($N516="RESTRINGIDO", $N504="RESTRINGIDO"), 0, B479)</f>
        <v/>
      </c>
      <c r="C590" s="189">
        <f>IF(OR($N516="RESTRINGIDO", $N505="RESTRINGIDO"), 0, C479)</f>
        <v/>
      </c>
      <c r="D590" s="189">
        <f>IF(OR($N516="RESTRINGIDO", $N506="RESTRINGIDO"), 0, D479)</f>
        <v/>
      </c>
      <c r="E590" s="189">
        <f>IF(OR($N516="RESTRINGIDO", $N507="RESTRINGIDO"), 0, E479)</f>
        <v/>
      </c>
      <c r="F590" s="189">
        <f>IF(OR($N516="RESTRINGIDO", $N508="RESTRINGIDO"), 0, F479)</f>
        <v/>
      </c>
      <c r="G590" s="189">
        <f>IF(OR($N516="RESTRINGIDO", $N509="RESTRINGIDO"), 0, G479)</f>
        <v/>
      </c>
      <c r="H590" s="189">
        <f>IF(OR($N516="RESTRINGIDO", $N510="RESTRINGIDO"), 0, H479)</f>
        <v/>
      </c>
      <c r="I590" s="189">
        <f>IF(OR($N516="RESTRINGIDO", $N511="RESTRINGIDO"), 0, I479)</f>
        <v/>
      </c>
      <c r="J590" s="189">
        <f>IF(OR($N516="RESTRINGIDO", $N512="RESTRINGIDO"), 0, J479)</f>
        <v/>
      </c>
      <c r="K590" s="189">
        <f>IF(OR($N516="RESTRINGIDO", $N513="RESTRINGIDO"), 0, K479)</f>
        <v/>
      </c>
      <c r="L590" s="189">
        <f>IF(OR($N516="RESTRINGIDO", $N514="RESTRINGIDO"), 0, L479)</f>
        <v/>
      </c>
      <c r="M590" s="189">
        <f>IF(OR($N516="RESTRINGIDO", $N515="RESTRINGIDO"), 0, M479)</f>
        <v/>
      </c>
      <c r="N590" s="189">
        <f>IF($N516="RESTRINGIDO", 1, IF(OR($N516="", $C479=""), 1, N479))</f>
        <v/>
      </c>
      <c r="O590" s="189">
        <f>IF(OR($N516="RESTRINGIDO", $N517="RESTRINGIDO"), 0, O479)</f>
        <v/>
      </c>
      <c r="P590" s="189">
        <f>IF(OR($N516="RESTRINGIDO", $N518="RESTRINGIDO"), 0, P479)</f>
        <v/>
      </c>
      <c r="Q590" s="189">
        <f>IF(OR($N516="RESTRINGIDO", $N519="RESTRINGIDO"), 0, Q479)</f>
        <v/>
      </c>
      <c r="R590" s="189">
        <f>IF(OR($N516="RESTRINGIDO", $N520="RESTRINGIDO"), 0, R479)</f>
        <v/>
      </c>
      <c r="S590" s="189">
        <f>IF(OR($N516="RESTRINGIDO", $N521="RESTRINGIDO"), 0, S479)</f>
        <v/>
      </c>
      <c r="T590" s="189">
        <f>IF(OR($N516="RESTRINGIDO", $N522="RESTRINGIDO"), 0, T479)</f>
        <v/>
      </c>
      <c r="U590" s="189">
        <f>IF(OR($N516="RESTRINGIDO", $N523="RESTRINGIDO"), 0, U479)</f>
        <v/>
      </c>
      <c r="V590" s="189">
        <f>IF(OR($N516="RESTRINGIDO", $N524="RESTRINGIDO"), 0, V479)</f>
        <v/>
      </c>
      <c r="W590" s="189">
        <f>IF(OR($N516="RESTRINGIDO", $N525="RESTRINGIDO"), 0, W479)</f>
        <v/>
      </c>
      <c r="X590" s="189">
        <f>IF(OR($N516="RESTRINGIDO", $N526="RESTRINGIDO"), 0, X479)</f>
        <v/>
      </c>
      <c r="Y590" s="189">
        <f>IF(OR($N516="RESTRINGIDO", $N527="RESTRINGIDO"), 0, Y479)</f>
        <v/>
      </c>
      <c r="Z590" s="189">
        <f>IF(OR($N516="RESTRINGIDO", $N528="RESTRINGIDO"), 0, Z479)</f>
        <v/>
      </c>
      <c r="AA590" s="189">
        <f>IF(OR($N516="RESTRINGIDO", $N529="RESTRINGIDO"), 0, AA479)</f>
        <v/>
      </c>
      <c r="AB590" s="189">
        <f>IF(OR($N516="RESTRINGIDO", $N530="RESTRINGIDO"), 0, AB479)</f>
        <v/>
      </c>
      <c r="AC590" s="189">
        <f>IF(OR($N516="RESTRINGIDO", $N531="RESTRINGIDO"), 0, AC479)</f>
        <v/>
      </c>
      <c r="AD590" s="189">
        <f>IF(OR($N516="RESTRINGIDO", $N532="RESTRINGIDO"), 0, AD479)</f>
        <v/>
      </c>
      <c r="AE590" s="189">
        <f>IF(OR($N516="RESTRINGIDO", $N533="RESTRINGIDO"), 0, AE479)</f>
        <v/>
      </c>
      <c r="AF590" s="189">
        <f>IF(OR($N516="RESTRINGIDO", $N534="RESTRINGIDO"), 0, AF479)</f>
        <v/>
      </c>
      <c r="AG590" s="189">
        <f>IF(OR($N516="RESTRINGIDO", $N535="RESTRINGIDO"), 0, AG479)</f>
        <v/>
      </c>
      <c r="AH590" s="189">
        <f>IF(OR($N516="RESTRINGIDO", $N536="RESTRINGIDO"), 0, AH479)</f>
        <v/>
      </c>
      <c r="AJ590" s="189">
        <f>IF($N516="LIBRE", IF(ISNUMBER(E516), E516, 0), 0)</f>
        <v/>
      </c>
      <c r="AL590" s="188" t="n">
        <v>0</v>
      </c>
      <c r="AN590" s="188" t="n">
        <v>0</v>
      </c>
    </row>
    <row r="591">
      <c r="B591" s="189">
        <f>IF(OR($N517="RESTRINGIDO", $N504="RESTRINGIDO"), 0, B480)</f>
        <v/>
      </c>
      <c r="C591" s="189">
        <f>IF(OR($N517="RESTRINGIDO", $N505="RESTRINGIDO"), 0, C480)</f>
        <v/>
      </c>
      <c r="D591" s="189">
        <f>IF(OR($N517="RESTRINGIDO", $N506="RESTRINGIDO"), 0, D480)</f>
        <v/>
      </c>
      <c r="E591" s="189">
        <f>IF(OR($N517="RESTRINGIDO", $N507="RESTRINGIDO"), 0, E480)</f>
        <v/>
      </c>
      <c r="F591" s="189">
        <f>IF(OR($N517="RESTRINGIDO", $N508="RESTRINGIDO"), 0, F480)</f>
        <v/>
      </c>
      <c r="G591" s="189">
        <f>IF(OR($N517="RESTRINGIDO", $N509="RESTRINGIDO"), 0, G480)</f>
        <v/>
      </c>
      <c r="H591" s="189">
        <f>IF(OR($N517="RESTRINGIDO", $N510="RESTRINGIDO"), 0, H480)</f>
        <v/>
      </c>
      <c r="I591" s="189">
        <f>IF(OR($N517="RESTRINGIDO", $N511="RESTRINGIDO"), 0, I480)</f>
        <v/>
      </c>
      <c r="J591" s="189">
        <f>IF(OR($N517="RESTRINGIDO", $N512="RESTRINGIDO"), 0, J480)</f>
        <v/>
      </c>
      <c r="K591" s="189">
        <f>IF(OR($N517="RESTRINGIDO", $N513="RESTRINGIDO"), 0, K480)</f>
        <v/>
      </c>
      <c r="L591" s="189">
        <f>IF(OR($N517="RESTRINGIDO", $N514="RESTRINGIDO"), 0, L480)</f>
        <v/>
      </c>
      <c r="M591" s="189">
        <f>IF(OR($N517="RESTRINGIDO", $N515="RESTRINGIDO"), 0, M480)</f>
        <v/>
      </c>
      <c r="N591" s="189">
        <f>IF(OR($N517="RESTRINGIDO", $N516="RESTRINGIDO"), 0, N480)</f>
        <v/>
      </c>
      <c r="O591" s="189">
        <f>IF($N517="RESTRINGIDO", 1, IF(OR($N517="", $C480=""), 1, O480))</f>
        <v/>
      </c>
      <c r="P591" s="189">
        <f>IF(OR($N517="RESTRINGIDO", $N518="RESTRINGIDO"), 0, P480)</f>
        <v/>
      </c>
      <c r="Q591" s="189">
        <f>IF(OR($N517="RESTRINGIDO", $N519="RESTRINGIDO"), 0, Q480)</f>
        <v/>
      </c>
      <c r="R591" s="189">
        <f>IF(OR($N517="RESTRINGIDO", $N520="RESTRINGIDO"), 0, R480)</f>
        <v/>
      </c>
      <c r="S591" s="189">
        <f>IF(OR($N517="RESTRINGIDO", $N521="RESTRINGIDO"), 0, S480)</f>
        <v/>
      </c>
      <c r="T591" s="189">
        <f>IF(OR($N517="RESTRINGIDO", $N522="RESTRINGIDO"), 0, T480)</f>
        <v/>
      </c>
      <c r="U591" s="189">
        <f>IF(OR($N517="RESTRINGIDO", $N523="RESTRINGIDO"), 0, U480)</f>
        <v/>
      </c>
      <c r="V591" s="189">
        <f>IF(OR($N517="RESTRINGIDO", $N524="RESTRINGIDO"), 0, V480)</f>
        <v/>
      </c>
      <c r="W591" s="189">
        <f>IF(OR($N517="RESTRINGIDO", $N525="RESTRINGIDO"), 0, W480)</f>
        <v/>
      </c>
      <c r="X591" s="189">
        <f>IF(OR($N517="RESTRINGIDO", $N526="RESTRINGIDO"), 0, X480)</f>
        <v/>
      </c>
      <c r="Y591" s="189">
        <f>IF(OR($N517="RESTRINGIDO", $N527="RESTRINGIDO"), 0, Y480)</f>
        <v/>
      </c>
      <c r="Z591" s="189">
        <f>IF(OR($N517="RESTRINGIDO", $N528="RESTRINGIDO"), 0, Z480)</f>
        <v/>
      </c>
      <c r="AA591" s="189">
        <f>IF(OR($N517="RESTRINGIDO", $N529="RESTRINGIDO"), 0, AA480)</f>
        <v/>
      </c>
      <c r="AB591" s="189">
        <f>IF(OR($N517="RESTRINGIDO", $N530="RESTRINGIDO"), 0, AB480)</f>
        <v/>
      </c>
      <c r="AC591" s="189">
        <f>IF(OR($N517="RESTRINGIDO", $N531="RESTRINGIDO"), 0, AC480)</f>
        <v/>
      </c>
      <c r="AD591" s="189">
        <f>IF(OR($N517="RESTRINGIDO", $N532="RESTRINGIDO"), 0, AD480)</f>
        <v/>
      </c>
      <c r="AE591" s="189">
        <f>IF(OR($N517="RESTRINGIDO", $N533="RESTRINGIDO"), 0, AE480)</f>
        <v/>
      </c>
      <c r="AF591" s="189">
        <f>IF(OR($N517="RESTRINGIDO", $N534="RESTRINGIDO"), 0, AF480)</f>
        <v/>
      </c>
      <c r="AG591" s="189">
        <f>IF(OR($N517="RESTRINGIDO", $N535="RESTRINGIDO"), 0, AG480)</f>
        <v/>
      </c>
      <c r="AH591" s="189">
        <f>IF(OR($N517="RESTRINGIDO", $N536="RESTRINGIDO"), 0, AH480)</f>
        <v/>
      </c>
      <c r="AJ591" s="189">
        <f>IF($N517="LIBRE", IF(ISNUMBER(E517), E517, 0), 0)</f>
        <v/>
      </c>
      <c r="AL591" s="188" t="n">
        <v>0</v>
      </c>
      <c r="AN591" s="188" t="n">
        <v>0</v>
      </c>
    </row>
    <row r="592">
      <c r="B592" s="189">
        <f>IF(OR($N518="RESTRINGIDO", $N504="RESTRINGIDO"), 0, B481)</f>
        <v/>
      </c>
      <c r="C592" s="189">
        <f>IF(OR($N518="RESTRINGIDO", $N505="RESTRINGIDO"), 0, C481)</f>
        <v/>
      </c>
      <c r="D592" s="189">
        <f>IF(OR($N518="RESTRINGIDO", $N506="RESTRINGIDO"), 0, D481)</f>
        <v/>
      </c>
      <c r="E592" s="189">
        <f>IF(OR($N518="RESTRINGIDO", $N507="RESTRINGIDO"), 0, E481)</f>
        <v/>
      </c>
      <c r="F592" s="189">
        <f>IF(OR($N518="RESTRINGIDO", $N508="RESTRINGIDO"), 0, F481)</f>
        <v/>
      </c>
      <c r="G592" s="189">
        <f>IF(OR($N518="RESTRINGIDO", $N509="RESTRINGIDO"), 0, G481)</f>
        <v/>
      </c>
      <c r="H592" s="189">
        <f>IF(OR($N518="RESTRINGIDO", $N510="RESTRINGIDO"), 0, H481)</f>
        <v/>
      </c>
      <c r="I592" s="189">
        <f>IF(OR($N518="RESTRINGIDO", $N511="RESTRINGIDO"), 0, I481)</f>
        <v/>
      </c>
      <c r="J592" s="189">
        <f>IF(OR($N518="RESTRINGIDO", $N512="RESTRINGIDO"), 0, J481)</f>
        <v/>
      </c>
      <c r="K592" s="189">
        <f>IF(OR($N518="RESTRINGIDO", $N513="RESTRINGIDO"), 0, K481)</f>
        <v/>
      </c>
      <c r="L592" s="189">
        <f>IF(OR($N518="RESTRINGIDO", $N514="RESTRINGIDO"), 0, L481)</f>
        <v/>
      </c>
      <c r="M592" s="189">
        <f>IF(OR($N518="RESTRINGIDO", $N515="RESTRINGIDO"), 0, M481)</f>
        <v/>
      </c>
      <c r="N592" s="189">
        <f>IF(OR($N518="RESTRINGIDO", $N516="RESTRINGIDO"), 0, N481)</f>
        <v/>
      </c>
      <c r="O592" s="189">
        <f>IF(OR($N518="RESTRINGIDO", $N517="RESTRINGIDO"), 0, O481)</f>
        <v/>
      </c>
      <c r="P592" s="189">
        <f>IF($N518="RESTRINGIDO", 1, IF(OR($N518="", $C481=""), 1, P481))</f>
        <v/>
      </c>
      <c r="Q592" s="189">
        <f>IF(OR($N518="RESTRINGIDO", $N519="RESTRINGIDO"), 0, Q481)</f>
        <v/>
      </c>
      <c r="R592" s="189">
        <f>IF(OR($N518="RESTRINGIDO", $N520="RESTRINGIDO"), 0, R481)</f>
        <v/>
      </c>
      <c r="S592" s="189">
        <f>IF(OR($N518="RESTRINGIDO", $N521="RESTRINGIDO"), 0, S481)</f>
        <v/>
      </c>
      <c r="T592" s="189">
        <f>IF(OR($N518="RESTRINGIDO", $N522="RESTRINGIDO"), 0, T481)</f>
        <v/>
      </c>
      <c r="U592" s="189">
        <f>IF(OR($N518="RESTRINGIDO", $N523="RESTRINGIDO"), 0, U481)</f>
        <v/>
      </c>
      <c r="V592" s="189">
        <f>IF(OR($N518="RESTRINGIDO", $N524="RESTRINGIDO"), 0, V481)</f>
        <v/>
      </c>
      <c r="W592" s="189">
        <f>IF(OR($N518="RESTRINGIDO", $N525="RESTRINGIDO"), 0, W481)</f>
        <v/>
      </c>
      <c r="X592" s="189">
        <f>IF(OR($N518="RESTRINGIDO", $N526="RESTRINGIDO"), 0, X481)</f>
        <v/>
      </c>
      <c r="Y592" s="189">
        <f>IF(OR($N518="RESTRINGIDO", $N527="RESTRINGIDO"), 0, Y481)</f>
        <v/>
      </c>
      <c r="Z592" s="189">
        <f>IF(OR($N518="RESTRINGIDO", $N528="RESTRINGIDO"), 0, Z481)</f>
        <v/>
      </c>
      <c r="AA592" s="189">
        <f>IF(OR($N518="RESTRINGIDO", $N529="RESTRINGIDO"), 0, AA481)</f>
        <v/>
      </c>
      <c r="AB592" s="189">
        <f>IF(OR($N518="RESTRINGIDO", $N530="RESTRINGIDO"), 0, AB481)</f>
        <v/>
      </c>
      <c r="AC592" s="189">
        <f>IF(OR($N518="RESTRINGIDO", $N531="RESTRINGIDO"), 0, AC481)</f>
        <v/>
      </c>
      <c r="AD592" s="189">
        <f>IF(OR($N518="RESTRINGIDO", $N532="RESTRINGIDO"), 0, AD481)</f>
        <v/>
      </c>
      <c r="AE592" s="189">
        <f>IF(OR($N518="RESTRINGIDO", $N533="RESTRINGIDO"), 0, AE481)</f>
        <v/>
      </c>
      <c r="AF592" s="189">
        <f>IF(OR($N518="RESTRINGIDO", $N534="RESTRINGIDO"), 0, AF481)</f>
        <v/>
      </c>
      <c r="AG592" s="189">
        <f>IF(OR($N518="RESTRINGIDO", $N535="RESTRINGIDO"), 0, AG481)</f>
        <v/>
      </c>
      <c r="AH592" s="189">
        <f>IF(OR($N518="RESTRINGIDO", $N536="RESTRINGIDO"), 0, AH481)</f>
        <v/>
      </c>
      <c r="AJ592" s="189">
        <f>IF($N518="LIBRE", IF(ISNUMBER(E518), E518, 0), 0)</f>
        <v/>
      </c>
      <c r="AL592" s="188" t="n">
        <v>0</v>
      </c>
      <c r="AN592" s="188" t="n">
        <v>0</v>
      </c>
    </row>
    <row r="593">
      <c r="B593" s="189">
        <f>IF(OR($N519="RESTRINGIDO", $N504="RESTRINGIDO"), 0, B482)</f>
        <v/>
      </c>
      <c r="C593" s="189">
        <f>IF(OR($N519="RESTRINGIDO", $N505="RESTRINGIDO"), 0, C482)</f>
        <v/>
      </c>
      <c r="D593" s="189">
        <f>IF(OR($N519="RESTRINGIDO", $N506="RESTRINGIDO"), 0, D482)</f>
        <v/>
      </c>
      <c r="E593" s="189">
        <f>IF(OR($N519="RESTRINGIDO", $N507="RESTRINGIDO"), 0, E482)</f>
        <v/>
      </c>
      <c r="F593" s="189">
        <f>IF(OR($N519="RESTRINGIDO", $N508="RESTRINGIDO"), 0, F482)</f>
        <v/>
      </c>
      <c r="G593" s="189">
        <f>IF(OR($N519="RESTRINGIDO", $N509="RESTRINGIDO"), 0, G482)</f>
        <v/>
      </c>
      <c r="H593" s="189">
        <f>IF(OR($N519="RESTRINGIDO", $N510="RESTRINGIDO"), 0, H482)</f>
        <v/>
      </c>
      <c r="I593" s="189">
        <f>IF(OR($N519="RESTRINGIDO", $N511="RESTRINGIDO"), 0, I482)</f>
        <v/>
      </c>
      <c r="J593" s="189">
        <f>IF(OR($N519="RESTRINGIDO", $N512="RESTRINGIDO"), 0, J482)</f>
        <v/>
      </c>
      <c r="K593" s="189">
        <f>IF(OR($N519="RESTRINGIDO", $N513="RESTRINGIDO"), 0, K482)</f>
        <v/>
      </c>
      <c r="L593" s="189">
        <f>IF(OR($N519="RESTRINGIDO", $N514="RESTRINGIDO"), 0, L482)</f>
        <v/>
      </c>
      <c r="M593" s="189">
        <f>IF(OR($N519="RESTRINGIDO", $N515="RESTRINGIDO"), 0, M482)</f>
        <v/>
      </c>
      <c r="N593" s="189">
        <f>IF(OR($N519="RESTRINGIDO", $N516="RESTRINGIDO"), 0, N482)</f>
        <v/>
      </c>
      <c r="O593" s="189">
        <f>IF(OR($N519="RESTRINGIDO", $N517="RESTRINGIDO"), 0, O482)</f>
        <v/>
      </c>
      <c r="P593" s="189">
        <f>IF(OR($N519="RESTRINGIDO", $N518="RESTRINGIDO"), 0, P482)</f>
        <v/>
      </c>
      <c r="Q593" s="189">
        <f>IF($N519="RESTRINGIDO", 1, IF(OR($N519="", $C482=""), 1, Q482))</f>
        <v/>
      </c>
      <c r="R593" s="189">
        <f>IF(OR($N519="RESTRINGIDO", $N520="RESTRINGIDO"), 0, R482)</f>
        <v/>
      </c>
      <c r="S593" s="189">
        <f>IF(OR($N519="RESTRINGIDO", $N521="RESTRINGIDO"), 0, S482)</f>
        <v/>
      </c>
      <c r="T593" s="189">
        <f>IF(OR($N519="RESTRINGIDO", $N522="RESTRINGIDO"), 0, T482)</f>
        <v/>
      </c>
      <c r="U593" s="189">
        <f>IF(OR($N519="RESTRINGIDO", $N523="RESTRINGIDO"), 0, U482)</f>
        <v/>
      </c>
      <c r="V593" s="189">
        <f>IF(OR($N519="RESTRINGIDO", $N524="RESTRINGIDO"), 0, V482)</f>
        <v/>
      </c>
      <c r="W593" s="189">
        <f>IF(OR($N519="RESTRINGIDO", $N525="RESTRINGIDO"), 0, W482)</f>
        <v/>
      </c>
      <c r="X593" s="189">
        <f>IF(OR($N519="RESTRINGIDO", $N526="RESTRINGIDO"), 0, X482)</f>
        <v/>
      </c>
      <c r="Y593" s="189">
        <f>IF(OR($N519="RESTRINGIDO", $N527="RESTRINGIDO"), 0, Y482)</f>
        <v/>
      </c>
      <c r="Z593" s="189">
        <f>IF(OR($N519="RESTRINGIDO", $N528="RESTRINGIDO"), 0, Z482)</f>
        <v/>
      </c>
      <c r="AA593" s="189">
        <f>IF(OR($N519="RESTRINGIDO", $N529="RESTRINGIDO"), 0, AA482)</f>
        <v/>
      </c>
      <c r="AB593" s="189">
        <f>IF(OR($N519="RESTRINGIDO", $N530="RESTRINGIDO"), 0, AB482)</f>
        <v/>
      </c>
      <c r="AC593" s="189">
        <f>IF(OR($N519="RESTRINGIDO", $N531="RESTRINGIDO"), 0, AC482)</f>
        <v/>
      </c>
      <c r="AD593" s="189">
        <f>IF(OR($N519="RESTRINGIDO", $N532="RESTRINGIDO"), 0, AD482)</f>
        <v/>
      </c>
      <c r="AE593" s="189">
        <f>IF(OR($N519="RESTRINGIDO", $N533="RESTRINGIDO"), 0, AE482)</f>
        <v/>
      </c>
      <c r="AF593" s="189">
        <f>IF(OR($N519="RESTRINGIDO", $N534="RESTRINGIDO"), 0, AF482)</f>
        <v/>
      </c>
      <c r="AG593" s="189">
        <f>IF(OR($N519="RESTRINGIDO", $N535="RESTRINGIDO"), 0, AG482)</f>
        <v/>
      </c>
      <c r="AH593" s="189">
        <f>IF(OR($N519="RESTRINGIDO", $N536="RESTRINGIDO"), 0, AH482)</f>
        <v/>
      </c>
      <c r="AJ593" s="189">
        <f>IF($N519="LIBRE", IF(ISNUMBER(E519), E519, 0), 0)</f>
        <v/>
      </c>
      <c r="AL593" s="188" t="n">
        <v>0</v>
      </c>
      <c r="AN593" s="188" t="n">
        <v>0</v>
      </c>
    </row>
    <row r="594">
      <c r="B594" s="189">
        <f>IF(OR($N520="RESTRINGIDO", $N504="RESTRINGIDO"), 0, B483)</f>
        <v/>
      </c>
      <c r="C594" s="189">
        <f>IF(OR($N520="RESTRINGIDO", $N505="RESTRINGIDO"), 0, C483)</f>
        <v/>
      </c>
      <c r="D594" s="189">
        <f>IF(OR($N520="RESTRINGIDO", $N506="RESTRINGIDO"), 0, D483)</f>
        <v/>
      </c>
      <c r="E594" s="189">
        <f>IF(OR($N520="RESTRINGIDO", $N507="RESTRINGIDO"), 0, E483)</f>
        <v/>
      </c>
      <c r="F594" s="189">
        <f>IF(OR($N520="RESTRINGIDO", $N508="RESTRINGIDO"), 0, F483)</f>
        <v/>
      </c>
      <c r="G594" s="189">
        <f>IF(OR($N520="RESTRINGIDO", $N509="RESTRINGIDO"), 0, G483)</f>
        <v/>
      </c>
      <c r="H594" s="189">
        <f>IF(OR($N520="RESTRINGIDO", $N510="RESTRINGIDO"), 0, H483)</f>
        <v/>
      </c>
      <c r="I594" s="189">
        <f>IF(OR($N520="RESTRINGIDO", $N511="RESTRINGIDO"), 0, I483)</f>
        <v/>
      </c>
      <c r="J594" s="189">
        <f>IF(OR($N520="RESTRINGIDO", $N512="RESTRINGIDO"), 0, J483)</f>
        <v/>
      </c>
      <c r="K594" s="189">
        <f>IF(OR($N520="RESTRINGIDO", $N513="RESTRINGIDO"), 0, K483)</f>
        <v/>
      </c>
      <c r="L594" s="189">
        <f>IF(OR($N520="RESTRINGIDO", $N514="RESTRINGIDO"), 0, L483)</f>
        <v/>
      </c>
      <c r="M594" s="189">
        <f>IF(OR($N520="RESTRINGIDO", $N515="RESTRINGIDO"), 0, M483)</f>
        <v/>
      </c>
      <c r="N594" s="189">
        <f>IF(OR($N520="RESTRINGIDO", $N516="RESTRINGIDO"), 0, N483)</f>
        <v/>
      </c>
      <c r="O594" s="189">
        <f>IF(OR($N520="RESTRINGIDO", $N517="RESTRINGIDO"), 0, O483)</f>
        <v/>
      </c>
      <c r="P594" s="189">
        <f>IF(OR($N520="RESTRINGIDO", $N518="RESTRINGIDO"), 0, P483)</f>
        <v/>
      </c>
      <c r="Q594" s="189">
        <f>IF(OR($N520="RESTRINGIDO", $N519="RESTRINGIDO"), 0, Q483)</f>
        <v/>
      </c>
      <c r="R594" s="189">
        <f>IF($N520="RESTRINGIDO", 1, IF(OR($N520="", $C483=""), 1, R483))</f>
        <v/>
      </c>
      <c r="S594" s="189">
        <f>IF(OR($N520="RESTRINGIDO", $N521="RESTRINGIDO"), 0, S483)</f>
        <v/>
      </c>
      <c r="T594" s="189">
        <f>IF(OR($N520="RESTRINGIDO", $N522="RESTRINGIDO"), 0, T483)</f>
        <v/>
      </c>
      <c r="U594" s="189">
        <f>IF(OR($N520="RESTRINGIDO", $N523="RESTRINGIDO"), 0, U483)</f>
        <v/>
      </c>
      <c r="V594" s="189">
        <f>IF(OR($N520="RESTRINGIDO", $N524="RESTRINGIDO"), 0, V483)</f>
        <v/>
      </c>
      <c r="W594" s="189">
        <f>IF(OR($N520="RESTRINGIDO", $N525="RESTRINGIDO"), 0, W483)</f>
        <v/>
      </c>
      <c r="X594" s="189">
        <f>IF(OR($N520="RESTRINGIDO", $N526="RESTRINGIDO"), 0, X483)</f>
        <v/>
      </c>
      <c r="Y594" s="189">
        <f>IF(OR($N520="RESTRINGIDO", $N527="RESTRINGIDO"), 0, Y483)</f>
        <v/>
      </c>
      <c r="Z594" s="189">
        <f>IF(OR($N520="RESTRINGIDO", $N528="RESTRINGIDO"), 0, Z483)</f>
        <v/>
      </c>
      <c r="AA594" s="189">
        <f>IF(OR($N520="RESTRINGIDO", $N529="RESTRINGIDO"), 0, AA483)</f>
        <v/>
      </c>
      <c r="AB594" s="189">
        <f>IF(OR($N520="RESTRINGIDO", $N530="RESTRINGIDO"), 0, AB483)</f>
        <v/>
      </c>
      <c r="AC594" s="189">
        <f>IF(OR($N520="RESTRINGIDO", $N531="RESTRINGIDO"), 0, AC483)</f>
        <v/>
      </c>
      <c r="AD594" s="189">
        <f>IF(OR($N520="RESTRINGIDO", $N532="RESTRINGIDO"), 0, AD483)</f>
        <v/>
      </c>
      <c r="AE594" s="189">
        <f>IF(OR($N520="RESTRINGIDO", $N533="RESTRINGIDO"), 0, AE483)</f>
        <v/>
      </c>
      <c r="AF594" s="189">
        <f>IF(OR($N520="RESTRINGIDO", $N534="RESTRINGIDO"), 0, AF483)</f>
        <v/>
      </c>
      <c r="AG594" s="189">
        <f>IF(OR($N520="RESTRINGIDO", $N535="RESTRINGIDO"), 0, AG483)</f>
        <v/>
      </c>
      <c r="AH594" s="189">
        <f>IF(OR($N520="RESTRINGIDO", $N536="RESTRINGIDO"), 0, AH483)</f>
        <v/>
      </c>
      <c r="AJ594" s="189">
        <f>IF($N520="LIBRE", IF(ISNUMBER(E520), E520, 0), 0)</f>
        <v/>
      </c>
      <c r="AL594" s="188" t="n">
        <v>0</v>
      </c>
      <c r="AN594" s="188" t="n">
        <v>0</v>
      </c>
    </row>
    <row r="595">
      <c r="B595" s="189">
        <f>IF(OR($N521="RESTRINGIDO", $N504="RESTRINGIDO"), 0, B484)</f>
        <v/>
      </c>
      <c r="C595" s="189">
        <f>IF(OR($N521="RESTRINGIDO", $N505="RESTRINGIDO"), 0, C484)</f>
        <v/>
      </c>
      <c r="D595" s="189">
        <f>IF(OR($N521="RESTRINGIDO", $N506="RESTRINGIDO"), 0, D484)</f>
        <v/>
      </c>
      <c r="E595" s="189">
        <f>IF(OR($N521="RESTRINGIDO", $N507="RESTRINGIDO"), 0, E484)</f>
        <v/>
      </c>
      <c r="F595" s="189">
        <f>IF(OR($N521="RESTRINGIDO", $N508="RESTRINGIDO"), 0, F484)</f>
        <v/>
      </c>
      <c r="G595" s="189">
        <f>IF(OR($N521="RESTRINGIDO", $N509="RESTRINGIDO"), 0, G484)</f>
        <v/>
      </c>
      <c r="H595" s="189">
        <f>IF(OR($N521="RESTRINGIDO", $N510="RESTRINGIDO"), 0, H484)</f>
        <v/>
      </c>
      <c r="I595" s="189">
        <f>IF(OR($N521="RESTRINGIDO", $N511="RESTRINGIDO"), 0, I484)</f>
        <v/>
      </c>
      <c r="J595" s="189">
        <f>IF(OR($N521="RESTRINGIDO", $N512="RESTRINGIDO"), 0, J484)</f>
        <v/>
      </c>
      <c r="K595" s="189">
        <f>IF(OR($N521="RESTRINGIDO", $N513="RESTRINGIDO"), 0, K484)</f>
        <v/>
      </c>
      <c r="L595" s="189">
        <f>IF(OR($N521="RESTRINGIDO", $N514="RESTRINGIDO"), 0, L484)</f>
        <v/>
      </c>
      <c r="M595" s="189">
        <f>IF(OR($N521="RESTRINGIDO", $N515="RESTRINGIDO"), 0, M484)</f>
        <v/>
      </c>
      <c r="N595" s="189">
        <f>IF(OR($N521="RESTRINGIDO", $N516="RESTRINGIDO"), 0, N484)</f>
        <v/>
      </c>
      <c r="O595" s="189">
        <f>IF(OR($N521="RESTRINGIDO", $N517="RESTRINGIDO"), 0, O484)</f>
        <v/>
      </c>
      <c r="P595" s="189">
        <f>IF(OR($N521="RESTRINGIDO", $N518="RESTRINGIDO"), 0, P484)</f>
        <v/>
      </c>
      <c r="Q595" s="189">
        <f>IF(OR($N521="RESTRINGIDO", $N519="RESTRINGIDO"), 0, Q484)</f>
        <v/>
      </c>
      <c r="R595" s="189">
        <f>IF(OR($N521="RESTRINGIDO", $N520="RESTRINGIDO"), 0, R484)</f>
        <v/>
      </c>
      <c r="S595" s="189">
        <f>IF($N521="RESTRINGIDO", 1, IF(OR($N521="", $C484=""), 1, S484))</f>
        <v/>
      </c>
      <c r="T595" s="189">
        <f>IF(OR($N521="RESTRINGIDO", $N522="RESTRINGIDO"), 0, T484)</f>
        <v/>
      </c>
      <c r="U595" s="189">
        <f>IF(OR($N521="RESTRINGIDO", $N523="RESTRINGIDO"), 0, U484)</f>
        <v/>
      </c>
      <c r="V595" s="189">
        <f>IF(OR($N521="RESTRINGIDO", $N524="RESTRINGIDO"), 0, V484)</f>
        <v/>
      </c>
      <c r="W595" s="189">
        <f>IF(OR($N521="RESTRINGIDO", $N525="RESTRINGIDO"), 0, W484)</f>
        <v/>
      </c>
      <c r="X595" s="189">
        <f>IF(OR($N521="RESTRINGIDO", $N526="RESTRINGIDO"), 0, X484)</f>
        <v/>
      </c>
      <c r="Y595" s="189">
        <f>IF(OR($N521="RESTRINGIDO", $N527="RESTRINGIDO"), 0, Y484)</f>
        <v/>
      </c>
      <c r="Z595" s="189">
        <f>IF(OR($N521="RESTRINGIDO", $N528="RESTRINGIDO"), 0, Z484)</f>
        <v/>
      </c>
      <c r="AA595" s="189">
        <f>IF(OR($N521="RESTRINGIDO", $N529="RESTRINGIDO"), 0, AA484)</f>
        <v/>
      </c>
      <c r="AB595" s="189">
        <f>IF(OR($N521="RESTRINGIDO", $N530="RESTRINGIDO"), 0, AB484)</f>
        <v/>
      </c>
      <c r="AC595" s="189">
        <f>IF(OR($N521="RESTRINGIDO", $N531="RESTRINGIDO"), 0, AC484)</f>
        <v/>
      </c>
      <c r="AD595" s="189">
        <f>IF(OR($N521="RESTRINGIDO", $N532="RESTRINGIDO"), 0, AD484)</f>
        <v/>
      </c>
      <c r="AE595" s="189">
        <f>IF(OR($N521="RESTRINGIDO", $N533="RESTRINGIDO"), 0, AE484)</f>
        <v/>
      </c>
      <c r="AF595" s="189">
        <f>IF(OR($N521="RESTRINGIDO", $N534="RESTRINGIDO"), 0, AF484)</f>
        <v/>
      </c>
      <c r="AG595" s="189">
        <f>IF(OR($N521="RESTRINGIDO", $N535="RESTRINGIDO"), 0, AG484)</f>
        <v/>
      </c>
      <c r="AH595" s="189">
        <f>IF(OR($N521="RESTRINGIDO", $N536="RESTRINGIDO"), 0, AH484)</f>
        <v/>
      </c>
      <c r="AJ595" s="189">
        <f>IF($N521="LIBRE", IF(ISNUMBER(E521), E521, 0), 0)</f>
        <v/>
      </c>
      <c r="AL595" s="188" t="n">
        <v>0</v>
      </c>
      <c r="AN595" s="188" t="n">
        <v>0</v>
      </c>
    </row>
    <row r="596">
      <c r="B596" s="189">
        <f>IF(OR($N522="RESTRINGIDO", $N504="RESTRINGIDO"), 0, B485)</f>
        <v/>
      </c>
      <c r="C596" s="189">
        <f>IF(OR($N522="RESTRINGIDO", $N505="RESTRINGIDO"), 0, C485)</f>
        <v/>
      </c>
      <c r="D596" s="189">
        <f>IF(OR($N522="RESTRINGIDO", $N506="RESTRINGIDO"), 0, D485)</f>
        <v/>
      </c>
      <c r="E596" s="189">
        <f>IF(OR($N522="RESTRINGIDO", $N507="RESTRINGIDO"), 0, E485)</f>
        <v/>
      </c>
      <c r="F596" s="189">
        <f>IF(OR($N522="RESTRINGIDO", $N508="RESTRINGIDO"), 0, F485)</f>
        <v/>
      </c>
      <c r="G596" s="189">
        <f>IF(OR($N522="RESTRINGIDO", $N509="RESTRINGIDO"), 0, G485)</f>
        <v/>
      </c>
      <c r="H596" s="189">
        <f>IF(OR($N522="RESTRINGIDO", $N510="RESTRINGIDO"), 0, H485)</f>
        <v/>
      </c>
      <c r="I596" s="189">
        <f>IF(OR($N522="RESTRINGIDO", $N511="RESTRINGIDO"), 0, I485)</f>
        <v/>
      </c>
      <c r="J596" s="189">
        <f>IF(OR($N522="RESTRINGIDO", $N512="RESTRINGIDO"), 0, J485)</f>
        <v/>
      </c>
      <c r="K596" s="189">
        <f>IF(OR($N522="RESTRINGIDO", $N513="RESTRINGIDO"), 0, K485)</f>
        <v/>
      </c>
      <c r="L596" s="189">
        <f>IF(OR($N522="RESTRINGIDO", $N514="RESTRINGIDO"), 0, L485)</f>
        <v/>
      </c>
      <c r="M596" s="189">
        <f>IF(OR($N522="RESTRINGIDO", $N515="RESTRINGIDO"), 0, M485)</f>
        <v/>
      </c>
      <c r="N596" s="189">
        <f>IF(OR($N522="RESTRINGIDO", $N516="RESTRINGIDO"), 0, N485)</f>
        <v/>
      </c>
      <c r="O596" s="189">
        <f>IF(OR($N522="RESTRINGIDO", $N517="RESTRINGIDO"), 0, O485)</f>
        <v/>
      </c>
      <c r="P596" s="189">
        <f>IF(OR($N522="RESTRINGIDO", $N518="RESTRINGIDO"), 0, P485)</f>
        <v/>
      </c>
      <c r="Q596" s="189">
        <f>IF(OR($N522="RESTRINGIDO", $N519="RESTRINGIDO"), 0, Q485)</f>
        <v/>
      </c>
      <c r="R596" s="189">
        <f>IF(OR($N522="RESTRINGIDO", $N520="RESTRINGIDO"), 0, R485)</f>
        <v/>
      </c>
      <c r="S596" s="189">
        <f>IF(OR($N522="RESTRINGIDO", $N521="RESTRINGIDO"), 0, S485)</f>
        <v/>
      </c>
      <c r="T596" s="189">
        <f>IF($N522="RESTRINGIDO", 1, IF(OR($N522="", $C485=""), 1, T485))</f>
        <v/>
      </c>
      <c r="U596" s="189">
        <f>IF(OR($N522="RESTRINGIDO", $N523="RESTRINGIDO"), 0, U485)</f>
        <v/>
      </c>
      <c r="V596" s="189">
        <f>IF(OR($N522="RESTRINGIDO", $N524="RESTRINGIDO"), 0, V485)</f>
        <v/>
      </c>
      <c r="W596" s="189">
        <f>IF(OR($N522="RESTRINGIDO", $N525="RESTRINGIDO"), 0, W485)</f>
        <v/>
      </c>
      <c r="X596" s="189">
        <f>IF(OR($N522="RESTRINGIDO", $N526="RESTRINGIDO"), 0, X485)</f>
        <v/>
      </c>
      <c r="Y596" s="189">
        <f>IF(OR($N522="RESTRINGIDO", $N527="RESTRINGIDO"), 0, Y485)</f>
        <v/>
      </c>
      <c r="Z596" s="189">
        <f>IF(OR($N522="RESTRINGIDO", $N528="RESTRINGIDO"), 0, Z485)</f>
        <v/>
      </c>
      <c r="AA596" s="189">
        <f>IF(OR($N522="RESTRINGIDO", $N529="RESTRINGIDO"), 0, AA485)</f>
        <v/>
      </c>
      <c r="AB596" s="189">
        <f>IF(OR($N522="RESTRINGIDO", $N530="RESTRINGIDO"), 0, AB485)</f>
        <v/>
      </c>
      <c r="AC596" s="189">
        <f>IF(OR($N522="RESTRINGIDO", $N531="RESTRINGIDO"), 0, AC485)</f>
        <v/>
      </c>
      <c r="AD596" s="189">
        <f>IF(OR($N522="RESTRINGIDO", $N532="RESTRINGIDO"), 0, AD485)</f>
        <v/>
      </c>
      <c r="AE596" s="189">
        <f>IF(OR($N522="RESTRINGIDO", $N533="RESTRINGIDO"), 0, AE485)</f>
        <v/>
      </c>
      <c r="AF596" s="189">
        <f>IF(OR($N522="RESTRINGIDO", $N534="RESTRINGIDO"), 0, AF485)</f>
        <v/>
      </c>
      <c r="AG596" s="189">
        <f>IF(OR($N522="RESTRINGIDO", $N535="RESTRINGIDO"), 0, AG485)</f>
        <v/>
      </c>
      <c r="AH596" s="189">
        <f>IF(OR($N522="RESTRINGIDO", $N536="RESTRINGIDO"), 0, AH485)</f>
        <v/>
      </c>
      <c r="AJ596" s="189">
        <f>IF($N522="LIBRE", IF(ISNUMBER(E522), E522, 0), 0)</f>
        <v/>
      </c>
      <c r="AL596" s="188" t="n">
        <v>0</v>
      </c>
      <c r="AN596" s="188" t="n">
        <v>0</v>
      </c>
    </row>
    <row r="597">
      <c r="B597" s="189">
        <f>IF(OR($N523="RESTRINGIDO", $N504="RESTRINGIDO"), 0, B486)</f>
        <v/>
      </c>
      <c r="C597" s="189">
        <f>IF(OR($N523="RESTRINGIDO", $N505="RESTRINGIDO"), 0, C486)</f>
        <v/>
      </c>
      <c r="D597" s="189">
        <f>IF(OR($N523="RESTRINGIDO", $N506="RESTRINGIDO"), 0, D486)</f>
        <v/>
      </c>
      <c r="E597" s="189">
        <f>IF(OR($N523="RESTRINGIDO", $N507="RESTRINGIDO"), 0, E486)</f>
        <v/>
      </c>
      <c r="F597" s="189">
        <f>IF(OR($N523="RESTRINGIDO", $N508="RESTRINGIDO"), 0, F486)</f>
        <v/>
      </c>
      <c r="G597" s="189">
        <f>IF(OR($N523="RESTRINGIDO", $N509="RESTRINGIDO"), 0, G486)</f>
        <v/>
      </c>
      <c r="H597" s="189">
        <f>IF(OR($N523="RESTRINGIDO", $N510="RESTRINGIDO"), 0, H486)</f>
        <v/>
      </c>
      <c r="I597" s="189">
        <f>IF(OR($N523="RESTRINGIDO", $N511="RESTRINGIDO"), 0, I486)</f>
        <v/>
      </c>
      <c r="J597" s="189">
        <f>IF(OR($N523="RESTRINGIDO", $N512="RESTRINGIDO"), 0, J486)</f>
        <v/>
      </c>
      <c r="K597" s="189">
        <f>IF(OR($N523="RESTRINGIDO", $N513="RESTRINGIDO"), 0, K486)</f>
        <v/>
      </c>
      <c r="L597" s="189">
        <f>IF(OR($N523="RESTRINGIDO", $N514="RESTRINGIDO"), 0, L486)</f>
        <v/>
      </c>
      <c r="M597" s="189">
        <f>IF(OR($N523="RESTRINGIDO", $N515="RESTRINGIDO"), 0, M486)</f>
        <v/>
      </c>
      <c r="N597" s="189">
        <f>IF(OR($N523="RESTRINGIDO", $N516="RESTRINGIDO"), 0, N486)</f>
        <v/>
      </c>
      <c r="O597" s="189">
        <f>IF(OR($N523="RESTRINGIDO", $N517="RESTRINGIDO"), 0, O486)</f>
        <v/>
      </c>
      <c r="P597" s="189">
        <f>IF(OR($N523="RESTRINGIDO", $N518="RESTRINGIDO"), 0, P486)</f>
        <v/>
      </c>
      <c r="Q597" s="189">
        <f>IF(OR($N523="RESTRINGIDO", $N519="RESTRINGIDO"), 0, Q486)</f>
        <v/>
      </c>
      <c r="R597" s="189">
        <f>IF(OR($N523="RESTRINGIDO", $N520="RESTRINGIDO"), 0, R486)</f>
        <v/>
      </c>
      <c r="S597" s="189">
        <f>IF(OR($N523="RESTRINGIDO", $N521="RESTRINGIDO"), 0, S486)</f>
        <v/>
      </c>
      <c r="T597" s="189">
        <f>IF(OR($N523="RESTRINGIDO", $N522="RESTRINGIDO"), 0, T486)</f>
        <v/>
      </c>
      <c r="U597" s="189">
        <f>IF($N523="RESTRINGIDO", 1, IF(OR($N523="", $C486=""), 1, U486))</f>
        <v/>
      </c>
      <c r="V597" s="189">
        <f>IF(OR($N523="RESTRINGIDO", $N524="RESTRINGIDO"), 0, V486)</f>
        <v/>
      </c>
      <c r="W597" s="189">
        <f>IF(OR($N523="RESTRINGIDO", $N525="RESTRINGIDO"), 0, W486)</f>
        <v/>
      </c>
      <c r="X597" s="189">
        <f>IF(OR($N523="RESTRINGIDO", $N526="RESTRINGIDO"), 0, X486)</f>
        <v/>
      </c>
      <c r="Y597" s="189">
        <f>IF(OR($N523="RESTRINGIDO", $N527="RESTRINGIDO"), 0, Y486)</f>
        <v/>
      </c>
      <c r="Z597" s="189">
        <f>IF(OR($N523="RESTRINGIDO", $N528="RESTRINGIDO"), 0, Z486)</f>
        <v/>
      </c>
      <c r="AA597" s="189">
        <f>IF(OR($N523="RESTRINGIDO", $N529="RESTRINGIDO"), 0, AA486)</f>
        <v/>
      </c>
      <c r="AB597" s="189">
        <f>IF(OR($N523="RESTRINGIDO", $N530="RESTRINGIDO"), 0, AB486)</f>
        <v/>
      </c>
      <c r="AC597" s="189">
        <f>IF(OR($N523="RESTRINGIDO", $N531="RESTRINGIDO"), 0, AC486)</f>
        <v/>
      </c>
      <c r="AD597" s="189">
        <f>IF(OR($N523="RESTRINGIDO", $N532="RESTRINGIDO"), 0, AD486)</f>
        <v/>
      </c>
      <c r="AE597" s="189">
        <f>IF(OR($N523="RESTRINGIDO", $N533="RESTRINGIDO"), 0, AE486)</f>
        <v/>
      </c>
      <c r="AF597" s="189">
        <f>IF(OR($N523="RESTRINGIDO", $N534="RESTRINGIDO"), 0, AF486)</f>
        <v/>
      </c>
      <c r="AG597" s="189">
        <f>IF(OR($N523="RESTRINGIDO", $N535="RESTRINGIDO"), 0, AG486)</f>
        <v/>
      </c>
      <c r="AH597" s="189">
        <f>IF(OR($N523="RESTRINGIDO", $N536="RESTRINGIDO"), 0, AH486)</f>
        <v/>
      </c>
      <c r="AJ597" s="189">
        <f>IF($N523="LIBRE", IF(ISNUMBER(E523), E523, 0), 0)</f>
        <v/>
      </c>
      <c r="AL597" s="188" t="n">
        <v>0</v>
      </c>
      <c r="AN597" s="188" t="n">
        <v>0</v>
      </c>
    </row>
    <row r="598">
      <c r="B598" s="189">
        <f>IF(OR($N524="RESTRINGIDO", $N504="RESTRINGIDO"), 0, B487)</f>
        <v/>
      </c>
      <c r="C598" s="189">
        <f>IF(OR($N524="RESTRINGIDO", $N505="RESTRINGIDO"), 0, C487)</f>
        <v/>
      </c>
      <c r="D598" s="189">
        <f>IF(OR($N524="RESTRINGIDO", $N506="RESTRINGIDO"), 0, D487)</f>
        <v/>
      </c>
      <c r="E598" s="189">
        <f>IF(OR($N524="RESTRINGIDO", $N507="RESTRINGIDO"), 0, E487)</f>
        <v/>
      </c>
      <c r="F598" s="189">
        <f>IF(OR($N524="RESTRINGIDO", $N508="RESTRINGIDO"), 0, F487)</f>
        <v/>
      </c>
      <c r="G598" s="189">
        <f>IF(OR($N524="RESTRINGIDO", $N509="RESTRINGIDO"), 0, G487)</f>
        <v/>
      </c>
      <c r="H598" s="189">
        <f>IF(OR($N524="RESTRINGIDO", $N510="RESTRINGIDO"), 0, H487)</f>
        <v/>
      </c>
      <c r="I598" s="189">
        <f>IF(OR($N524="RESTRINGIDO", $N511="RESTRINGIDO"), 0, I487)</f>
        <v/>
      </c>
      <c r="J598" s="189">
        <f>IF(OR($N524="RESTRINGIDO", $N512="RESTRINGIDO"), 0, J487)</f>
        <v/>
      </c>
      <c r="K598" s="189">
        <f>IF(OR($N524="RESTRINGIDO", $N513="RESTRINGIDO"), 0, K487)</f>
        <v/>
      </c>
      <c r="L598" s="189">
        <f>IF(OR($N524="RESTRINGIDO", $N514="RESTRINGIDO"), 0, L487)</f>
        <v/>
      </c>
      <c r="M598" s="189">
        <f>IF(OR($N524="RESTRINGIDO", $N515="RESTRINGIDO"), 0, M487)</f>
        <v/>
      </c>
      <c r="N598" s="189">
        <f>IF(OR($N524="RESTRINGIDO", $N516="RESTRINGIDO"), 0, N487)</f>
        <v/>
      </c>
      <c r="O598" s="189">
        <f>IF(OR($N524="RESTRINGIDO", $N517="RESTRINGIDO"), 0, O487)</f>
        <v/>
      </c>
      <c r="P598" s="189">
        <f>IF(OR($N524="RESTRINGIDO", $N518="RESTRINGIDO"), 0, P487)</f>
        <v/>
      </c>
      <c r="Q598" s="189">
        <f>IF(OR($N524="RESTRINGIDO", $N519="RESTRINGIDO"), 0, Q487)</f>
        <v/>
      </c>
      <c r="R598" s="189">
        <f>IF(OR($N524="RESTRINGIDO", $N520="RESTRINGIDO"), 0, R487)</f>
        <v/>
      </c>
      <c r="S598" s="189">
        <f>IF(OR($N524="RESTRINGIDO", $N521="RESTRINGIDO"), 0, S487)</f>
        <v/>
      </c>
      <c r="T598" s="189">
        <f>IF(OR($N524="RESTRINGIDO", $N522="RESTRINGIDO"), 0, T487)</f>
        <v/>
      </c>
      <c r="U598" s="189">
        <f>IF(OR($N524="RESTRINGIDO", $N523="RESTRINGIDO"), 0, U487)</f>
        <v/>
      </c>
      <c r="V598" s="189">
        <f>IF($N524="RESTRINGIDO", 1, IF(OR($N524="", $C487=""), 1, V487))</f>
        <v/>
      </c>
      <c r="W598" s="189">
        <f>IF(OR($N524="RESTRINGIDO", $N525="RESTRINGIDO"), 0, W487)</f>
        <v/>
      </c>
      <c r="X598" s="189">
        <f>IF(OR($N524="RESTRINGIDO", $N526="RESTRINGIDO"), 0, X487)</f>
        <v/>
      </c>
      <c r="Y598" s="189">
        <f>IF(OR($N524="RESTRINGIDO", $N527="RESTRINGIDO"), 0, Y487)</f>
        <v/>
      </c>
      <c r="Z598" s="189">
        <f>IF(OR($N524="RESTRINGIDO", $N528="RESTRINGIDO"), 0, Z487)</f>
        <v/>
      </c>
      <c r="AA598" s="189">
        <f>IF(OR($N524="RESTRINGIDO", $N529="RESTRINGIDO"), 0, AA487)</f>
        <v/>
      </c>
      <c r="AB598" s="189">
        <f>IF(OR($N524="RESTRINGIDO", $N530="RESTRINGIDO"), 0, AB487)</f>
        <v/>
      </c>
      <c r="AC598" s="189">
        <f>IF(OR($N524="RESTRINGIDO", $N531="RESTRINGIDO"), 0, AC487)</f>
        <v/>
      </c>
      <c r="AD598" s="189">
        <f>IF(OR($N524="RESTRINGIDO", $N532="RESTRINGIDO"), 0, AD487)</f>
        <v/>
      </c>
      <c r="AE598" s="189">
        <f>IF(OR($N524="RESTRINGIDO", $N533="RESTRINGIDO"), 0, AE487)</f>
        <v/>
      </c>
      <c r="AF598" s="189">
        <f>IF(OR($N524="RESTRINGIDO", $N534="RESTRINGIDO"), 0, AF487)</f>
        <v/>
      </c>
      <c r="AG598" s="189">
        <f>IF(OR($N524="RESTRINGIDO", $N535="RESTRINGIDO"), 0, AG487)</f>
        <v/>
      </c>
      <c r="AH598" s="189">
        <f>IF(OR($N524="RESTRINGIDO", $N536="RESTRINGIDO"), 0, AH487)</f>
        <v/>
      </c>
      <c r="AJ598" s="189">
        <f>IF($N524="LIBRE", IF(ISNUMBER(E524), E524, 0), 0)</f>
        <v/>
      </c>
      <c r="AL598" s="188" t="n">
        <v>0</v>
      </c>
      <c r="AN598" s="188" t="n">
        <v>0</v>
      </c>
    </row>
    <row r="599">
      <c r="B599" s="189">
        <f>IF(OR($N525="RESTRINGIDO", $N504="RESTRINGIDO"), 0, B488)</f>
        <v/>
      </c>
      <c r="C599" s="189">
        <f>IF(OR($N525="RESTRINGIDO", $N505="RESTRINGIDO"), 0, C488)</f>
        <v/>
      </c>
      <c r="D599" s="189">
        <f>IF(OR($N525="RESTRINGIDO", $N506="RESTRINGIDO"), 0, D488)</f>
        <v/>
      </c>
      <c r="E599" s="189">
        <f>IF(OR($N525="RESTRINGIDO", $N507="RESTRINGIDO"), 0, E488)</f>
        <v/>
      </c>
      <c r="F599" s="189">
        <f>IF(OR($N525="RESTRINGIDO", $N508="RESTRINGIDO"), 0, F488)</f>
        <v/>
      </c>
      <c r="G599" s="189">
        <f>IF(OR($N525="RESTRINGIDO", $N509="RESTRINGIDO"), 0, G488)</f>
        <v/>
      </c>
      <c r="H599" s="189">
        <f>IF(OR($N525="RESTRINGIDO", $N510="RESTRINGIDO"), 0, H488)</f>
        <v/>
      </c>
      <c r="I599" s="189">
        <f>IF(OR($N525="RESTRINGIDO", $N511="RESTRINGIDO"), 0, I488)</f>
        <v/>
      </c>
      <c r="J599" s="189">
        <f>IF(OR($N525="RESTRINGIDO", $N512="RESTRINGIDO"), 0, J488)</f>
        <v/>
      </c>
      <c r="K599" s="189">
        <f>IF(OR($N525="RESTRINGIDO", $N513="RESTRINGIDO"), 0, K488)</f>
        <v/>
      </c>
      <c r="L599" s="189">
        <f>IF(OR($N525="RESTRINGIDO", $N514="RESTRINGIDO"), 0, L488)</f>
        <v/>
      </c>
      <c r="M599" s="189">
        <f>IF(OR($N525="RESTRINGIDO", $N515="RESTRINGIDO"), 0, M488)</f>
        <v/>
      </c>
      <c r="N599" s="189">
        <f>IF(OR($N525="RESTRINGIDO", $N516="RESTRINGIDO"), 0, N488)</f>
        <v/>
      </c>
      <c r="O599" s="189">
        <f>IF(OR($N525="RESTRINGIDO", $N517="RESTRINGIDO"), 0, O488)</f>
        <v/>
      </c>
      <c r="P599" s="189">
        <f>IF(OR($N525="RESTRINGIDO", $N518="RESTRINGIDO"), 0, P488)</f>
        <v/>
      </c>
      <c r="Q599" s="189">
        <f>IF(OR($N525="RESTRINGIDO", $N519="RESTRINGIDO"), 0, Q488)</f>
        <v/>
      </c>
      <c r="R599" s="189">
        <f>IF(OR($N525="RESTRINGIDO", $N520="RESTRINGIDO"), 0, R488)</f>
        <v/>
      </c>
      <c r="S599" s="189">
        <f>IF(OR($N525="RESTRINGIDO", $N521="RESTRINGIDO"), 0, S488)</f>
        <v/>
      </c>
      <c r="T599" s="189">
        <f>IF(OR($N525="RESTRINGIDO", $N522="RESTRINGIDO"), 0, T488)</f>
        <v/>
      </c>
      <c r="U599" s="189">
        <f>IF(OR($N525="RESTRINGIDO", $N523="RESTRINGIDO"), 0, U488)</f>
        <v/>
      </c>
      <c r="V599" s="189">
        <f>IF(OR($N525="RESTRINGIDO", $N524="RESTRINGIDO"), 0, V488)</f>
        <v/>
      </c>
      <c r="W599" s="189">
        <f>IF($N525="RESTRINGIDO", 1, IF(OR($N525="", $C488=""), 1, W488))</f>
        <v/>
      </c>
      <c r="X599" s="189">
        <f>IF(OR($N525="RESTRINGIDO", $N526="RESTRINGIDO"), 0, X488)</f>
        <v/>
      </c>
      <c r="Y599" s="189">
        <f>IF(OR($N525="RESTRINGIDO", $N527="RESTRINGIDO"), 0, Y488)</f>
        <v/>
      </c>
      <c r="Z599" s="189">
        <f>IF(OR($N525="RESTRINGIDO", $N528="RESTRINGIDO"), 0, Z488)</f>
        <v/>
      </c>
      <c r="AA599" s="189">
        <f>IF(OR($N525="RESTRINGIDO", $N529="RESTRINGIDO"), 0, AA488)</f>
        <v/>
      </c>
      <c r="AB599" s="189">
        <f>IF(OR($N525="RESTRINGIDO", $N530="RESTRINGIDO"), 0, AB488)</f>
        <v/>
      </c>
      <c r="AC599" s="189">
        <f>IF(OR($N525="RESTRINGIDO", $N531="RESTRINGIDO"), 0, AC488)</f>
        <v/>
      </c>
      <c r="AD599" s="189">
        <f>IF(OR($N525="RESTRINGIDO", $N532="RESTRINGIDO"), 0, AD488)</f>
        <v/>
      </c>
      <c r="AE599" s="189">
        <f>IF(OR($N525="RESTRINGIDO", $N533="RESTRINGIDO"), 0, AE488)</f>
        <v/>
      </c>
      <c r="AF599" s="189">
        <f>IF(OR($N525="RESTRINGIDO", $N534="RESTRINGIDO"), 0, AF488)</f>
        <v/>
      </c>
      <c r="AG599" s="189">
        <f>IF(OR($N525="RESTRINGIDO", $N535="RESTRINGIDO"), 0, AG488)</f>
        <v/>
      </c>
      <c r="AH599" s="189">
        <f>IF(OR($N525="RESTRINGIDO", $N536="RESTRINGIDO"), 0, AH488)</f>
        <v/>
      </c>
      <c r="AJ599" s="189">
        <f>IF($N525="LIBRE", IF(ISNUMBER(E525), E525, 0), 0)</f>
        <v/>
      </c>
      <c r="AL599" s="188" t="n">
        <v>0</v>
      </c>
      <c r="AN599" s="188" t="n">
        <v>0</v>
      </c>
    </row>
    <row r="600">
      <c r="B600" s="189">
        <f>IF(OR($N526="RESTRINGIDO", $N504="RESTRINGIDO"), 0, B489)</f>
        <v/>
      </c>
      <c r="C600" s="189">
        <f>IF(OR($N526="RESTRINGIDO", $N505="RESTRINGIDO"), 0, C489)</f>
        <v/>
      </c>
      <c r="D600" s="189">
        <f>IF(OR($N526="RESTRINGIDO", $N506="RESTRINGIDO"), 0, D489)</f>
        <v/>
      </c>
      <c r="E600" s="189">
        <f>IF(OR($N526="RESTRINGIDO", $N507="RESTRINGIDO"), 0, E489)</f>
        <v/>
      </c>
      <c r="F600" s="189">
        <f>IF(OR($N526="RESTRINGIDO", $N508="RESTRINGIDO"), 0, F489)</f>
        <v/>
      </c>
      <c r="G600" s="189">
        <f>IF(OR($N526="RESTRINGIDO", $N509="RESTRINGIDO"), 0, G489)</f>
        <v/>
      </c>
      <c r="H600" s="189">
        <f>IF(OR($N526="RESTRINGIDO", $N510="RESTRINGIDO"), 0, H489)</f>
        <v/>
      </c>
      <c r="I600" s="189">
        <f>IF(OR($N526="RESTRINGIDO", $N511="RESTRINGIDO"), 0, I489)</f>
        <v/>
      </c>
      <c r="J600" s="189">
        <f>IF(OR($N526="RESTRINGIDO", $N512="RESTRINGIDO"), 0, J489)</f>
        <v/>
      </c>
      <c r="K600" s="189">
        <f>IF(OR($N526="RESTRINGIDO", $N513="RESTRINGIDO"), 0, K489)</f>
        <v/>
      </c>
      <c r="L600" s="189">
        <f>IF(OR($N526="RESTRINGIDO", $N514="RESTRINGIDO"), 0, L489)</f>
        <v/>
      </c>
      <c r="M600" s="189">
        <f>IF(OR($N526="RESTRINGIDO", $N515="RESTRINGIDO"), 0, M489)</f>
        <v/>
      </c>
      <c r="N600" s="189">
        <f>IF(OR($N526="RESTRINGIDO", $N516="RESTRINGIDO"), 0, N489)</f>
        <v/>
      </c>
      <c r="O600" s="189">
        <f>IF(OR($N526="RESTRINGIDO", $N517="RESTRINGIDO"), 0, O489)</f>
        <v/>
      </c>
      <c r="P600" s="189">
        <f>IF(OR($N526="RESTRINGIDO", $N518="RESTRINGIDO"), 0, P489)</f>
        <v/>
      </c>
      <c r="Q600" s="189">
        <f>IF(OR($N526="RESTRINGIDO", $N519="RESTRINGIDO"), 0, Q489)</f>
        <v/>
      </c>
      <c r="R600" s="189">
        <f>IF(OR($N526="RESTRINGIDO", $N520="RESTRINGIDO"), 0, R489)</f>
        <v/>
      </c>
      <c r="S600" s="189">
        <f>IF(OR($N526="RESTRINGIDO", $N521="RESTRINGIDO"), 0, S489)</f>
        <v/>
      </c>
      <c r="T600" s="189">
        <f>IF(OR($N526="RESTRINGIDO", $N522="RESTRINGIDO"), 0, T489)</f>
        <v/>
      </c>
      <c r="U600" s="189">
        <f>IF(OR($N526="RESTRINGIDO", $N523="RESTRINGIDO"), 0, U489)</f>
        <v/>
      </c>
      <c r="V600" s="189">
        <f>IF(OR($N526="RESTRINGIDO", $N524="RESTRINGIDO"), 0, V489)</f>
        <v/>
      </c>
      <c r="W600" s="189">
        <f>IF(OR($N526="RESTRINGIDO", $N525="RESTRINGIDO"), 0, W489)</f>
        <v/>
      </c>
      <c r="X600" s="189">
        <f>IF($N526="RESTRINGIDO", 1, IF(OR($N526="", $C489=""), 1, X489))</f>
        <v/>
      </c>
      <c r="Y600" s="189">
        <f>IF(OR($N526="RESTRINGIDO", $N527="RESTRINGIDO"), 0, Y489)</f>
        <v/>
      </c>
      <c r="Z600" s="189">
        <f>IF(OR($N526="RESTRINGIDO", $N528="RESTRINGIDO"), 0, Z489)</f>
        <v/>
      </c>
      <c r="AA600" s="189">
        <f>IF(OR($N526="RESTRINGIDO", $N529="RESTRINGIDO"), 0, AA489)</f>
        <v/>
      </c>
      <c r="AB600" s="189">
        <f>IF(OR($N526="RESTRINGIDO", $N530="RESTRINGIDO"), 0, AB489)</f>
        <v/>
      </c>
      <c r="AC600" s="189">
        <f>IF(OR($N526="RESTRINGIDO", $N531="RESTRINGIDO"), 0, AC489)</f>
        <v/>
      </c>
      <c r="AD600" s="189">
        <f>IF(OR($N526="RESTRINGIDO", $N532="RESTRINGIDO"), 0, AD489)</f>
        <v/>
      </c>
      <c r="AE600" s="189">
        <f>IF(OR($N526="RESTRINGIDO", $N533="RESTRINGIDO"), 0, AE489)</f>
        <v/>
      </c>
      <c r="AF600" s="189">
        <f>IF(OR($N526="RESTRINGIDO", $N534="RESTRINGIDO"), 0, AF489)</f>
        <v/>
      </c>
      <c r="AG600" s="189">
        <f>IF(OR($N526="RESTRINGIDO", $N535="RESTRINGIDO"), 0, AG489)</f>
        <v/>
      </c>
      <c r="AH600" s="189">
        <f>IF(OR($N526="RESTRINGIDO", $N536="RESTRINGIDO"), 0, AH489)</f>
        <v/>
      </c>
      <c r="AJ600" s="189">
        <f>IF($N526="LIBRE", IF(ISNUMBER(E526), E526, 0), 0)</f>
        <v/>
      </c>
      <c r="AL600" s="188" t="n">
        <v>0</v>
      </c>
      <c r="AN600" s="188" t="n">
        <v>0</v>
      </c>
    </row>
    <row r="601">
      <c r="B601" s="189">
        <f>IF(OR($N527="RESTRINGIDO", $N504="RESTRINGIDO"), 0, B490)</f>
        <v/>
      </c>
      <c r="C601" s="189">
        <f>IF(OR($N527="RESTRINGIDO", $N505="RESTRINGIDO"), 0, C490)</f>
        <v/>
      </c>
      <c r="D601" s="189">
        <f>IF(OR($N527="RESTRINGIDO", $N506="RESTRINGIDO"), 0, D490)</f>
        <v/>
      </c>
      <c r="E601" s="189">
        <f>IF(OR($N527="RESTRINGIDO", $N507="RESTRINGIDO"), 0, E490)</f>
        <v/>
      </c>
      <c r="F601" s="189">
        <f>IF(OR($N527="RESTRINGIDO", $N508="RESTRINGIDO"), 0, F490)</f>
        <v/>
      </c>
      <c r="G601" s="189">
        <f>IF(OR($N527="RESTRINGIDO", $N509="RESTRINGIDO"), 0, G490)</f>
        <v/>
      </c>
      <c r="H601" s="189">
        <f>IF(OR($N527="RESTRINGIDO", $N510="RESTRINGIDO"), 0, H490)</f>
        <v/>
      </c>
      <c r="I601" s="189">
        <f>IF(OR($N527="RESTRINGIDO", $N511="RESTRINGIDO"), 0, I490)</f>
        <v/>
      </c>
      <c r="J601" s="189">
        <f>IF(OR($N527="RESTRINGIDO", $N512="RESTRINGIDO"), 0, J490)</f>
        <v/>
      </c>
      <c r="K601" s="189">
        <f>IF(OR($N527="RESTRINGIDO", $N513="RESTRINGIDO"), 0, K490)</f>
        <v/>
      </c>
      <c r="L601" s="189">
        <f>IF(OR($N527="RESTRINGIDO", $N514="RESTRINGIDO"), 0, L490)</f>
        <v/>
      </c>
      <c r="M601" s="189">
        <f>IF(OR($N527="RESTRINGIDO", $N515="RESTRINGIDO"), 0, M490)</f>
        <v/>
      </c>
      <c r="N601" s="189">
        <f>IF(OR($N527="RESTRINGIDO", $N516="RESTRINGIDO"), 0, N490)</f>
        <v/>
      </c>
      <c r="O601" s="189">
        <f>IF(OR($N527="RESTRINGIDO", $N517="RESTRINGIDO"), 0, O490)</f>
        <v/>
      </c>
      <c r="P601" s="189">
        <f>IF(OR($N527="RESTRINGIDO", $N518="RESTRINGIDO"), 0, P490)</f>
        <v/>
      </c>
      <c r="Q601" s="189">
        <f>IF(OR($N527="RESTRINGIDO", $N519="RESTRINGIDO"), 0, Q490)</f>
        <v/>
      </c>
      <c r="R601" s="189">
        <f>IF(OR($N527="RESTRINGIDO", $N520="RESTRINGIDO"), 0, R490)</f>
        <v/>
      </c>
      <c r="S601" s="189">
        <f>IF(OR($N527="RESTRINGIDO", $N521="RESTRINGIDO"), 0, S490)</f>
        <v/>
      </c>
      <c r="T601" s="189">
        <f>IF(OR($N527="RESTRINGIDO", $N522="RESTRINGIDO"), 0, T490)</f>
        <v/>
      </c>
      <c r="U601" s="189">
        <f>IF(OR($N527="RESTRINGIDO", $N523="RESTRINGIDO"), 0, U490)</f>
        <v/>
      </c>
      <c r="V601" s="189">
        <f>IF(OR($N527="RESTRINGIDO", $N524="RESTRINGIDO"), 0, V490)</f>
        <v/>
      </c>
      <c r="W601" s="189">
        <f>IF(OR($N527="RESTRINGIDO", $N525="RESTRINGIDO"), 0, W490)</f>
        <v/>
      </c>
      <c r="X601" s="189">
        <f>IF(OR($N527="RESTRINGIDO", $N526="RESTRINGIDO"), 0, X490)</f>
        <v/>
      </c>
      <c r="Y601" s="189">
        <f>IF($N527="RESTRINGIDO", 1, IF(OR($N527="", $C490=""), 1, Y490))</f>
        <v/>
      </c>
      <c r="Z601" s="189">
        <f>IF(OR($N527="RESTRINGIDO", $N528="RESTRINGIDO"), 0, Z490)</f>
        <v/>
      </c>
      <c r="AA601" s="189">
        <f>IF(OR($N527="RESTRINGIDO", $N529="RESTRINGIDO"), 0, AA490)</f>
        <v/>
      </c>
      <c r="AB601" s="189">
        <f>IF(OR($N527="RESTRINGIDO", $N530="RESTRINGIDO"), 0, AB490)</f>
        <v/>
      </c>
      <c r="AC601" s="189">
        <f>IF(OR($N527="RESTRINGIDO", $N531="RESTRINGIDO"), 0, AC490)</f>
        <v/>
      </c>
      <c r="AD601" s="189">
        <f>IF(OR($N527="RESTRINGIDO", $N532="RESTRINGIDO"), 0, AD490)</f>
        <v/>
      </c>
      <c r="AE601" s="189">
        <f>IF(OR($N527="RESTRINGIDO", $N533="RESTRINGIDO"), 0, AE490)</f>
        <v/>
      </c>
      <c r="AF601" s="189">
        <f>IF(OR($N527="RESTRINGIDO", $N534="RESTRINGIDO"), 0, AF490)</f>
        <v/>
      </c>
      <c r="AG601" s="189">
        <f>IF(OR($N527="RESTRINGIDO", $N535="RESTRINGIDO"), 0, AG490)</f>
        <v/>
      </c>
      <c r="AH601" s="189">
        <f>IF(OR($N527="RESTRINGIDO", $N536="RESTRINGIDO"), 0, AH490)</f>
        <v/>
      </c>
      <c r="AJ601" s="189">
        <f>IF($N527="LIBRE", IF(ISNUMBER(E527), E527, 0), 0)</f>
        <v/>
      </c>
      <c r="AL601" s="188" t="n">
        <v>0</v>
      </c>
      <c r="AN601" s="188" t="n">
        <v>0</v>
      </c>
    </row>
    <row r="602">
      <c r="B602" s="189">
        <f>IF(OR($N528="RESTRINGIDO", $N504="RESTRINGIDO"), 0, B491)</f>
        <v/>
      </c>
      <c r="C602" s="189">
        <f>IF(OR($N528="RESTRINGIDO", $N505="RESTRINGIDO"), 0, C491)</f>
        <v/>
      </c>
      <c r="D602" s="189">
        <f>IF(OR($N528="RESTRINGIDO", $N506="RESTRINGIDO"), 0, D491)</f>
        <v/>
      </c>
      <c r="E602" s="189">
        <f>IF(OR($N528="RESTRINGIDO", $N507="RESTRINGIDO"), 0, E491)</f>
        <v/>
      </c>
      <c r="F602" s="189">
        <f>IF(OR($N528="RESTRINGIDO", $N508="RESTRINGIDO"), 0, F491)</f>
        <v/>
      </c>
      <c r="G602" s="189">
        <f>IF(OR($N528="RESTRINGIDO", $N509="RESTRINGIDO"), 0, G491)</f>
        <v/>
      </c>
      <c r="H602" s="189">
        <f>IF(OR($N528="RESTRINGIDO", $N510="RESTRINGIDO"), 0, H491)</f>
        <v/>
      </c>
      <c r="I602" s="189">
        <f>IF(OR($N528="RESTRINGIDO", $N511="RESTRINGIDO"), 0, I491)</f>
        <v/>
      </c>
      <c r="J602" s="189">
        <f>IF(OR($N528="RESTRINGIDO", $N512="RESTRINGIDO"), 0, J491)</f>
        <v/>
      </c>
      <c r="K602" s="189">
        <f>IF(OR($N528="RESTRINGIDO", $N513="RESTRINGIDO"), 0, K491)</f>
        <v/>
      </c>
      <c r="L602" s="189">
        <f>IF(OR($N528="RESTRINGIDO", $N514="RESTRINGIDO"), 0, L491)</f>
        <v/>
      </c>
      <c r="M602" s="189">
        <f>IF(OR($N528="RESTRINGIDO", $N515="RESTRINGIDO"), 0, M491)</f>
        <v/>
      </c>
      <c r="N602" s="189">
        <f>IF(OR($N528="RESTRINGIDO", $N516="RESTRINGIDO"), 0, N491)</f>
        <v/>
      </c>
      <c r="O602" s="189">
        <f>IF(OR($N528="RESTRINGIDO", $N517="RESTRINGIDO"), 0, O491)</f>
        <v/>
      </c>
      <c r="P602" s="189">
        <f>IF(OR($N528="RESTRINGIDO", $N518="RESTRINGIDO"), 0, P491)</f>
        <v/>
      </c>
      <c r="Q602" s="189">
        <f>IF(OR($N528="RESTRINGIDO", $N519="RESTRINGIDO"), 0, Q491)</f>
        <v/>
      </c>
      <c r="R602" s="189">
        <f>IF(OR($N528="RESTRINGIDO", $N520="RESTRINGIDO"), 0, R491)</f>
        <v/>
      </c>
      <c r="S602" s="189">
        <f>IF(OR($N528="RESTRINGIDO", $N521="RESTRINGIDO"), 0, S491)</f>
        <v/>
      </c>
      <c r="T602" s="189">
        <f>IF(OR($N528="RESTRINGIDO", $N522="RESTRINGIDO"), 0, T491)</f>
        <v/>
      </c>
      <c r="U602" s="189">
        <f>IF(OR($N528="RESTRINGIDO", $N523="RESTRINGIDO"), 0, U491)</f>
        <v/>
      </c>
      <c r="V602" s="189">
        <f>IF(OR($N528="RESTRINGIDO", $N524="RESTRINGIDO"), 0, V491)</f>
        <v/>
      </c>
      <c r="W602" s="189">
        <f>IF(OR($N528="RESTRINGIDO", $N525="RESTRINGIDO"), 0, W491)</f>
        <v/>
      </c>
      <c r="X602" s="189">
        <f>IF(OR($N528="RESTRINGIDO", $N526="RESTRINGIDO"), 0, X491)</f>
        <v/>
      </c>
      <c r="Y602" s="189">
        <f>IF(OR($N528="RESTRINGIDO", $N527="RESTRINGIDO"), 0, Y491)</f>
        <v/>
      </c>
      <c r="Z602" s="189">
        <f>IF($N528="RESTRINGIDO", 1, IF(OR($N528="", $C491=""), 1, Z491))</f>
        <v/>
      </c>
      <c r="AA602" s="189">
        <f>IF(OR($N528="RESTRINGIDO", $N529="RESTRINGIDO"), 0, AA491)</f>
        <v/>
      </c>
      <c r="AB602" s="189">
        <f>IF(OR($N528="RESTRINGIDO", $N530="RESTRINGIDO"), 0, AB491)</f>
        <v/>
      </c>
      <c r="AC602" s="189">
        <f>IF(OR($N528="RESTRINGIDO", $N531="RESTRINGIDO"), 0, AC491)</f>
        <v/>
      </c>
      <c r="AD602" s="189">
        <f>IF(OR($N528="RESTRINGIDO", $N532="RESTRINGIDO"), 0, AD491)</f>
        <v/>
      </c>
      <c r="AE602" s="189">
        <f>IF(OR($N528="RESTRINGIDO", $N533="RESTRINGIDO"), 0, AE491)</f>
        <v/>
      </c>
      <c r="AF602" s="189">
        <f>IF(OR($N528="RESTRINGIDO", $N534="RESTRINGIDO"), 0, AF491)</f>
        <v/>
      </c>
      <c r="AG602" s="189">
        <f>IF(OR($N528="RESTRINGIDO", $N535="RESTRINGIDO"), 0, AG491)</f>
        <v/>
      </c>
      <c r="AH602" s="189">
        <f>IF(OR($N528="RESTRINGIDO", $N536="RESTRINGIDO"), 0, AH491)</f>
        <v/>
      </c>
      <c r="AJ602" s="189">
        <f>IF($N528="LIBRE", IF(ISNUMBER(E528), E528, 0), 0)</f>
        <v/>
      </c>
      <c r="AL602" s="188" t="n">
        <v>0</v>
      </c>
      <c r="AN602" s="188" t="n">
        <v>0</v>
      </c>
    </row>
    <row r="603">
      <c r="B603" s="189">
        <f>IF(OR($N529="RESTRINGIDO", $N504="RESTRINGIDO"), 0, B492)</f>
        <v/>
      </c>
      <c r="C603" s="189">
        <f>IF(OR($N529="RESTRINGIDO", $N505="RESTRINGIDO"), 0, C492)</f>
        <v/>
      </c>
      <c r="D603" s="189">
        <f>IF(OR($N529="RESTRINGIDO", $N506="RESTRINGIDO"), 0, D492)</f>
        <v/>
      </c>
      <c r="E603" s="189">
        <f>IF(OR($N529="RESTRINGIDO", $N507="RESTRINGIDO"), 0, E492)</f>
        <v/>
      </c>
      <c r="F603" s="189">
        <f>IF(OR($N529="RESTRINGIDO", $N508="RESTRINGIDO"), 0, F492)</f>
        <v/>
      </c>
      <c r="G603" s="189">
        <f>IF(OR($N529="RESTRINGIDO", $N509="RESTRINGIDO"), 0, G492)</f>
        <v/>
      </c>
      <c r="H603" s="189">
        <f>IF(OR($N529="RESTRINGIDO", $N510="RESTRINGIDO"), 0, H492)</f>
        <v/>
      </c>
      <c r="I603" s="189">
        <f>IF(OR($N529="RESTRINGIDO", $N511="RESTRINGIDO"), 0, I492)</f>
        <v/>
      </c>
      <c r="J603" s="189">
        <f>IF(OR($N529="RESTRINGIDO", $N512="RESTRINGIDO"), 0, J492)</f>
        <v/>
      </c>
      <c r="K603" s="189">
        <f>IF(OR($N529="RESTRINGIDO", $N513="RESTRINGIDO"), 0, K492)</f>
        <v/>
      </c>
      <c r="L603" s="189">
        <f>IF(OR($N529="RESTRINGIDO", $N514="RESTRINGIDO"), 0, L492)</f>
        <v/>
      </c>
      <c r="M603" s="189">
        <f>IF(OR($N529="RESTRINGIDO", $N515="RESTRINGIDO"), 0, M492)</f>
        <v/>
      </c>
      <c r="N603" s="189">
        <f>IF(OR($N529="RESTRINGIDO", $N516="RESTRINGIDO"), 0, N492)</f>
        <v/>
      </c>
      <c r="O603" s="189">
        <f>IF(OR($N529="RESTRINGIDO", $N517="RESTRINGIDO"), 0, O492)</f>
        <v/>
      </c>
      <c r="P603" s="189">
        <f>IF(OR($N529="RESTRINGIDO", $N518="RESTRINGIDO"), 0, P492)</f>
        <v/>
      </c>
      <c r="Q603" s="189">
        <f>IF(OR($N529="RESTRINGIDO", $N519="RESTRINGIDO"), 0, Q492)</f>
        <v/>
      </c>
      <c r="R603" s="189">
        <f>IF(OR($N529="RESTRINGIDO", $N520="RESTRINGIDO"), 0, R492)</f>
        <v/>
      </c>
      <c r="S603" s="189">
        <f>IF(OR($N529="RESTRINGIDO", $N521="RESTRINGIDO"), 0, S492)</f>
        <v/>
      </c>
      <c r="T603" s="189">
        <f>IF(OR($N529="RESTRINGIDO", $N522="RESTRINGIDO"), 0, T492)</f>
        <v/>
      </c>
      <c r="U603" s="189">
        <f>IF(OR($N529="RESTRINGIDO", $N523="RESTRINGIDO"), 0, U492)</f>
        <v/>
      </c>
      <c r="V603" s="189">
        <f>IF(OR($N529="RESTRINGIDO", $N524="RESTRINGIDO"), 0, V492)</f>
        <v/>
      </c>
      <c r="W603" s="189">
        <f>IF(OR($N529="RESTRINGIDO", $N525="RESTRINGIDO"), 0, W492)</f>
        <v/>
      </c>
      <c r="X603" s="189">
        <f>IF(OR($N529="RESTRINGIDO", $N526="RESTRINGIDO"), 0, X492)</f>
        <v/>
      </c>
      <c r="Y603" s="189">
        <f>IF(OR($N529="RESTRINGIDO", $N527="RESTRINGIDO"), 0, Y492)</f>
        <v/>
      </c>
      <c r="Z603" s="189">
        <f>IF(OR($N529="RESTRINGIDO", $N528="RESTRINGIDO"), 0, Z492)</f>
        <v/>
      </c>
      <c r="AA603" s="189">
        <f>IF($N529="RESTRINGIDO", 1, IF(OR($N529="", $C492=""), 1, AA492))</f>
        <v/>
      </c>
      <c r="AB603" s="189">
        <f>IF(OR($N529="RESTRINGIDO", $N530="RESTRINGIDO"), 0, AB492)</f>
        <v/>
      </c>
      <c r="AC603" s="189">
        <f>IF(OR($N529="RESTRINGIDO", $N531="RESTRINGIDO"), 0, AC492)</f>
        <v/>
      </c>
      <c r="AD603" s="189">
        <f>IF(OR($N529="RESTRINGIDO", $N532="RESTRINGIDO"), 0, AD492)</f>
        <v/>
      </c>
      <c r="AE603" s="189">
        <f>IF(OR($N529="RESTRINGIDO", $N533="RESTRINGIDO"), 0, AE492)</f>
        <v/>
      </c>
      <c r="AF603" s="189">
        <f>IF(OR($N529="RESTRINGIDO", $N534="RESTRINGIDO"), 0, AF492)</f>
        <v/>
      </c>
      <c r="AG603" s="189">
        <f>IF(OR($N529="RESTRINGIDO", $N535="RESTRINGIDO"), 0, AG492)</f>
        <v/>
      </c>
      <c r="AH603" s="189">
        <f>IF(OR($N529="RESTRINGIDO", $N536="RESTRINGIDO"), 0, AH492)</f>
        <v/>
      </c>
      <c r="AJ603" s="189">
        <f>IF($N529="LIBRE", IF(ISNUMBER(E529), E529, 0), 0)</f>
        <v/>
      </c>
      <c r="AL603" s="188" t="n">
        <v>0</v>
      </c>
      <c r="AN603" s="188" t="n">
        <v>0</v>
      </c>
    </row>
    <row r="604">
      <c r="B604" s="189">
        <f>IF(OR($N530="RESTRINGIDO", $N504="RESTRINGIDO"), 0, B493)</f>
        <v/>
      </c>
      <c r="C604" s="189">
        <f>IF(OR($N530="RESTRINGIDO", $N505="RESTRINGIDO"), 0, C493)</f>
        <v/>
      </c>
      <c r="D604" s="189">
        <f>IF(OR($N530="RESTRINGIDO", $N506="RESTRINGIDO"), 0, D493)</f>
        <v/>
      </c>
      <c r="E604" s="189">
        <f>IF(OR($N530="RESTRINGIDO", $N507="RESTRINGIDO"), 0, E493)</f>
        <v/>
      </c>
      <c r="F604" s="189">
        <f>IF(OR($N530="RESTRINGIDO", $N508="RESTRINGIDO"), 0, F493)</f>
        <v/>
      </c>
      <c r="G604" s="189">
        <f>IF(OR($N530="RESTRINGIDO", $N509="RESTRINGIDO"), 0, G493)</f>
        <v/>
      </c>
      <c r="H604" s="189">
        <f>IF(OR($N530="RESTRINGIDO", $N510="RESTRINGIDO"), 0, H493)</f>
        <v/>
      </c>
      <c r="I604" s="189">
        <f>IF(OR($N530="RESTRINGIDO", $N511="RESTRINGIDO"), 0, I493)</f>
        <v/>
      </c>
      <c r="J604" s="189">
        <f>IF(OR($N530="RESTRINGIDO", $N512="RESTRINGIDO"), 0, J493)</f>
        <v/>
      </c>
      <c r="K604" s="189">
        <f>IF(OR($N530="RESTRINGIDO", $N513="RESTRINGIDO"), 0, K493)</f>
        <v/>
      </c>
      <c r="L604" s="189">
        <f>IF(OR($N530="RESTRINGIDO", $N514="RESTRINGIDO"), 0, L493)</f>
        <v/>
      </c>
      <c r="M604" s="189">
        <f>IF(OR($N530="RESTRINGIDO", $N515="RESTRINGIDO"), 0, M493)</f>
        <v/>
      </c>
      <c r="N604" s="189">
        <f>IF(OR($N530="RESTRINGIDO", $N516="RESTRINGIDO"), 0, N493)</f>
        <v/>
      </c>
      <c r="O604" s="189">
        <f>IF(OR($N530="RESTRINGIDO", $N517="RESTRINGIDO"), 0, O493)</f>
        <v/>
      </c>
      <c r="P604" s="189">
        <f>IF(OR($N530="RESTRINGIDO", $N518="RESTRINGIDO"), 0, P493)</f>
        <v/>
      </c>
      <c r="Q604" s="189">
        <f>IF(OR($N530="RESTRINGIDO", $N519="RESTRINGIDO"), 0, Q493)</f>
        <v/>
      </c>
      <c r="R604" s="189">
        <f>IF(OR($N530="RESTRINGIDO", $N520="RESTRINGIDO"), 0, R493)</f>
        <v/>
      </c>
      <c r="S604" s="189">
        <f>IF(OR($N530="RESTRINGIDO", $N521="RESTRINGIDO"), 0, S493)</f>
        <v/>
      </c>
      <c r="T604" s="189">
        <f>IF(OR($N530="RESTRINGIDO", $N522="RESTRINGIDO"), 0, T493)</f>
        <v/>
      </c>
      <c r="U604" s="189">
        <f>IF(OR($N530="RESTRINGIDO", $N523="RESTRINGIDO"), 0, U493)</f>
        <v/>
      </c>
      <c r="V604" s="189">
        <f>IF(OR($N530="RESTRINGIDO", $N524="RESTRINGIDO"), 0, V493)</f>
        <v/>
      </c>
      <c r="W604" s="189">
        <f>IF(OR($N530="RESTRINGIDO", $N525="RESTRINGIDO"), 0, W493)</f>
        <v/>
      </c>
      <c r="X604" s="189">
        <f>IF(OR($N530="RESTRINGIDO", $N526="RESTRINGIDO"), 0, X493)</f>
        <v/>
      </c>
      <c r="Y604" s="189">
        <f>IF(OR($N530="RESTRINGIDO", $N527="RESTRINGIDO"), 0, Y493)</f>
        <v/>
      </c>
      <c r="Z604" s="189">
        <f>IF(OR($N530="RESTRINGIDO", $N528="RESTRINGIDO"), 0, Z493)</f>
        <v/>
      </c>
      <c r="AA604" s="189">
        <f>IF(OR($N530="RESTRINGIDO", $N529="RESTRINGIDO"), 0, AA493)</f>
        <v/>
      </c>
      <c r="AB604" s="189">
        <f>IF($N530="RESTRINGIDO", 1, IF(OR($N530="", $C493=""), 1, AB493))</f>
        <v/>
      </c>
      <c r="AC604" s="189">
        <f>IF(OR($N530="RESTRINGIDO", $N531="RESTRINGIDO"), 0, AC493)</f>
        <v/>
      </c>
      <c r="AD604" s="189">
        <f>IF(OR($N530="RESTRINGIDO", $N532="RESTRINGIDO"), 0, AD493)</f>
        <v/>
      </c>
      <c r="AE604" s="189">
        <f>IF(OR($N530="RESTRINGIDO", $N533="RESTRINGIDO"), 0, AE493)</f>
        <v/>
      </c>
      <c r="AF604" s="189">
        <f>IF(OR($N530="RESTRINGIDO", $N534="RESTRINGIDO"), 0, AF493)</f>
        <v/>
      </c>
      <c r="AG604" s="189">
        <f>IF(OR($N530="RESTRINGIDO", $N535="RESTRINGIDO"), 0, AG493)</f>
        <v/>
      </c>
      <c r="AH604" s="189">
        <f>IF(OR($N530="RESTRINGIDO", $N536="RESTRINGIDO"), 0, AH493)</f>
        <v/>
      </c>
      <c r="AJ604" s="189">
        <f>IF($N530="LIBRE", IF(ISNUMBER(E530), E530, 0), 0)</f>
        <v/>
      </c>
      <c r="AL604" s="188" t="n">
        <v>0</v>
      </c>
      <c r="AN604" s="188" t="n">
        <v>0</v>
      </c>
    </row>
    <row r="605">
      <c r="B605" s="189">
        <f>IF(OR($N531="RESTRINGIDO", $N504="RESTRINGIDO"), 0, B494)</f>
        <v/>
      </c>
      <c r="C605" s="189">
        <f>IF(OR($N531="RESTRINGIDO", $N505="RESTRINGIDO"), 0, C494)</f>
        <v/>
      </c>
      <c r="D605" s="189">
        <f>IF(OR($N531="RESTRINGIDO", $N506="RESTRINGIDO"), 0, D494)</f>
        <v/>
      </c>
      <c r="E605" s="189">
        <f>IF(OR($N531="RESTRINGIDO", $N507="RESTRINGIDO"), 0, E494)</f>
        <v/>
      </c>
      <c r="F605" s="189">
        <f>IF(OR($N531="RESTRINGIDO", $N508="RESTRINGIDO"), 0, F494)</f>
        <v/>
      </c>
      <c r="G605" s="189">
        <f>IF(OR($N531="RESTRINGIDO", $N509="RESTRINGIDO"), 0, G494)</f>
        <v/>
      </c>
      <c r="H605" s="189">
        <f>IF(OR($N531="RESTRINGIDO", $N510="RESTRINGIDO"), 0, H494)</f>
        <v/>
      </c>
      <c r="I605" s="189">
        <f>IF(OR($N531="RESTRINGIDO", $N511="RESTRINGIDO"), 0, I494)</f>
        <v/>
      </c>
      <c r="J605" s="189">
        <f>IF(OR($N531="RESTRINGIDO", $N512="RESTRINGIDO"), 0, J494)</f>
        <v/>
      </c>
      <c r="K605" s="189">
        <f>IF(OR($N531="RESTRINGIDO", $N513="RESTRINGIDO"), 0, K494)</f>
        <v/>
      </c>
      <c r="L605" s="189">
        <f>IF(OR($N531="RESTRINGIDO", $N514="RESTRINGIDO"), 0, L494)</f>
        <v/>
      </c>
      <c r="M605" s="189">
        <f>IF(OR($N531="RESTRINGIDO", $N515="RESTRINGIDO"), 0, M494)</f>
        <v/>
      </c>
      <c r="N605" s="189">
        <f>IF(OR($N531="RESTRINGIDO", $N516="RESTRINGIDO"), 0, N494)</f>
        <v/>
      </c>
      <c r="O605" s="189">
        <f>IF(OR($N531="RESTRINGIDO", $N517="RESTRINGIDO"), 0, O494)</f>
        <v/>
      </c>
      <c r="P605" s="189">
        <f>IF(OR($N531="RESTRINGIDO", $N518="RESTRINGIDO"), 0, P494)</f>
        <v/>
      </c>
      <c r="Q605" s="189">
        <f>IF(OR($N531="RESTRINGIDO", $N519="RESTRINGIDO"), 0, Q494)</f>
        <v/>
      </c>
      <c r="R605" s="189">
        <f>IF(OR($N531="RESTRINGIDO", $N520="RESTRINGIDO"), 0, R494)</f>
        <v/>
      </c>
      <c r="S605" s="189">
        <f>IF(OR($N531="RESTRINGIDO", $N521="RESTRINGIDO"), 0, S494)</f>
        <v/>
      </c>
      <c r="T605" s="189">
        <f>IF(OR($N531="RESTRINGIDO", $N522="RESTRINGIDO"), 0, T494)</f>
        <v/>
      </c>
      <c r="U605" s="189">
        <f>IF(OR($N531="RESTRINGIDO", $N523="RESTRINGIDO"), 0, U494)</f>
        <v/>
      </c>
      <c r="V605" s="189">
        <f>IF(OR($N531="RESTRINGIDO", $N524="RESTRINGIDO"), 0, V494)</f>
        <v/>
      </c>
      <c r="W605" s="189">
        <f>IF(OR($N531="RESTRINGIDO", $N525="RESTRINGIDO"), 0, W494)</f>
        <v/>
      </c>
      <c r="X605" s="189">
        <f>IF(OR($N531="RESTRINGIDO", $N526="RESTRINGIDO"), 0, X494)</f>
        <v/>
      </c>
      <c r="Y605" s="189">
        <f>IF(OR($N531="RESTRINGIDO", $N527="RESTRINGIDO"), 0, Y494)</f>
        <v/>
      </c>
      <c r="Z605" s="189">
        <f>IF(OR($N531="RESTRINGIDO", $N528="RESTRINGIDO"), 0, Z494)</f>
        <v/>
      </c>
      <c r="AA605" s="189">
        <f>IF(OR($N531="RESTRINGIDO", $N529="RESTRINGIDO"), 0, AA494)</f>
        <v/>
      </c>
      <c r="AB605" s="189">
        <f>IF(OR($N531="RESTRINGIDO", $N530="RESTRINGIDO"), 0, AB494)</f>
        <v/>
      </c>
      <c r="AC605" s="189">
        <f>IF($N531="RESTRINGIDO", 1, IF(OR($N531="", $C494=""), 1, AC494))</f>
        <v/>
      </c>
      <c r="AD605" s="189">
        <f>IF(OR($N531="RESTRINGIDO", $N532="RESTRINGIDO"), 0, AD494)</f>
        <v/>
      </c>
      <c r="AE605" s="189">
        <f>IF(OR($N531="RESTRINGIDO", $N533="RESTRINGIDO"), 0, AE494)</f>
        <v/>
      </c>
      <c r="AF605" s="189">
        <f>IF(OR($N531="RESTRINGIDO", $N534="RESTRINGIDO"), 0, AF494)</f>
        <v/>
      </c>
      <c r="AG605" s="189">
        <f>IF(OR($N531="RESTRINGIDO", $N535="RESTRINGIDO"), 0, AG494)</f>
        <v/>
      </c>
      <c r="AH605" s="189">
        <f>IF(OR($N531="RESTRINGIDO", $N536="RESTRINGIDO"), 0, AH494)</f>
        <v/>
      </c>
      <c r="AJ605" s="189">
        <f>IF($N531="LIBRE", IF(ISNUMBER(E531), E531, 0), 0)</f>
        <v/>
      </c>
      <c r="AL605" s="188" t="n">
        <v>0</v>
      </c>
      <c r="AN605" s="188" t="n">
        <v>0</v>
      </c>
    </row>
    <row r="606">
      <c r="B606" s="189">
        <f>IF(OR($N532="RESTRINGIDO", $N504="RESTRINGIDO"), 0, B495)</f>
        <v/>
      </c>
      <c r="C606" s="189">
        <f>IF(OR($N532="RESTRINGIDO", $N505="RESTRINGIDO"), 0, C495)</f>
        <v/>
      </c>
      <c r="D606" s="189">
        <f>IF(OR($N532="RESTRINGIDO", $N506="RESTRINGIDO"), 0, D495)</f>
        <v/>
      </c>
      <c r="E606" s="189">
        <f>IF(OR($N532="RESTRINGIDO", $N507="RESTRINGIDO"), 0, E495)</f>
        <v/>
      </c>
      <c r="F606" s="189">
        <f>IF(OR($N532="RESTRINGIDO", $N508="RESTRINGIDO"), 0, F495)</f>
        <v/>
      </c>
      <c r="G606" s="189">
        <f>IF(OR($N532="RESTRINGIDO", $N509="RESTRINGIDO"), 0, G495)</f>
        <v/>
      </c>
      <c r="H606" s="189">
        <f>IF(OR($N532="RESTRINGIDO", $N510="RESTRINGIDO"), 0, H495)</f>
        <v/>
      </c>
      <c r="I606" s="189">
        <f>IF(OR($N532="RESTRINGIDO", $N511="RESTRINGIDO"), 0, I495)</f>
        <v/>
      </c>
      <c r="J606" s="189">
        <f>IF(OR($N532="RESTRINGIDO", $N512="RESTRINGIDO"), 0, J495)</f>
        <v/>
      </c>
      <c r="K606" s="189">
        <f>IF(OR($N532="RESTRINGIDO", $N513="RESTRINGIDO"), 0, K495)</f>
        <v/>
      </c>
      <c r="L606" s="189">
        <f>IF(OR($N532="RESTRINGIDO", $N514="RESTRINGIDO"), 0, L495)</f>
        <v/>
      </c>
      <c r="M606" s="189">
        <f>IF(OR($N532="RESTRINGIDO", $N515="RESTRINGIDO"), 0, M495)</f>
        <v/>
      </c>
      <c r="N606" s="189">
        <f>IF(OR($N532="RESTRINGIDO", $N516="RESTRINGIDO"), 0, N495)</f>
        <v/>
      </c>
      <c r="O606" s="189">
        <f>IF(OR($N532="RESTRINGIDO", $N517="RESTRINGIDO"), 0, O495)</f>
        <v/>
      </c>
      <c r="P606" s="189">
        <f>IF(OR($N532="RESTRINGIDO", $N518="RESTRINGIDO"), 0, P495)</f>
        <v/>
      </c>
      <c r="Q606" s="189">
        <f>IF(OR($N532="RESTRINGIDO", $N519="RESTRINGIDO"), 0, Q495)</f>
        <v/>
      </c>
      <c r="R606" s="189">
        <f>IF(OR($N532="RESTRINGIDO", $N520="RESTRINGIDO"), 0, R495)</f>
        <v/>
      </c>
      <c r="S606" s="189">
        <f>IF(OR($N532="RESTRINGIDO", $N521="RESTRINGIDO"), 0, S495)</f>
        <v/>
      </c>
      <c r="T606" s="189">
        <f>IF(OR($N532="RESTRINGIDO", $N522="RESTRINGIDO"), 0, T495)</f>
        <v/>
      </c>
      <c r="U606" s="189">
        <f>IF(OR($N532="RESTRINGIDO", $N523="RESTRINGIDO"), 0, U495)</f>
        <v/>
      </c>
      <c r="V606" s="189">
        <f>IF(OR($N532="RESTRINGIDO", $N524="RESTRINGIDO"), 0, V495)</f>
        <v/>
      </c>
      <c r="W606" s="189">
        <f>IF(OR($N532="RESTRINGIDO", $N525="RESTRINGIDO"), 0, W495)</f>
        <v/>
      </c>
      <c r="X606" s="189">
        <f>IF(OR($N532="RESTRINGIDO", $N526="RESTRINGIDO"), 0, X495)</f>
        <v/>
      </c>
      <c r="Y606" s="189">
        <f>IF(OR($N532="RESTRINGIDO", $N527="RESTRINGIDO"), 0, Y495)</f>
        <v/>
      </c>
      <c r="Z606" s="189">
        <f>IF(OR($N532="RESTRINGIDO", $N528="RESTRINGIDO"), 0, Z495)</f>
        <v/>
      </c>
      <c r="AA606" s="189">
        <f>IF(OR($N532="RESTRINGIDO", $N529="RESTRINGIDO"), 0, AA495)</f>
        <v/>
      </c>
      <c r="AB606" s="189">
        <f>IF(OR($N532="RESTRINGIDO", $N530="RESTRINGIDO"), 0, AB495)</f>
        <v/>
      </c>
      <c r="AC606" s="189">
        <f>IF(OR($N532="RESTRINGIDO", $N531="RESTRINGIDO"), 0, AC495)</f>
        <v/>
      </c>
      <c r="AD606" s="189">
        <f>IF($N532="RESTRINGIDO", 1, IF(OR($N532="", $C495=""), 1, AD495))</f>
        <v/>
      </c>
      <c r="AE606" s="189">
        <f>IF(OR($N532="RESTRINGIDO", $N533="RESTRINGIDO"), 0, AE495)</f>
        <v/>
      </c>
      <c r="AF606" s="189">
        <f>IF(OR($N532="RESTRINGIDO", $N534="RESTRINGIDO"), 0, AF495)</f>
        <v/>
      </c>
      <c r="AG606" s="189">
        <f>IF(OR($N532="RESTRINGIDO", $N535="RESTRINGIDO"), 0, AG495)</f>
        <v/>
      </c>
      <c r="AH606" s="189">
        <f>IF(OR($N532="RESTRINGIDO", $N536="RESTRINGIDO"), 0, AH495)</f>
        <v/>
      </c>
      <c r="AJ606" s="189">
        <f>IF($N532="LIBRE", IF(ISNUMBER(E532), E532, 0), 0)</f>
        <v/>
      </c>
      <c r="AL606" s="188" t="n">
        <v>0</v>
      </c>
      <c r="AN606" s="188" t="n">
        <v>0</v>
      </c>
    </row>
    <row r="607">
      <c r="B607" s="189">
        <f>IF(OR($N533="RESTRINGIDO", $N504="RESTRINGIDO"), 0, B496)</f>
        <v/>
      </c>
      <c r="C607" s="189">
        <f>IF(OR($N533="RESTRINGIDO", $N505="RESTRINGIDO"), 0, C496)</f>
        <v/>
      </c>
      <c r="D607" s="189">
        <f>IF(OR($N533="RESTRINGIDO", $N506="RESTRINGIDO"), 0, D496)</f>
        <v/>
      </c>
      <c r="E607" s="189">
        <f>IF(OR($N533="RESTRINGIDO", $N507="RESTRINGIDO"), 0, E496)</f>
        <v/>
      </c>
      <c r="F607" s="189">
        <f>IF(OR($N533="RESTRINGIDO", $N508="RESTRINGIDO"), 0, F496)</f>
        <v/>
      </c>
      <c r="G607" s="189">
        <f>IF(OR($N533="RESTRINGIDO", $N509="RESTRINGIDO"), 0, G496)</f>
        <v/>
      </c>
      <c r="H607" s="189">
        <f>IF(OR($N533="RESTRINGIDO", $N510="RESTRINGIDO"), 0, H496)</f>
        <v/>
      </c>
      <c r="I607" s="189">
        <f>IF(OR($N533="RESTRINGIDO", $N511="RESTRINGIDO"), 0, I496)</f>
        <v/>
      </c>
      <c r="J607" s="189">
        <f>IF(OR($N533="RESTRINGIDO", $N512="RESTRINGIDO"), 0, J496)</f>
        <v/>
      </c>
      <c r="K607" s="189">
        <f>IF(OR($N533="RESTRINGIDO", $N513="RESTRINGIDO"), 0, K496)</f>
        <v/>
      </c>
      <c r="L607" s="189">
        <f>IF(OR($N533="RESTRINGIDO", $N514="RESTRINGIDO"), 0, L496)</f>
        <v/>
      </c>
      <c r="M607" s="189">
        <f>IF(OR($N533="RESTRINGIDO", $N515="RESTRINGIDO"), 0, M496)</f>
        <v/>
      </c>
      <c r="N607" s="189">
        <f>IF(OR($N533="RESTRINGIDO", $N516="RESTRINGIDO"), 0, N496)</f>
        <v/>
      </c>
      <c r="O607" s="189">
        <f>IF(OR($N533="RESTRINGIDO", $N517="RESTRINGIDO"), 0, O496)</f>
        <v/>
      </c>
      <c r="P607" s="189">
        <f>IF(OR($N533="RESTRINGIDO", $N518="RESTRINGIDO"), 0, P496)</f>
        <v/>
      </c>
      <c r="Q607" s="189">
        <f>IF(OR($N533="RESTRINGIDO", $N519="RESTRINGIDO"), 0, Q496)</f>
        <v/>
      </c>
      <c r="R607" s="189">
        <f>IF(OR($N533="RESTRINGIDO", $N520="RESTRINGIDO"), 0, R496)</f>
        <v/>
      </c>
      <c r="S607" s="189">
        <f>IF(OR($N533="RESTRINGIDO", $N521="RESTRINGIDO"), 0, S496)</f>
        <v/>
      </c>
      <c r="T607" s="189">
        <f>IF(OR($N533="RESTRINGIDO", $N522="RESTRINGIDO"), 0, T496)</f>
        <v/>
      </c>
      <c r="U607" s="189">
        <f>IF(OR($N533="RESTRINGIDO", $N523="RESTRINGIDO"), 0, U496)</f>
        <v/>
      </c>
      <c r="V607" s="189">
        <f>IF(OR($N533="RESTRINGIDO", $N524="RESTRINGIDO"), 0, V496)</f>
        <v/>
      </c>
      <c r="W607" s="189">
        <f>IF(OR($N533="RESTRINGIDO", $N525="RESTRINGIDO"), 0, W496)</f>
        <v/>
      </c>
      <c r="X607" s="189">
        <f>IF(OR($N533="RESTRINGIDO", $N526="RESTRINGIDO"), 0, X496)</f>
        <v/>
      </c>
      <c r="Y607" s="189">
        <f>IF(OR($N533="RESTRINGIDO", $N527="RESTRINGIDO"), 0, Y496)</f>
        <v/>
      </c>
      <c r="Z607" s="189">
        <f>IF(OR($N533="RESTRINGIDO", $N528="RESTRINGIDO"), 0, Z496)</f>
        <v/>
      </c>
      <c r="AA607" s="189">
        <f>IF(OR($N533="RESTRINGIDO", $N529="RESTRINGIDO"), 0, AA496)</f>
        <v/>
      </c>
      <c r="AB607" s="189">
        <f>IF(OR($N533="RESTRINGIDO", $N530="RESTRINGIDO"), 0, AB496)</f>
        <v/>
      </c>
      <c r="AC607" s="189">
        <f>IF(OR($N533="RESTRINGIDO", $N531="RESTRINGIDO"), 0, AC496)</f>
        <v/>
      </c>
      <c r="AD607" s="189">
        <f>IF(OR($N533="RESTRINGIDO", $N532="RESTRINGIDO"), 0, AD496)</f>
        <v/>
      </c>
      <c r="AE607" s="189">
        <f>IF($N533="RESTRINGIDO", 1, IF(OR($N533="", $C496=""), 1, AE496))</f>
        <v/>
      </c>
      <c r="AF607" s="189">
        <f>IF(OR($N533="RESTRINGIDO", $N534="RESTRINGIDO"), 0, AF496)</f>
        <v/>
      </c>
      <c r="AG607" s="189">
        <f>IF(OR($N533="RESTRINGIDO", $N535="RESTRINGIDO"), 0, AG496)</f>
        <v/>
      </c>
      <c r="AH607" s="189">
        <f>IF(OR($N533="RESTRINGIDO", $N536="RESTRINGIDO"), 0, AH496)</f>
        <v/>
      </c>
      <c r="AJ607" s="189">
        <f>IF($N533="LIBRE", IF(ISNUMBER(E533), E533, 0), 0)</f>
        <v/>
      </c>
      <c r="AL607" s="188" t="n">
        <v>0</v>
      </c>
      <c r="AN607" s="188" t="n">
        <v>0</v>
      </c>
    </row>
    <row r="608">
      <c r="B608" s="189">
        <f>IF(OR($N534="RESTRINGIDO", $N504="RESTRINGIDO"), 0, B497)</f>
        <v/>
      </c>
      <c r="C608" s="189">
        <f>IF(OR($N534="RESTRINGIDO", $N505="RESTRINGIDO"), 0, C497)</f>
        <v/>
      </c>
      <c r="D608" s="189">
        <f>IF(OR($N534="RESTRINGIDO", $N506="RESTRINGIDO"), 0, D497)</f>
        <v/>
      </c>
      <c r="E608" s="189">
        <f>IF(OR($N534="RESTRINGIDO", $N507="RESTRINGIDO"), 0, E497)</f>
        <v/>
      </c>
      <c r="F608" s="189">
        <f>IF(OR($N534="RESTRINGIDO", $N508="RESTRINGIDO"), 0, F497)</f>
        <v/>
      </c>
      <c r="G608" s="189">
        <f>IF(OR($N534="RESTRINGIDO", $N509="RESTRINGIDO"), 0, G497)</f>
        <v/>
      </c>
      <c r="H608" s="189">
        <f>IF(OR($N534="RESTRINGIDO", $N510="RESTRINGIDO"), 0, H497)</f>
        <v/>
      </c>
      <c r="I608" s="189">
        <f>IF(OR($N534="RESTRINGIDO", $N511="RESTRINGIDO"), 0, I497)</f>
        <v/>
      </c>
      <c r="J608" s="189">
        <f>IF(OR($N534="RESTRINGIDO", $N512="RESTRINGIDO"), 0, J497)</f>
        <v/>
      </c>
      <c r="K608" s="189">
        <f>IF(OR($N534="RESTRINGIDO", $N513="RESTRINGIDO"), 0, K497)</f>
        <v/>
      </c>
      <c r="L608" s="189">
        <f>IF(OR($N534="RESTRINGIDO", $N514="RESTRINGIDO"), 0, L497)</f>
        <v/>
      </c>
      <c r="M608" s="189">
        <f>IF(OR($N534="RESTRINGIDO", $N515="RESTRINGIDO"), 0, M497)</f>
        <v/>
      </c>
      <c r="N608" s="189">
        <f>IF(OR($N534="RESTRINGIDO", $N516="RESTRINGIDO"), 0, N497)</f>
        <v/>
      </c>
      <c r="O608" s="189">
        <f>IF(OR($N534="RESTRINGIDO", $N517="RESTRINGIDO"), 0, O497)</f>
        <v/>
      </c>
      <c r="P608" s="189">
        <f>IF(OR($N534="RESTRINGIDO", $N518="RESTRINGIDO"), 0, P497)</f>
        <v/>
      </c>
      <c r="Q608" s="189">
        <f>IF(OR($N534="RESTRINGIDO", $N519="RESTRINGIDO"), 0, Q497)</f>
        <v/>
      </c>
      <c r="R608" s="189">
        <f>IF(OR($N534="RESTRINGIDO", $N520="RESTRINGIDO"), 0, R497)</f>
        <v/>
      </c>
      <c r="S608" s="189">
        <f>IF(OR($N534="RESTRINGIDO", $N521="RESTRINGIDO"), 0, S497)</f>
        <v/>
      </c>
      <c r="T608" s="189">
        <f>IF(OR($N534="RESTRINGIDO", $N522="RESTRINGIDO"), 0, T497)</f>
        <v/>
      </c>
      <c r="U608" s="189">
        <f>IF(OR($N534="RESTRINGIDO", $N523="RESTRINGIDO"), 0, U497)</f>
        <v/>
      </c>
      <c r="V608" s="189">
        <f>IF(OR($N534="RESTRINGIDO", $N524="RESTRINGIDO"), 0, V497)</f>
        <v/>
      </c>
      <c r="W608" s="189">
        <f>IF(OR($N534="RESTRINGIDO", $N525="RESTRINGIDO"), 0, W497)</f>
        <v/>
      </c>
      <c r="X608" s="189">
        <f>IF(OR($N534="RESTRINGIDO", $N526="RESTRINGIDO"), 0, X497)</f>
        <v/>
      </c>
      <c r="Y608" s="189">
        <f>IF(OR($N534="RESTRINGIDO", $N527="RESTRINGIDO"), 0, Y497)</f>
        <v/>
      </c>
      <c r="Z608" s="189">
        <f>IF(OR($N534="RESTRINGIDO", $N528="RESTRINGIDO"), 0, Z497)</f>
        <v/>
      </c>
      <c r="AA608" s="189">
        <f>IF(OR($N534="RESTRINGIDO", $N529="RESTRINGIDO"), 0, AA497)</f>
        <v/>
      </c>
      <c r="AB608" s="189">
        <f>IF(OR($N534="RESTRINGIDO", $N530="RESTRINGIDO"), 0, AB497)</f>
        <v/>
      </c>
      <c r="AC608" s="189">
        <f>IF(OR($N534="RESTRINGIDO", $N531="RESTRINGIDO"), 0, AC497)</f>
        <v/>
      </c>
      <c r="AD608" s="189">
        <f>IF(OR($N534="RESTRINGIDO", $N532="RESTRINGIDO"), 0, AD497)</f>
        <v/>
      </c>
      <c r="AE608" s="189">
        <f>IF(OR($N534="RESTRINGIDO", $N533="RESTRINGIDO"), 0, AE497)</f>
        <v/>
      </c>
      <c r="AF608" s="189">
        <f>IF($N534="RESTRINGIDO", 1, IF(OR($N534="", $C497=""), 1, AF497))</f>
        <v/>
      </c>
      <c r="AG608" s="189">
        <f>IF(OR($N534="RESTRINGIDO", $N535="RESTRINGIDO"), 0, AG497)</f>
        <v/>
      </c>
      <c r="AH608" s="189">
        <f>IF(OR($N534="RESTRINGIDO", $N536="RESTRINGIDO"), 0, AH497)</f>
        <v/>
      </c>
      <c r="AJ608" s="189">
        <f>IF($N534="LIBRE", IF(ISNUMBER(E534), E534, 0), 0)</f>
        <v/>
      </c>
      <c r="AL608" s="188" t="n">
        <v>0</v>
      </c>
      <c r="AN608" s="188" t="n">
        <v>0</v>
      </c>
    </row>
    <row r="609">
      <c r="B609" s="189">
        <f>IF(OR($N535="RESTRINGIDO", $N504="RESTRINGIDO"), 0, B498)</f>
        <v/>
      </c>
      <c r="C609" s="189">
        <f>IF(OR($N535="RESTRINGIDO", $N505="RESTRINGIDO"), 0, C498)</f>
        <v/>
      </c>
      <c r="D609" s="189">
        <f>IF(OR($N535="RESTRINGIDO", $N506="RESTRINGIDO"), 0, D498)</f>
        <v/>
      </c>
      <c r="E609" s="189">
        <f>IF(OR($N535="RESTRINGIDO", $N507="RESTRINGIDO"), 0, E498)</f>
        <v/>
      </c>
      <c r="F609" s="189">
        <f>IF(OR($N535="RESTRINGIDO", $N508="RESTRINGIDO"), 0, F498)</f>
        <v/>
      </c>
      <c r="G609" s="189">
        <f>IF(OR($N535="RESTRINGIDO", $N509="RESTRINGIDO"), 0, G498)</f>
        <v/>
      </c>
      <c r="H609" s="189">
        <f>IF(OR($N535="RESTRINGIDO", $N510="RESTRINGIDO"), 0, H498)</f>
        <v/>
      </c>
      <c r="I609" s="189">
        <f>IF(OR($N535="RESTRINGIDO", $N511="RESTRINGIDO"), 0, I498)</f>
        <v/>
      </c>
      <c r="J609" s="189">
        <f>IF(OR($N535="RESTRINGIDO", $N512="RESTRINGIDO"), 0, J498)</f>
        <v/>
      </c>
      <c r="K609" s="189">
        <f>IF(OR($N535="RESTRINGIDO", $N513="RESTRINGIDO"), 0, K498)</f>
        <v/>
      </c>
      <c r="L609" s="189">
        <f>IF(OR($N535="RESTRINGIDO", $N514="RESTRINGIDO"), 0, L498)</f>
        <v/>
      </c>
      <c r="M609" s="189">
        <f>IF(OR($N535="RESTRINGIDO", $N515="RESTRINGIDO"), 0, M498)</f>
        <v/>
      </c>
      <c r="N609" s="189">
        <f>IF(OR($N535="RESTRINGIDO", $N516="RESTRINGIDO"), 0, N498)</f>
        <v/>
      </c>
      <c r="O609" s="189">
        <f>IF(OR($N535="RESTRINGIDO", $N517="RESTRINGIDO"), 0, O498)</f>
        <v/>
      </c>
      <c r="P609" s="189">
        <f>IF(OR($N535="RESTRINGIDO", $N518="RESTRINGIDO"), 0, P498)</f>
        <v/>
      </c>
      <c r="Q609" s="189">
        <f>IF(OR($N535="RESTRINGIDO", $N519="RESTRINGIDO"), 0, Q498)</f>
        <v/>
      </c>
      <c r="R609" s="189">
        <f>IF(OR($N535="RESTRINGIDO", $N520="RESTRINGIDO"), 0, R498)</f>
        <v/>
      </c>
      <c r="S609" s="189">
        <f>IF(OR($N535="RESTRINGIDO", $N521="RESTRINGIDO"), 0, S498)</f>
        <v/>
      </c>
      <c r="T609" s="189">
        <f>IF(OR($N535="RESTRINGIDO", $N522="RESTRINGIDO"), 0, T498)</f>
        <v/>
      </c>
      <c r="U609" s="189">
        <f>IF(OR($N535="RESTRINGIDO", $N523="RESTRINGIDO"), 0, U498)</f>
        <v/>
      </c>
      <c r="V609" s="189">
        <f>IF(OR($N535="RESTRINGIDO", $N524="RESTRINGIDO"), 0, V498)</f>
        <v/>
      </c>
      <c r="W609" s="189">
        <f>IF(OR($N535="RESTRINGIDO", $N525="RESTRINGIDO"), 0, W498)</f>
        <v/>
      </c>
      <c r="X609" s="189">
        <f>IF(OR($N535="RESTRINGIDO", $N526="RESTRINGIDO"), 0, X498)</f>
        <v/>
      </c>
      <c r="Y609" s="189">
        <f>IF(OR($N535="RESTRINGIDO", $N527="RESTRINGIDO"), 0, Y498)</f>
        <v/>
      </c>
      <c r="Z609" s="189">
        <f>IF(OR($N535="RESTRINGIDO", $N528="RESTRINGIDO"), 0, Z498)</f>
        <v/>
      </c>
      <c r="AA609" s="189">
        <f>IF(OR($N535="RESTRINGIDO", $N529="RESTRINGIDO"), 0, AA498)</f>
        <v/>
      </c>
      <c r="AB609" s="189">
        <f>IF(OR($N535="RESTRINGIDO", $N530="RESTRINGIDO"), 0, AB498)</f>
        <v/>
      </c>
      <c r="AC609" s="189">
        <f>IF(OR($N535="RESTRINGIDO", $N531="RESTRINGIDO"), 0, AC498)</f>
        <v/>
      </c>
      <c r="AD609" s="189">
        <f>IF(OR($N535="RESTRINGIDO", $N532="RESTRINGIDO"), 0, AD498)</f>
        <v/>
      </c>
      <c r="AE609" s="189">
        <f>IF(OR($N535="RESTRINGIDO", $N533="RESTRINGIDO"), 0, AE498)</f>
        <v/>
      </c>
      <c r="AF609" s="189">
        <f>IF(OR($N535="RESTRINGIDO", $N534="RESTRINGIDO"), 0, AF498)</f>
        <v/>
      </c>
      <c r="AG609" s="189">
        <f>IF($N535="RESTRINGIDO", 1, IF(OR($N535="", $C498=""), 1, AG498))</f>
        <v/>
      </c>
      <c r="AH609" s="189">
        <f>IF(OR($N535="RESTRINGIDO", $N536="RESTRINGIDO"), 0, AH498)</f>
        <v/>
      </c>
      <c r="AJ609" s="189">
        <f>IF($N535="LIBRE", IF(ISNUMBER(E535), E535, 0), 0)</f>
        <v/>
      </c>
      <c r="AL609" s="188" t="n">
        <v>0</v>
      </c>
      <c r="AN609" s="188" t="n">
        <v>0</v>
      </c>
    </row>
    <row r="610">
      <c r="B610" s="189">
        <f>IF(OR($N536="RESTRINGIDO", $N504="RESTRINGIDO"), 0, B499)</f>
        <v/>
      </c>
      <c r="C610" s="189">
        <f>IF(OR($N536="RESTRINGIDO", $N505="RESTRINGIDO"), 0, C499)</f>
        <v/>
      </c>
      <c r="D610" s="189">
        <f>IF(OR($N536="RESTRINGIDO", $N506="RESTRINGIDO"), 0, D499)</f>
        <v/>
      </c>
      <c r="E610" s="189">
        <f>IF(OR($N536="RESTRINGIDO", $N507="RESTRINGIDO"), 0, E499)</f>
        <v/>
      </c>
      <c r="F610" s="189">
        <f>IF(OR($N536="RESTRINGIDO", $N508="RESTRINGIDO"), 0, F499)</f>
        <v/>
      </c>
      <c r="G610" s="189">
        <f>IF(OR($N536="RESTRINGIDO", $N509="RESTRINGIDO"), 0, G499)</f>
        <v/>
      </c>
      <c r="H610" s="189">
        <f>IF(OR($N536="RESTRINGIDO", $N510="RESTRINGIDO"), 0, H499)</f>
        <v/>
      </c>
      <c r="I610" s="189">
        <f>IF(OR($N536="RESTRINGIDO", $N511="RESTRINGIDO"), 0, I499)</f>
        <v/>
      </c>
      <c r="J610" s="189">
        <f>IF(OR($N536="RESTRINGIDO", $N512="RESTRINGIDO"), 0, J499)</f>
        <v/>
      </c>
      <c r="K610" s="189">
        <f>IF(OR($N536="RESTRINGIDO", $N513="RESTRINGIDO"), 0, K499)</f>
        <v/>
      </c>
      <c r="L610" s="189">
        <f>IF(OR($N536="RESTRINGIDO", $N514="RESTRINGIDO"), 0, L499)</f>
        <v/>
      </c>
      <c r="M610" s="189">
        <f>IF(OR($N536="RESTRINGIDO", $N515="RESTRINGIDO"), 0, M499)</f>
        <v/>
      </c>
      <c r="N610" s="189">
        <f>IF(OR($N536="RESTRINGIDO", $N516="RESTRINGIDO"), 0, N499)</f>
        <v/>
      </c>
      <c r="O610" s="189">
        <f>IF(OR($N536="RESTRINGIDO", $N517="RESTRINGIDO"), 0, O499)</f>
        <v/>
      </c>
      <c r="P610" s="189">
        <f>IF(OR($N536="RESTRINGIDO", $N518="RESTRINGIDO"), 0, P499)</f>
        <v/>
      </c>
      <c r="Q610" s="189">
        <f>IF(OR($N536="RESTRINGIDO", $N519="RESTRINGIDO"), 0, Q499)</f>
        <v/>
      </c>
      <c r="R610" s="189">
        <f>IF(OR($N536="RESTRINGIDO", $N520="RESTRINGIDO"), 0, R499)</f>
        <v/>
      </c>
      <c r="S610" s="189">
        <f>IF(OR($N536="RESTRINGIDO", $N521="RESTRINGIDO"), 0, S499)</f>
        <v/>
      </c>
      <c r="T610" s="189">
        <f>IF(OR($N536="RESTRINGIDO", $N522="RESTRINGIDO"), 0, T499)</f>
        <v/>
      </c>
      <c r="U610" s="189">
        <f>IF(OR($N536="RESTRINGIDO", $N523="RESTRINGIDO"), 0, U499)</f>
        <v/>
      </c>
      <c r="V610" s="189">
        <f>IF(OR($N536="RESTRINGIDO", $N524="RESTRINGIDO"), 0, V499)</f>
        <v/>
      </c>
      <c r="W610" s="189">
        <f>IF(OR($N536="RESTRINGIDO", $N525="RESTRINGIDO"), 0, W499)</f>
        <v/>
      </c>
      <c r="X610" s="189">
        <f>IF(OR($N536="RESTRINGIDO", $N526="RESTRINGIDO"), 0, X499)</f>
        <v/>
      </c>
      <c r="Y610" s="189">
        <f>IF(OR($N536="RESTRINGIDO", $N527="RESTRINGIDO"), 0, Y499)</f>
        <v/>
      </c>
      <c r="Z610" s="189">
        <f>IF(OR($N536="RESTRINGIDO", $N528="RESTRINGIDO"), 0, Z499)</f>
        <v/>
      </c>
      <c r="AA610" s="189">
        <f>IF(OR($N536="RESTRINGIDO", $N529="RESTRINGIDO"), 0, AA499)</f>
        <v/>
      </c>
      <c r="AB610" s="189">
        <f>IF(OR($N536="RESTRINGIDO", $N530="RESTRINGIDO"), 0, AB499)</f>
        <v/>
      </c>
      <c r="AC610" s="189">
        <f>IF(OR($N536="RESTRINGIDO", $N531="RESTRINGIDO"), 0, AC499)</f>
        <v/>
      </c>
      <c r="AD610" s="189">
        <f>IF(OR($N536="RESTRINGIDO", $N532="RESTRINGIDO"), 0, AD499)</f>
        <v/>
      </c>
      <c r="AE610" s="189">
        <f>IF(OR($N536="RESTRINGIDO", $N533="RESTRINGIDO"), 0, AE499)</f>
        <v/>
      </c>
      <c r="AF610" s="189">
        <f>IF(OR($N536="RESTRINGIDO", $N534="RESTRINGIDO"), 0, AF499)</f>
        <v/>
      </c>
      <c r="AG610" s="189">
        <f>IF(OR($N536="RESTRINGIDO", $N535="RESTRINGIDO"), 0, AG499)</f>
        <v/>
      </c>
      <c r="AH610" s="189">
        <f>IF($N536="RESTRINGIDO", 1, IF(OR($N536="", $C499=""), 1, AH499))</f>
        <v/>
      </c>
      <c r="AJ610" s="189">
        <f>IF($N536="LIBRE", IF(ISNUMBER(E536), E536, 0), 0)</f>
        <v/>
      </c>
      <c r="AL610" s="188" t="n">
        <v>0</v>
      </c>
      <c r="AN610" s="188" t="n">
        <v>0</v>
      </c>
    </row>
    <row r="615">
      <c r="B615" s="53" t="inlineStr">
        <is>
          <t>RESUMEN DE DESPLAZAMIENTOS</t>
        </is>
      </c>
      <c r="C615" s="190" t="n"/>
      <c r="D615" s="190" t="n"/>
      <c r="E615" s="190" t="n"/>
      <c r="F615" s="190" t="n"/>
      <c r="G615" s="191" t="n"/>
    </row>
    <row r="616" ht="26.4" customHeight="1" s="183">
      <c r="B616" s="58" t="inlineStr">
        <is>
          <t>Símbolo</t>
        </is>
      </c>
      <c r="C616" s="58" t="inlineStr">
        <is>
          <t>G.D.L.</t>
        </is>
      </c>
      <c r="D616" s="58" t="inlineStr">
        <is>
          <t>=</t>
        </is>
      </c>
      <c r="E616" s="58" t="inlineStr">
        <is>
          <t>Valor Calculado</t>
        </is>
      </c>
      <c r="F616" s="58" t="inlineStr">
        <is>
          <t>G.D.L.</t>
        </is>
      </c>
      <c r="G616" s="58" t="inlineStr">
        <is>
          <t>Unidad</t>
        </is>
      </c>
    </row>
    <row r="617">
      <c r="B617" s="11" t="inlineStr">
        <is>
          <t>D1X</t>
        </is>
      </c>
      <c r="C617" s="12" t="inlineStr">
        <is>
          <t>U1X</t>
        </is>
      </c>
      <c r="D617" s="187" t="inlineStr">
        <is>
          <t>=</t>
        </is>
      </c>
      <c r="E617" s="16">
        <f>IF(OR($G$4=0, 1&gt;$G$4), 0, IF(N504="RESTRINGIDO", 0, AL578))</f>
        <v/>
      </c>
      <c r="F617" s="12" t="inlineStr">
        <is>
          <t>U1X</t>
        </is>
      </c>
      <c r="G617" s="187" t="inlineStr">
        <is>
          <t>cm</t>
        </is>
      </c>
    </row>
    <row r="618">
      <c r="B618" s="11" t="inlineStr">
        <is>
          <t>D1Y</t>
        </is>
      </c>
      <c r="C618" s="12" t="inlineStr">
        <is>
          <t>U1Y</t>
        </is>
      </c>
      <c r="D618" s="187" t="inlineStr">
        <is>
          <t>=</t>
        </is>
      </c>
      <c r="E618" s="16">
        <f>IF(OR($G$4=0, 1&gt;$G$4), 0, IF(N505="RESTRINGIDO", 0, AL579))</f>
        <v/>
      </c>
      <c r="F618" s="12" t="inlineStr">
        <is>
          <t>U1Y</t>
        </is>
      </c>
      <c r="G618" s="187" t="inlineStr">
        <is>
          <t>cm</t>
        </is>
      </c>
    </row>
    <row r="619">
      <c r="B619" s="11" t="inlineStr">
        <is>
          <t>D1θ</t>
        </is>
      </c>
      <c r="C619" s="12" t="inlineStr">
        <is>
          <t>U1θ</t>
        </is>
      </c>
      <c r="D619" s="187" t="inlineStr">
        <is>
          <t>=</t>
        </is>
      </c>
      <c r="E619" s="16">
        <f>IF(OR($G$4=0, 1&gt;$G$4), 0, IF(N506="RESTRINGIDO", 0, AL580))</f>
        <v/>
      </c>
      <c r="F619" s="12" t="inlineStr">
        <is>
          <t>U1θ</t>
        </is>
      </c>
      <c r="G619" s="187" t="inlineStr">
        <is>
          <t>rad</t>
        </is>
      </c>
    </row>
    <row r="620">
      <c r="B620" s="11" t="inlineStr">
        <is>
          <t>D2X</t>
        </is>
      </c>
      <c r="C620" s="12" t="inlineStr">
        <is>
          <t>U2X</t>
        </is>
      </c>
      <c r="D620" s="187" t="inlineStr">
        <is>
          <t>=</t>
        </is>
      </c>
      <c r="E620" s="16">
        <f>IF(OR($G$4=0, 2&gt;$G$4), 0, IF(N507="RESTRINGIDO", 0, AL581))</f>
        <v/>
      </c>
      <c r="F620" s="12" t="inlineStr">
        <is>
          <t>U2X</t>
        </is>
      </c>
      <c r="G620" s="187" t="inlineStr">
        <is>
          <t>cm</t>
        </is>
      </c>
    </row>
    <row r="621">
      <c r="B621" s="11" t="inlineStr">
        <is>
          <t>D2Y</t>
        </is>
      </c>
      <c r="C621" s="12" t="inlineStr">
        <is>
          <t>U2Y</t>
        </is>
      </c>
      <c r="D621" s="187" t="inlineStr">
        <is>
          <t>=</t>
        </is>
      </c>
      <c r="E621" s="16">
        <f>IF(OR($G$4=0, 2&gt;$G$4), 0, IF(N508="RESTRINGIDO", 0, AL582))</f>
        <v/>
      </c>
      <c r="F621" s="12" t="inlineStr">
        <is>
          <t>U2Y</t>
        </is>
      </c>
      <c r="G621" s="187" t="inlineStr">
        <is>
          <t>cm</t>
        </is>
      </c>
    </row>
    <row r="622">
      <c r="B622" s="11" t="inlineStr">
        <is>
          <t>D2θ</t>
        </is>
      </c>
      <c r="C622" s="12" t="inlineStr">
        <is>
          <t>U2θ</t>
        </is>
      </c>
      <c r="D622" s="187" t="inlineStr">
        <is>
          <t>=</t>
        </is>
      </c>
      <c r="E622" s="16">
        <f>IF(OR($G$4=0, 2&gt;$G$4), 0, IF(N509="RESTRINGIDO", 0, AL583))</f>
        <v/>
      </c>
      <c r="F622" s="12" t="inlineStr">
        <is>
          <t>U2θ</t>
        </is>
      </c>
      <c r="G622" s="187" t="inlineStr">
        <is>
          <t>rad</t>
        </is>
      </c>
    </row>
    <row r="623">
      <c r="B623" s="11" t="inlineStr">
        <is>
          <t>D3X</t>
        </is>
      </c>
      <c r="C623" s="12" t="inlineStr">
        <is>
          <t>U3X</t>
        </is>
      </c>
      <c r="D623" s="187" t="inlineStr">
        <is>
          <t>=</t>
        </is>
      </c>
      <c r="E623" s="16">
        <f>IF(OR($G$4=0, 3&gt;$G$4), 0, IF(N510="RESTRINGIDO", 0, AL584))</f>
        <v/>
      </c>
      <c r="F623" s="12" t="inlineStr">
        <is>
          <t>U3X</t>
        </is>
      </c>
      <c r="G623" s="187" t="inlineStr">
        <is>
          <t>cm</t>
        </is>
      </c>
    </row>
    <row r="624">
      <c r="B624" s="11" t="inlineStr">
        <is>
          <t>D3Y</t>
        </is>
      </c>
      <c r="C624" s="12" t="inlineStr">
        <is>
          <t>U3Y</t>
        </is>
      </c>
      <c r="D624" s="187" t="inlineStr">
        <is>
          <t>=</t>
        </is>
      </c>
      <c r="E624" s="16">
        <f>IF(OR($G$4=0, 3&gt;$G$4), 0, IF(N511="RESTRINGIDO", 0, AL585))</f>
        <v/>
      </c>
      <c r="F624" s="12" t="inlineStr">
        <is>
          <t>U3Y</t>
        </is>
      </c>
      <c r="G624" s="187" t="inlineStr">
        <is>
          <t>cm</t>
        </is>
      </c>
    </row>
    <row r="625">
      <c r="B625" s="11" t="inlineStr">
        <is>
          <t>D3θ</t>
        </is>
      </c>
      <c r="C625" s="12" t="inlineStr">
        <is>
          <t>U3θ</t>
        </is>
      </c>
      <c r="D625" s="187" t="inlineStr">
        <is>
          <t>=</t>
        </is>
      </c>
      <c r="E625" s="16">
        <f>IF(OR($G$4=0, 3&gt;$G$4), 0, IF(N512="RESTRINGIDO", 0, AL586))</f>
        <v/>
      </c>
      <c r="F625" s="12" t="inlineStr">
        <is>
          <t>U3θ</t>
        </is>
      </c>
      <c r="G625" s="187" t="inlineStr">
        <is>
          <t>rad</t>
        </is>
      </c>
    </row>
    <row r="626">
      <c r="B626" s="11" t="inlineStr">
        <is>
          <t>D4X</t>
        </is>
      </c>
      <c r="C626" s="12" t="inlineStr">
        <is>
          <t>U4X</t>
        </is>
      </c>
      <c r="D626" s="187" t="inlineStr">
        <is>
          <t>=</t>
        </is>
      </c>
      <c r="E626" s="16">
        <f>IF(OR($G$4=0, 4&gt;$G$4), 0, IF(N513="RESTRINGIDO", 0, AL587))</f>
        <v/>
      </c>
      <c r="F626" s="12" t="inlineStr">
        <is>
          <t>U4X</t>
        </is>
      </c>
      <c r="G626" s="187" t="inlineStr">
        <is>
          <t>cm</t>
        </is>
      </c>
    </row>
    <row r="627">
      <c r="B627" s="11" t="inlineStr">
        <is>
          <t>D4Y</t>
        </is>
      </c>
      <c r="C627" s="12" t="inlineStr">
        <is>
          <t>U4Y</t>
        </is>
      </c>
      <c r="D627" s="187" t="inlineStr">
        <is>
          <t>=</t>
        </is>
      </c>
      <c r="E627" s="16">
        <f>IF(OR($G$4=0, 4&gt;$G$4), 0, IF(N514="RESTRINGIDO", 0, AL588))</f>
        <v/>
      </c>
      <c r="F627" s="12" t="inlineStr">
        <is>
          <t>U4Y</t>
        </is>
      </c>
      <c r="G627" s="187" t="inlineStr">
        <is>
          <t>cm</t>
        </is>
      </c>
    </row>
    <row r="628">
      <c r="B628" s="11" t="inlineStr">
        <is>
          <t>D4θ</t>
        </is>
      </c>
      <c r="C628" s="12" t="inlineStr">
        <is>
          <t>U4θ</t>
        </is>
      </c>
      <c r="D628" s="187" t="inlineStr">
        <is>
          <t>=</t>
        </is>
      </c>
      <c r="E628" s="16">
        <f>IF(OR($G$4=0, 4&gt;$G$4), 0, IF(N515="RESTRINGIDO", 0, AL589))</f>
        <v/>
      </c>
      <c r="F628" s="12" t="inlineStr">
        <is>
          <t>U4θ</t>
        </is>
      </c>
      <c r="G628" s="187" t="inlineStr">
        <is>
          <t>rad</t>
        </is>
      </c>
    </row>
    <row r="629">
      <c r="B629" s="11" t="inlineStr">
        <is>
          <t>D5X</t>
        </is>
      </c>
      <c r="C629" s="12" t="inlineStr">
        <is>
          <t>U5X</t>
        </is>
      </c>
      <c r="D629" s="187" t="inlineStr">
        <is>
          <t>=</t>
        </is>
      </c>
      <c r="E629" s="16">
        <f>IF(OR($G$4=0, 5&gt;$G$4), 0, IF(N516="RESTRINGIDO", 0, AL590))</f>
        <v/>
      </c>
      <c r="F629" s="12" t="inlineStr">
        <is>
          <t>U5X</t>
        </is>
      </c>
      <c r="G629" s="187" t="inlineStr">
        <is>
          <t>cm</t>
        </is>
      </c>
    </row>
    <row r="630">
      <c r="B630" s="11" t="inlineStr">
        <is>
          <t>D5Y</t>
        </is>
      </c>
      <c r="C630" s="12" t="inlineStr">
        <is>
          <t>U5Y</t>
        </is>
      </c>
      <c r="D630" s="187" t="inlineStr">
        <is>
          <t>=</t>
        </is>
      </c>
      <c r="E630" s="16">
        <f>IF(OR($G$4=0, 5&gt;$G$4), 0, IF(N517="RESTRINGIDO", 0, AL591))</f>
        <v/>
      </c>
      <c r="F630" s="12" t="inlineStr">
        <is>
          <t>U5Y</t>
        </is>
      </c>
      <c r="G630" s="187" t="inlineStr">
        <is>
          <t>cm</t>
        </is>
      </c>
    </row>
    <row r="631">
      <c r="B631" s="11" t="inlineStr">
        <is>
          <t>D5θ</t>
        </is>
      </c>
      <c r="C631" s="12" t="inlineStr">
        <is>
          <t>U5θ</t>
        </is>
      </c>
      <c r="D631" s="187" t="inlineStr">
        <is>
          <t>=</t>
        </is>
      </c>
      <c r="E631" s="16">
        <f>IF(OR($G$4=0, 5&gt;$G$4), 0, IF(N518="RESTRINGIDO", 0, AL592))</f>
        <v/>
      </c>
      <c r="F631" s="12" t="inlineStr">
        <is>
          <t>U5θ</t>
        </is>
      </c>
      <c r="G631" s="187" t="inlineStr">
        <is>
          <t>rad</t>
        </is>
      </c>
    </row>
    <row r="632">
      <c r="B632" s="11" t="inlineStr">
        <is>
          <t>D6X</t>
        </is>
      </c>
      <c r="C632" s="12" t="inlineStr">
        <is>
          <t>U6X</t>
        </is>
      </c>
      <c r="D632" s="187" t="inlineStr">
        <is>
          <t>=</t>
        </is>
      </c>
      <c r="E632" s="16">
        <f>IF(OR($G$4=0, 6&gt;$G$4), 0, IF(N519="RESTRINGIDO", 0, AL593))</f>
        <v/>
      </c>
      <c r="F632" s="12" t="inlineStr">
        <is>
          <t>U6X</t>
        </is>
      </c>
      <c r="G632" s="187" t="inlineStr">
        <is>
          <t>cm</t>
        </is>
      </c>
    </row>
    <row r="633">
      <c r="B633" s="11" t="inlineStr">
        <is>
          <t>D6Y</t>
        </is>
      </c>
      <c r="C633" s="12" t="inlineStr">
        <is>
          <t>U6Y</t>
        </is>
      </c>
      <c r="D633" s="187" t="inlineStr">
        <is>
          <t>=</t>
        </is>
      </c>
      <c r="E633" s="16">
        <f>IF(OR($G$4=0, 6&gt;$G$4), 0, IF(N520="RESTRINGIDO", 0, AL594))</f>
        <v/>
      </c>
      <c r="F633" s="12" t="inlineStr">
        <is>
          <t>U6Y</t>
        </is>
      </c>
      <c r="G633" s="187" t="inlineStr">
        <is>
          <t>cm</t>
        </is>
      </c>
    </row>
    <row r="634">
      <c r="B634" s="11" t="inlineStr">
        <is>
          <t>D6θ</t>
        </is>
      </c>
      <c r="C634" s="12" t="inlineStr">
        <is>
          <t>U6θ</t>
        </is>
      </c>
      <c r="D634" s="187" t="inlineStr">
        <is>
          <t>=</t>
        </is>
      </c>
      <c r="E634" s="16">
        <f>IF(OR($G$4=0, 6&gt;$G$4), 0, IF(N521="RESTRINGIDO", 0, AL595))</f>
        <v/>
      </c>
      <c r="F634" s="12" t="inlineStr">
        <is>
          <t>U6θ</t>
        </is>
      </c>
      <c r="G634" s="187" t="inlineStr">
        <is>
          <t>rad</t>
        </is>
      </c>
    </row>
    <row r="635">
      <c r="B635" s="11" t="inlineStr">
        <is>
          <t>D7X</t>
        </is>
      </c>
      <c r="C635" s="12" t="inlineStr">
        <is>
          <t>U7X</t>
        </is>
      </c>
      <c r="D635" s="187" t="inlineStr">
        <is>
          <t>=</t>
        </is>
      </c>
      <c r="E635" s="16">
        <f>IF(OR($G$4=0, 7&gt;$G$4), 0, IF(N522="RESTRINGIDO", 0, AL596))</f>
        <v/>
      </c>
      <c r="F635" s="12" t="inlineStr">
        <is>
          <t>U7X</t>
        </is>
      </c>
      <c r="G635" s="187" t="inlineStr">
        <is>
          <t>cm</t>
        </is>
      </c>
    </row>
    <row r="636">
      <c r="B636" s="11" t="inlineStr">
        <is>
          <t>D7Y</t>
        </is>
      </c>
      <c r="C636" s="12" t="inlineStr">
        <is>
          <t>U7Y</t>
        </is>
      </c>
      <c r="D636" s="187" t="inlineStr">
        <is>
          <t>=</t>
        </is>
      </c>
      <c r="E636" s="16">
        <f>IF(OR($G$4=0, 7&gt;$G$4), 0, IF(N523="RESTRINGIDO", 0, AL597))</f>
        <v/>
      </c>
      <c r="F636" s="12" t="inlineStr">
        <is>
          <t>U7Y</t>
        </is>
      </c>
      <c r="G636" s="187" t="inlineStr">
        <is>
          <t>cm</t>
        </is>
      </c>
    </row>
    <row r="637">
      <c r="B637" s="11" t="inlineStr">
        <is>
          <t>D7θ</t>
        </is>
      </c>
      <c r="C637" s="12" t="inlineStr">
        <is>
          <t>U7θ</t>
        </is>
      </c>
      <c r="D637" s="187" t="inlineStr">
        <is>
          <t>=</t>
        </is>
      </c>
      <c r="E637" s="16">
        <f>IF(OR($G$4=0, 7&gt;$G$4), 0, IF(N524="RESTRINGIDO", 0, AL598))</f>
        <v/>
      </c>
      <c r="F637" s="12" t="inlineStr">
        <is>
          <t>U7θ</t>
        </is>
      </c>
      <c r="G637" s="187" t="inlineStr">
        <is>
          <t>rad</t>
        </is>
      </c>
    </row>
    <row r="638">
      <c r="B638" s="11" t="inlineStr">
        <is>
          <t>D8X</t>
        </is>
      </c>
      <c r="C638" s="12" t="inlineStr">
        <is>
          <t>U8X</t>
        </is>
      </c>
      <c r="D638" s="187" t="inlineStr">
        <is>
          <t>=</t>
        </is>
      </c>
      <c r="E638" s="16">
        <f>IF(OR($G$4=0, 8&gt;$G$4), 0, IF(N525="RESTRINGIDO", 0, AL599))</f>
        <v/>
      </c>
      <c r="F638" s="12" t="inlineStr">
        <is>
          <t>U8X</t>
        </is>
      </c>
      <c r="G638" s="187" t="inlineStr">
        <is>
          <t>cm</t>
        </is>
      </c>
    </row>
    <row r="639">
      <c r="B639" s="11" t="inlineStr">
        <is>
          <t>D8Y</t>
        </is>
      </c>
      <c r="C639" s="12" t="inlineStr">
        <is>
          <t>U8Y</t>
        </is>
      </c>
      <c r="D639" s="187" t="inlineStr">
        <is>
          <t>=</t>
        </is>
      </c>
      <c r="E639" s="16">
        <f>IF(OR($G$4=0, 8&gt;$G$4), 0, IF(N526="RESTRINGIDO", 0, AL600))</f>
        <v/>
      </c>
      <c r="F639" s="12" t="inlineStr">
        <is>
          <t>U8Y</t>
        </is>
      </c>
      <c r="G639" s="187" t="inlineStr">
        <is>
          <t>cm</t>
        </is>
      </c>
    </row>
    <row r="640">
      <c r="B640" s="11" t="inlineStr">
        <is>
          <t>D8θ</t>
        </is>
      </c>
      <c r="C640" s="12" t="inlineStr">
        <is>
          <t>U8θ</t>
        </is>
      </c>
      <c r="D640" s="187" t="inlineStr">
        <is>
          <t>=</t>
        </is>
      </c>
      <c r="E640" s="16">
        <f>IF(OR($G$4=0, 8&gt;$G$4), 0, IF(N527="RESTRINGIDO", 0, AL601))</f>
        <v/>
      </c>
      <c r="F640" s="12" t="inlineStr">
        <is>
          <t>U8θ</t>
        </is>
      </c>
      <c r="G640" s="187" t="inlineStr">
        <is>
          <t>rad</t>
        </is>
      </c>
    </row>
    <row r="641">
      <c r="B641" s="11" t="inlineStr">
        <is>
          <t>D9X</t>
        </is>
      </c>
      <c r="C641" s="12" t="inlineStr">
        <is>
          <t>U9X</t>
        </is>
      </c>
      <c r="D641" s="187" t="inlineStr">
        <is>
          <t>=</t>
        </is>
      </c>
      <c r="E641" s="16">
        <f>IF(OR($G$4=0, 9&gt;$G$4), 0, IF(N528="RESTRINGIDO", 0, AL602))</f>
        <v/>
      </c>
      <c r="F641" s="12" t="inlineStr">
        <is>
          <t>U9X</t>
        </is>
      </c>
      <c r="G641" s="187" t="inlineStr">
        <is>
          <t>cm</t>
        </is>
      </c>
    </row>
    <row r="642">
      <c r="B642" s="11" t="inlineStr">
        <is>
          <t>D9Y</t>
        </is>
      </c>
      <c r="C642" s="12" t="inlineStr">
        <is>
          <t>U9Y</t>
        </is>
      </c>
      <c r="D642" s="187" t="inlineStr">
        <is>
          <t>=</t>
        </is>
      </c>
      <c r="E642" s="16">
        <f>IF(OR($G$4=0, 9&gt;$G$4), 0, IF(N529="RESTRINGIDO", 0, AL603))</f>
        <v/>
      </c>
      <c r="F642" s="12" t="inlineStr">
        <is>
          <t>U9Y</t>
        </is>
      </c>
      <c r="G642" s="187" t="inlineStr">
        <is>
          <t>cm</t>
        </is>
      </c>
    </row>
    <row r="643">
      <c r="B643" s="11" t="inlineStr">
        <is>
          <t>D9θ</t>
        </is>
      </c>
      <c r="C643" s="12" t="inlineStr">
        <is>
          <t>U9θ</t>
        </is>
      </c>
      <c r="D643" s="187" t="inlineStr">
        <is>
          <t>=</t>
        </is>
      </c>
      <c r="E643" s="16">
        <f>IF(OR($G$4=0, 9&gt;$G$4), 0, IF(N530="RESTRINGIDO", 0, AL604))</f>
        <v/>
      </c>
      <c r="F643" s="12" t="inlineStr">
        <is>
          <t>U9θ</t>
        </is>
      </c>
      <c r="G643" s="187" t="inlineStr">
        <is>
          <t>rad</t>
        </is>
      </c>
    </row>
    <row r="644">
      <c r="B644" s="11" t="inlineStr">
        <is>
          <t>D10X</t>
        </is>
      </c>
      <c r="C644" s="12" t="inlineStr">
        <is>
          <t>U10X</t>
        </is>
      </c>
      <c r="D644" s="187" t="inlineStr">
        <is>
          <t>=</t>
        </is>
      </c>
      <c r="E644" s="16">
        <f>IF(OR($G$4=0, 10&gt;$G$4), 0, IF(N531="RESTRINGIDO", 0, AL605))</f>
        <v/>
      </c>
      <c r="F644" s="12" t="inlineStr">
        <is>
          <t>U10X</t>
        </is>
      </c>
      <c r="G644" s="187" t="inlineStr">
        <is>
          <t>cm</t>
        </is>
      </c>
    </row>
    <row r="645">
      <c r="B645" s="11" t="inlineStr">
        <is>
          <t>D10Y</t>
        </is>
      </c>
      <c r="C645" s="12" t="inlineStr">
        <is>
          <t>U10Y</t>
        </is>
      </c>
      <c r="D645" s="187" t="inlineStr">
        <is>
          <t>=</t>
        </is>
      </c>
      <c r="E645" s="16">
        <f>IF(OR($G$4=0, 10&gt;$G$4), 0, IF(N532="RESTRINGIDO", 0, AL606))</f>
        <v/>
      </c>
      <c r="F645" s="12" t="inlineStr">
        <is>
          <t>U10Y</t>
        </is>
      </c>
      <c r="G645" s="187" t="inlineStr">
        <is>
          <t>cm</t>
        </is>
      </c>
    </row>
    <row r="646">
      <c r="B646" s="11" t="inlineStr">
        <is>
          <t>D10θ</t>
        </is>
      </c>
      <c r="C646" s="12" t="inlineStr">
        <is>
          <t>U10θ</t>
        </is>
      </c>
      <c r="D646" s="187" t="inlineStr">
        <is>
          <t>=</t>
        </is>
      </c>
      <c r="E646" s="16">
        <f>IF(OR($G$4=0, 10&gt;$G$4), 0, IF(N533="RESTRINGIDO", 0, AL607))</f>
        <v/>
      </c>
      <c r="F646" s="12" t="inlineStr">
        <is>
          <t>U10θ</t>
        </is>
      </c>
      <c r="G646" s="187" t="inlineStr">
        <is>
          <t>rad</t>
        </is>
      </c>
    </row>
    <row r="647">
      <c r="B647" s="11" t="inlineStr">
        <is>
          <t>D11X</t>
        </is>
      </c>
      <c r="C647" s="12" t="inlineStr">
        <is>
          <t>U11X</t>
        </is>
      </c>
      <c r="D647" s="187" t="inlineStr">
        <is>
          <t>=</t>
        </is>
      </c>
      <c r="E647" s="16">
        <f>IF(OR($G$4=0, 11&gt;$G$4), 0, IF(N534="RESTRINGIDO", 0, AL608))</f>
        <v/>
      </c>
      <c r="F647" s="12" t="inlineStr">
        <is>
          <t>U11X</t>
        </is>
      </c>
      <c r="G647" s="187" t="inlineStr">
        <is>
          <t>cm</t>
        </is>
      </c>
    </row>
    <row r="648">
      <c r="B648" s="11" t="inlineStr">
        <is>
          <t>D11Y</t>
        </is>
      </c>
      <c r="C648" s="12" t="inlineStr">
        <is>
          <t>U11Y</t>
        </is>
      </c>
      <c r="D648" s="187" t="inlineStr">
        <is>
          <t>=</t>
        </is>
      </c>
      <c r="E648" s="16">
        <f>IF(OR($G$4=0, 11&gt;$G$4), 0, IF(N535="RESTRINGIDO", 0, AL609))</f>
        <v/>
      </c>
      <c r="F648" s="12" t="inlineStr">
        <is>
          <t>U11Y</t>
        </is>
      </c>
      <c r="G648" s="187" t="inlineStr">
        <is>
          <t>cm</t>
        </is>
      </c>
    </row>
    <row r="649">
      <c r="B649" s="11" t="inlineStr">
        <is>
          <t>D11θ</t>
        </is>
      </c>
      <c r="C649" s="12" t="inlineStr">
        <is>
          <t>U11θ</t>
        </is>
      </c>
      <c r="D649" s="187" t="inlineStr">
        <is>
          <t>=</t>
        </is>
      </c>
      <c r="E649" s="16">
        <f>IF(OR($G$4=0, 11&gt;$G$4), 0, IF(N536="RESTRINGIDO", 0, AL610))</f>
        <v/>
      </c>
      <c r="F649" s="12" t="inlineStr">
        <is>
          <t>U11θ</t>
        </is>
      </c>
      <c r="G649" s="187" t="inlineStr">
        <is>
          <t>rad</t>
        </is>
      </c>
    </row>
    <row r="653">
      <c r="B653" s="53" t="inlineStr">
        <is>
          <t>RESUMEN DE REACCIONES EN LOS APOYOS</t>
        </is>
      </c>
      <c r="C653" s="190" t="n"/>
      <c r="D653" s="190" t="n"/>
      <c r="E653" s="190" t="n"/>
      <c r="F653" s="190" t="n"/>
      <c r="G653" s="190" t="n"/>
      <c r="H653" s="191" t="n"/>
    </row>
    <row r="654" ht="26.4" customHeight="1" s="183">
      <c r="B654" s="58" t="inlineStr">
        <is>
          <t>Símbolo</t>
        </is>
      </c>
      <c r="C654" s="58" t="inlineStr">
        <is>
          <t>G.D.L.</t>
        </is>
      </c>
      <c r="D654" s="58" t="inlineStr">
        <is>
          <t>=</t>
        </is>
      </c>
      <c r="E654" s="58" t="inlineStr">
        <is>
          <t>Valor Reacción</t>
        </is>
      </c>
      <c r="F654" s="58" t="inlineStr">
        <is>
          <t>G.D.L.</t>
        </is>
      </c>
      <c r="G654" s="58" t="inlineStr">
        <is>
          <t>Unidad</t>
        </is>
      </c>
      <c r="H654" s="58" t="inlineStr">
        <is>
          <t>Condición</t>
        </is>
      </c>
    </row>
    <row r="655" ht="26.4" customHeight="1" s="183">
      <c r="B655" s="11" t="inlineStr">
        <is>
          <t>R1X</t>
        </is>
      </c>
      <c r="C655" s="12" t="inlineStr">
        <is>
          <t>U1X</t>
        </is>
      </c>
      <c r="D655" s="187" t="inlineStr">
        <is>
          <t>=</t>
        </is>
      </c>
      <c r="E655" s="13">
        <f>IF(OR($G$4=0, 1&gt;$G$4), 0, IF(N504="RESTRINGIDO", AN578, 0))</f>
        <v/>
      </c>
      <c r="F655" s="12" t="inlineStr">
        <is>
          <t>U1X</t>
        </is>
      </c>
      <c r="G655" s="187" t="inlineStr">
        <is>
          <t>Kgf</t>
        </is>
      </c>
      <c r="H655" s="187">
        <f>N504</f>
        <v/>
      </c>
    </row>
    <row r="656" ht="26.4" customHeight="1" s="183">
      <c r="B656" s="11" t="inlineStr">
        <is>
          <t>R1Y</t>
        </is>
      </c>
      <c r="C656" s="12" t="inlineStr">
        <is>
          <t>U1Y</t>
        </is>
      </c>
      <c r="D656" s="187" t="inlineStr">
        <is>
          <t>=</t>
        </is>
      </c>
      <c r="E656" s="13">
        <f>IF(OR($G$4=0, 1&gt;$G$4), 0, IF(N505="RESTRINGIDO", AN579, 0))</f>
        <v/>
      </c>
      <c r="F656" s="12" t="inlineStr">
        <is>
          <t>U1Y</t>
        </is>
      </c>
      <c r="G656" s="187" t="inlineStr">
        <is>
          <t>Kgf</t>
        </is>
      </c>
      <c r="H656" s="187">
        <f>N505</f>
        <v/>
      </c>
    </row>
    <row r="657">
      <c r="B657" s="11" t="inlineStr">
        <is>
          <t>R1θ</t>
        </is>
      </c>
      <c r="C657" s="12" t="inlineStr">
        <is>
          <t>U1θ</t>
        </is>
      </c>
      <c r="D657" s="187" t="inlineStr">
        <is>
          <t>=</t>
        </is>
      </c>
      <c r="E657" s="13">
        <f>IF(OR($G$4=0, 1&gt;$G$4), 0, IF(N506="RESTRINGIDO", AN580, 0))</f>
        <v/>
      </c>
      <c r="F657" s="12" t="inlineStr">
        <is>
          <t>U1θ</t>
        </is>
      </c>
      <c r="G657" s="187" t="inlineStr">
        <is>
          <t>Kgf.cm</t>
        </is>
      </c>
      <c r="H657" s="187">
        <f>N506</f>
        <v/>
      </c>
    </row>
    <row r="658">
      <c r="B658" s="11" t="inlineStr">
        <is>
          <t>R2X</t>
        </is>
      </c>
      <c r="C658" s="12" t="inlineStr">
        <is>
          <t>U2X</t>
        </is>
      </c>
      <c r="D658" s="187" t="inlineStr">
        <is>
          <t>=</t>
        </is>
      </c>
      <c r="E658" s="13">
        <f>IF(OR($G$4=0, 2&gt;$G$4), 0, IF(N507="RESTRINGIDO", AN581, 0))</f>
        <v/>
      </c>
      <c r="F658" s="12" t="inlineStr">
        <is>
          <t>U2X</t>
        </is>
      </c>
      <c r="G658" s="187" t="inlineStr">
        <is>
          <t>Kgf</t>
        </is>
      </c>
      <c r="H658" s="187">
        <f>N507</f>
        <v/>
      </c>
    </row>
    <row r="659">
      <c r="B659" s="11" t="inlineStr">
        <is>
          <t>R2Y</t>
        </is>
      </c>
      <c r="C659" s="12" t="inlineStr">
        <is>
          <t>U2Y</t>
        </is>
      </c>
      <c r="D659" s="187" t="inlineStr">
        <is>
          <t>=</t>
        </is>
      </c>
      <c r="E659" s="13">
        <f>IF(OR($G$4=0, 2&gt;$G$4), 0, IF(N508="RESTRINGIDO", AN582, 0))</f>
        <v/>
      </c>
      <c r="F659" s="12" t="inlineStr">
        <is>
          <t>U2Y</t>
        </is>
      </c>
      <c r="G659" s="187" t="inlineStr">
        <is>
          <t>Kgf</t>
        </is>
      </c>
      <c r="H659" s="187">
        <f>N508</f>
        <v/>
      </c>
    </row>
    <row r="660">
      <c r="B660" s="11" t="inlineStr">
        <is>
          <t>R2θ</t>
        </is>
      </c>
      <c r="C660" s="12" t="inlineStr">
        <is>
          <t>U2θ</t>
        </is>
      </c>
      <c r="D660" s="187" t="inlineStr">
        <is>
          <t>=</t>
        </is>
      </c>
      <c r="E660" s="13">
        <f>IF(OR($G$4=0, 2&gt;$G$4), 0, IF(N509="RESTRINGIDO", AN583, 0))</f>
        <v/>
      </c>
      <c r="F660" s="12" t="inlineStr">
        <is>
          <t>U2θ</t>
        </is>
      </c>
      <c r="G660" s="187" t="inlineStr">
        <is>
          <t>Kgf.cm</t>
        </is>
      </c>
      <c r="H660" s="187">
        <f>N509</f>
        <v/>
      </c>
    </row>
    <row r="661">
      <c r="B661" s="11" t="inlineStr">
        <is>
          <t>R3X</t>
        </is>
      </c>
      <c r="C661" s="12" t="inlineStr">
        <is>
          <t>U3X</t>
        </is>
      </c>
      <c r="D661" s="187" t="inlineStr">
        <is>
          <t>=</t>
        </is>
      </c>
      <c r="E661" s="13">
        <f>IF(OR($G$4=0, 3&gt;$G$4), 0, IF(N510="RESTRINGIDO", AN584, 0))</f>
        <v/>
      </c>
      <c r="F661" s="12" t="inlineStr">
        <is>
          <t>U3X</t>
        </is>
      </c>
      <c r="G661" s="187" t="inlineStr">
        <is>
          <t>Kgf</t>
        </is>
      </c>
      <c r="H661" s="187">
        <f>N510</f>
        <v/>
      </c>
    </row>
    <row r="662" ht="26.4" customHeight="1" s="183">
      <c r="B662" s="11" t="inlineStr">
        <is>
          <t>R3Y</t>
        </is>
      </c>
      <c r="C662" s="12" t="inlineStr">
        <is>
          <t>U3Y</t>
        </is>
      </c>
      <c r="D662" s="187" t="inlineStr">
        <is>
          <t>=</t>
        </is>
      </c>
      <c r="E662" s="13">
        <f>IF(OR($G$4=0, 3&gt;$G$4), 0, IF(N511="RESTRINGIDO", AN585, 0))</f>
        <v/>
      </c>
      <c r="F662" s="12" t="inlineStr">
        <is>
          <t>U3Y</t>
        </is>
      </c>
      <c r="G662" s="187" t="inlineStr">
        <is>
          <t>Kgf</t>
        </is>
      </c>
      <c r="H662" s="187">
        <f>N511</f>
        <v/>
      </c>
    </row>
    <row r="663">
      <c r="B663" s="11" t="inlineStr">
        <is>
          <t>R3θ</t>
        </is>
      </c>
      <c r="C663" s="12" t="inlineStr">
        <is>
          <t>U3θ</t>
        </is>
      </c>
      <c r="D663" s="187" t="inlineStr">
        <is>
          <t>=</t>
        </is>
      </c>
      <c r="E663" s="13">
        <f>IF(OR($G$4=0, 3&gt;$G$4), 0, IF(N512="RESTRINGIDO", AN586, 0))</f>
        <v/>
      </c>
      <c r="F663" s="12" t="inlineStr">
        <is>
          <t>U3θ</t>
        </is>
      </c>
      <c r="G663" s="187" t="inlineStr">
        <is>
          <t>Kgf.cm</t>
        </is>
      </c>
      <c r="H663" s="187">
        <f>N512</f>
        <v/>
      </c>
    </row>
    <row r="664" ht="26.4" customHeight="1" s="183">
      <c r="B664" s="11" t="inlineStr">
        <is>
          <t>R4X</t>
        </is>
      </c>
      <c r="C664" s="12" t="inlineStr">
        <is>
          <t>U4X</t>
        </is>
      </c>
      <c r="D664" s="187" t="inlineStr">
        <is>
          <t>=</t>
        </is>
      </c>
      <c r="E664" s="13">
        <f>IF(OR($G$4=0, 4&gt;$G$4), 0, IF(N513="RESTRINGIDO", AN587, 0))</f>
        <v/>
      </c>
      <c r="F664" s="12" t="inlineStr">
        <is>
          <t>U4X</t>
        </is>
      </c>
      <c r="G664" s="187" t="inlineStr">
        <is>
          <t>Kgf</t>
        </is>
      </c>
      <c r="H664" s="187">
        <f>N513</f>
        <v/>
      </c>
    </row>
    <row r="665" ht="26.4" customHeight="1" s="183">
      <c r="B665" s="11" t="inlineStr">
        <is>
          <t>R4Y</t>
        </is>
      </c>
      <c r="C665" s="12" t="inlineStr">
        <is>
          <t>U4Y</t>
        </is>
      </c>
      <c r="D665" s="187" t="inlineStr">
        <is>
          <t>=</t>
        </is>
      </c>
      <c r="E665" s="13">
        <f>IF(OR($G$4=0, 4&gt;$G$4), 0, IF(N514="RESTRINGIDO", AN588, 0))</f>
        <v/>
      </c>
      <c r="F665" s="12" t="inlineStr">
        <is>
          <t>U4Y</t>
        </is>
      </c>
      <c r="G665" s="187" t="inlineStr">
        <is>
          <t>Kgf</t>
        </is>
      </c>
      <c r="H665" s="187">
        <f>N514</f>
        <v/>
      </c>
    </row>
    <row r="666" ht="26.4" customHeight="1" s="183">
      <c r="B666" s="11" t="inlineStr">
        <is>
          <t>R4θ</t>
        </is>
      </c>
      <c r="C666" s="12" t="inlineStr">
        <is>
          <t>U4θ</t>
        </is>
      </c>
      <c r="D666" s="187" t="inlineStr">
        <is>
          <t>=</t>
        </is>
      </c>
      <c r="E666" s="13">
        <f>IF(OR($G$4=0, 4&gt;$G$4), 0, IF(N515="RESTRINGIDO", AN589, 0))</f>
        <v/>
      </c>
      <c r="F666" s="12" t="inlineStr">
        <is>
          <t>U4θ</t>
        </is>
      </c>
      <c r="G666" s="187" t="inlineStr">
        <is>
          <t>Kgf.cm</t>
        </is>
      </c>
      <c r="H666" s="187">
        <f>N515</f>
        <v/>
      </c>
    </row>
    <row r="667" ht="26.4" customHeight="1" s="183">
      <c r="B667" s="11" t="inlineStr">
        <is>
          <t>R5X</t>
        </is>
      </c>
      <c r="C667" s="12" t="inlineStr">
        <is>
          <t>U5X</t>
        </is>
      </c>
      <c r="D667" s="187" t="inlineStr">
        <is>
          <t>=</t>
        </is>
      </c>
      <c r="E667" s="13">
        <f>IF(OR($G$4=0, 5&gt;$G$4), 0, IF(N516="RESTRINGIDO", AN590, 0))</f>
        <v/>
      </c>
      <c r="F667" s="12" t="inlineStr">
        <is>
          <t>U5X</t>
        </is>
      </c>
      <c r="G667" s="187" t="inlineStr">
        <is>
          <t>Kgf</t>
        </is>
      </c>
      <c r="H667" s="187">
        <f>N516</f>
        <v/>
      </c>
    </row>
    <row r="668" ht="26.4" customHeight="1" s="183">
      <c r="B668" s="11" t="inlineStr">
        <is>
          <t>R5Y</t>
        </is>
      </c>
      <c r="C668" s="12" t="inlineStr">
        <is>
          <t>U5Y</t>
        </is>
      </c>
      <c r="D668" s="187" t="inlineStr">
        <is>
          <t>=</t>
        </is>
      </c>
      <c r="E668" s="13">
        <f>IF(OR($G$4=0, 5&gt;$G$4), 0, IF(N517="RESTRINGIDO", AN591, 0))</f>
        <v/>
      </c>
      <c r="F668" s="12" t="inlineStr">
        <is>
          <t>U5Y</t>
        </is>
      </c>
      <c r="G668" s="187" t="inlineStr">
        <is>
          <t>Kgf</t>
        </is>
      </c>
      <c r="H668" s="187">
        <f>N517</f>
        <v/>
      </c>
    </row>
    <row r="669" ht="26.4" customHeight="1" s="183">
      <c r="B669" s="11" t="inlineStr">
        <is>
          <t>R5θ</t>
        </is>
      </c>
      <c r="C669" s="12" t="inlineStr">
        <is>
          <t>U5θ</t>
        </is>
      </c>
      <c r="D669" s="187" t="inlineStr">
        <is>
          <t>=</t>
        </is>
      </c>
      <c r="E669" s="13">
        <f>IF(OR($G$4=0, 5&gt;$G$4), 0, IF(N518="RESTRINGIDO", AN592, 0))</f>
        <v/>
      </c>
      <c r="F669" s="12" t="inlineStr">
        <is>
          <t>U5θ</t>
        </is>
      </c>
      <c r="G669" s="187" t="inlineStr">
        <is>
          <t>Kgf.cm</t>
        </is>
      </c>
      <c r="H669" s="187">
        <f>N518</f>
        <v/>
      </c>
    </row>
    <row r="670" ht="26.4" customHeight="1" s="183">
      <c r="B670" s="11" t="inlineStr">
        <is>
          <t>R6X</t>
        </is>
      </c>
      <c r="C670" s="12" t="inlineStr">
        <is>
          <t>U6X</t>
        </is>
      </c>
      <c r="D670" s="187" t="inlineStr">
        <is>
          <t>=</t>
        </is>
      </c>
      <c r="E670" s="13">
        <f>IF(OR($G$4=0, 6&gt;$G$4), 0, IF(N519="RESTRINGIDO", AN593, 0))</f>
        <v/>
      </c>
      <c r="F670" s="12" t="inlineStr">
        <is>
          <t>U6X</t>
        </is>
      </c>
      <c r="G670" s="187" t="inlineStr">
        <is>
          <t>Kgf</t>
        </is>
      </c>
      <c r="H670" s="187">
        <f>N519</f>
        <v/>
      </c>
    </row>
    <row r="671" ht="26.4" customHeight="1" s="183">
      <c r="B671" s="11" t="inlineStr">
        <is>
          <t>R6Y</t>
        </is>
      </c>
      <c r="C671" s="12" t="inlineStr">
        <is>
          <t>U6Y</t>
        </is>
      </c>
      <c r="D671" s="187" t="inlineStr">
        <is>
          <t>=</t>
        </is>
      </c>
      <c r="E671" s="13">
        <f>IF(OR($G$4=0, 6&gt;$G$4), 0, IF(N520="RESTRINGIDO", AN594, 0))</f>
        <v/>
      </c>
      <c r="F671" s="12" t="inlineStr">
        <is>
          <t>U6Y</t>
        </is>
      </c>
      <c r="G671" s="187" t="inlineStr">
        <is>
          <t>Kgf</t>
        </is>
      </c>
      <c r="H671" s="187">
        <f>N520</f>
        <v/>
      </c>
    </row>
    <row r="672" ht="26.4" customHeight="1" s="183">
      <c r="B672" s="11" t="inlineStr">
        <is>
          <t>R6θ</t>
        </is>
      </c>
      <c r="C672" s="12" t="inlineStr">
        <is>
          <t>U6θ</t>
        </is>
      </c>
      <c r="D672" s="187" t="inlineStr">
        <is>
          <t>=</t>
        </is>
      </c>
      <c r="E672" s="13">
        <f>IF(OR($G$4=0, 6&gt;$G$4), 0, IF(N521="RESTRINGIDO", AN595, 0))</f>
        <v/>
      </c>
      <c r="F672" s="12" t="inlineStr">
        <is>
          <t>U6θ</t>
        </is>
      </c>
      <c r="G672" s="187" t="inlineStr">
        <is>
          <t>Kgf.cm</t>
        </is>
      </c>
      <c r="H672" s="187">
        <f>N521</f>
        <v/>
      </c>
    </row>
    <row r="673" ht="26.4" customHeight="1" s="183">
      <c r="B673" s="11" t="inlineStr">
        <is>
          <t>R7X</t>
        </is>
      </c>
      <c r="C673" s="12" t="inlineStr">
        <is>
          <t>U7X</t>
        </is>
      </c>
      <c r="D673" s="187" t="inlineStr">
        <is>
          <t>=</t>
        </is>
      </c>
      <c r="E673" s="13">
        <f>IF(OR($G$4=0, 7&gt;$G$4), 0, IF(N522="RESTRINGIDO", AN596, 0))</f>
        <v/>
      </c>
      <c r="F673" s="12" t="inlineStr">
        <is>
          <t>U7X</t>
        </is>
      </c>
      <c r="G673" s="187" t="inlineStr">
        <is>
          <t>Kgf</t>
        </is>
      </c>
      <c r="H673" s="187">
        <f>N522</f>
        <v/>
      </c>
    </row>
    <row r="674" ht="26.4" customHeight="1" s="183">
      <c r="B674" s="11" t="inlineStr">
        <is>
          <t>R7Y</t>
        </is>
      </c>
      <c r="C674" s="12" t="inlineStr">
        <is>
          <t>U7Y</t>
        </is>
      </c>
      <c r="D674" s="187" t="inlineStr">
        <is>
          <t>=</t>
        </is>
      </c>
      <c r="E674" s="13">
        <f>IF(OR($G$4=0, 7&gt;$G$4), 0, IF(N523="RESTRINGIDO", AN597, 0))</f>
        <v/>
      </c>
      <c r="F674" s="12" t="inlineStr">
        <is>
          <t>U7Y</t>
        </is>
      </c>
      <c r="G674" s="187" t="inlineStr">
        <is>
          <t>Kgf</t>
        </is>
      </c>
      <c r="H674" s="187">
        <f>N523</f>
        <v/>
      </c>
    </row>
    <row r="675" ht="26.4" customHeight="1" s="183">
      <c r="B675" s="11" t="inlineStr">
        <is>
          <t>R7θ</t>
        </is>
      </c>
      <c r="C675" s="12" t="inlineStr">
        <is>
          <t>U7θ</t>
        </is>
      </c>
      <c r="D675" s="187" t="inlineStr">
        <is>
          <t>=</t>
        </is>
      </c>
      <c r="E675" s="13">
        <f>IF(OR($G$4=0, 7&gt;$G$4), 0, IF(N524="RESTRINGIDO", AN598, 0))</f>
        <v/>
      </c>
      <c r="F675" s="12" t="inlineStr">
        <is>
          <t>U7θ</t>
        </is>
      </c>
      <c r="G675" s="187" t="inlineStr">
        <is>
          <t>Kgf.cm</t>
        </is>
      </c>
      <c r="H675" s="187">
        <f>N524</f>
        <v/>
      </c>
    </row>
    <row r="676" ht="26.4" customHeight="1" s="183">
      <c r="B676" s="11" t="inlineStr">
        <is>
          <t>R8X</t>
        </is>
      </c>
      <c r="C676" s="12" t="inlineStr">
        <is>
          <t>U8X</t>
        </is>
      </c>
      <c r="D676" s="187" t="inlineStr">
        <is>
          <t>=</t>
        </is>
      </c>
      <c r="E676" s="13">
        <f>IF(OR($G$4=0, 8&gt;$G$4), 0, IF(N525="RESTRINGIDO", AN599, 0))</f>
        <v/>
      </c>
      <c r="F676" s="12" t="inlineStr">
        <is>
          <t>U8X</t>
        </is>
      </c>
      <c r="G676" s="187" t="inlineStr">
        <is>
          <t>Kgf</t>
        </is>
      </c>
      <c r="H676" s="187">
        <f>N525</f>
        <v/>
      </c>
    </row>
    <row r="677" ht="26.4" customHeight="1" s="183">
      <c r="B677" s="11" t="inlineStr">
        <is>
          <t>R8Y</t>
        </is>
      </c>
      <c r="C677" s="12" t="inlineStr">
        <is>
          <t>U8Y</t>
        </is>
      </c>
      <c r="D677" s="187" t="inlineStr">
        <is>
          <t>=</t>
        </is>
      </c>
      <c r="E677" s="13">
        <f>IF(OR($G$4=0, 8&gt;$G$4), 0, IF(N526="RESTRINGIDO", AN600, 0))</f>
        <v/>
      </c>
      <c r="F677" s="12" t="inlineStr">
        <is>
          <t>U8Y</t>
        </is>
      </c>
      <c r="G677" s="187" t="inlineStr">
        <is>
          <t>Kgf</t>
        </is>
      </c>
      <c r="H677" s="187">
        <f>N526</f>
        <v/>
      </c>
    </row>
    <row r="678" ht="26.4" customHeight="1" s="183">
      <c r="B678" s="11" t="inlineStr">
        <is>
          <t>R8θ</t>
        </is>
      </c>
      <c r="C678" s="12" t="inlineStr">
        <is>
          <t>U8θ</t>
        </is>
      </c>
      <c r="D678" s="187" t="inlineStr">
        <is>
          <t>=</t>
        </is>
      </c>
      <c r="E678" s="13">
        <f>IF(OR($G$4=0, 8&gt;$G$4), 0, IF(N527="RESTRINGIDO", AN601, 0))</f>
        <v/>
      </c>
      <c r="F678" s="12" t="inlineStr">
        <is>
          <t>U8θ</t>
        </is>
      </c>
      <c r="G678" s="187" t="inlineStr">
        <is>
          <t>Kgf.cm</t>
        </is>
      </c>
      <c r="H678" s="187">
        <f>N527</f>
        <v/>
      </c>
    </row>
    <row r="679" ht="26.4" customHeight="1" s="183">
      <c r="B679" s="11" t="inlineStr">
        <is>
          <t>R9X</t>
        </is>
      </c>
      <c r="C679" s="12" t="inlineStr">
        <is>
          <t>U9X</t>
        </is>
      </c>
      <c r="D679" s="187" t="inlineStr">
        <is>
          <t>=</t>
        </is>
      </c>
      <c r="E679" s="13">
        <f>IF(OR($G$4=0, 9&gt;$G$4), 0, IF(N528="RESTRINGIDO", AN602, 0))</f>
        <v/>
      </c>
      <c r="F679" s="12" t="inlineStr">
        <is>
          <t>U9X</t>
        </is>
      </c>
      <c r="G679" s="187" t="inlineStr">
        <is>
          <t>Kgf</t>
        </is>
      </c>
      <c r="H679" s="187">
        <f>N528</f>
        <v/>
      </c>
    </row>
    <row r="680" ht="26.4" customHeight="1" s="183">
      <c r="B680" s="11" t="inlineStr">
        <is>
          <t>R9Y</t>
        </is>
      </c>
      <c r="C680" s="12" t="inlineStr">
        <is>
          <t>U9Y</t>
        </is>
      </c>
      <c r="D680" s="187" t="inlineStr">
        <is>
          <t>=</t>
        </is>
      </c>
      <c r="E680" s="13">
        <f>IF(OR($G$4=0, 9&gt;$G$4), 0, IF(N529="RESTRINGIDO", AN603, 0))</f>
        <v/>
      </c>
      <c r="F680" s="12" t="inlineStr">
        <is>
          <t>U9Y</t>
        </is>
      </c>
      <c r="G680" s="187" t="inlineStr">
        <is>
          <t>Kgf</t>
        </is>
      </c>
      <c r="H680" s="187">
        <f>N529</f>
        <v/>
      </c>
    </row>
    <row r="681" ht="26.4" customHeight="1" s="183">
      <c r="B681" s="11" t="inlineStr">
        <is>
          <t>R9θ</t>
        </is>
      </c>
      <c r="C681" s="12" t="inlineStr">
        <is>
          <t>U9θ</t>
        </is>
      </c>
      <c r="D681" s="187" t="inlineStr">
        <is>
          <t>=</t>
        </is>
      </c>
      <c r="E681" s="13">
        <f>IF(OR($G$4=0, 9&gt;$G$4), 0, IF(N530="RESTRINGIDO", AN604, 0))</f>
        <v/>
      </c>
      <c r="F681" s="12" t="inlineStr">
        <is>
          <t>U9θ</t>
        </is>
      </c>
      <c r="G681" s="187" t="inlineStr">
        <is>
          <t>Kgf.cm</t>
        </is>
      </c>
      <c r="H681" s="187">
        <f>N530</f>
        <v/>
      </c>
    </row>
    <row r="682" ht="26.4" customHeight="1" s="183">
      <c r="B682" s="11" t="inlineStr">
        <is>
          <t>R10X</t>
        </is>
      </c>
      <c r="C682" s="12" t="inlineStr">
        <is>
          <t>U10X</t>
        </is>
      </c>
      <c r="D682" s="187" t="inlineStr">
        <is>
          <t>=</t>
        </is>
      </c>
      <c r="E682" s="13">
        <f>IF(OR($G$4=0, 10&gt;$G$4), 0, IF(N531="RESTRINGIDO", AN605, 0))</f>
        <v/>
      </c>
      <c r="F682" s="12" t="inlineStr">
        <is>
          <t>U10X</t>
        </is>
      </c>
      <c r="G682" s="187" t="inlineStr">
        <is>
          <t>Kgf</t>
        </is>
      </c>
      <c r="H682" s="187">
        <f>N531</f>
        <v/>
      </c>
    </row>
    <row r="683" ht="26.4" customHeight="1" s="183">
      <c r="B683" s="11" t="inlineStr">
        <is>
          <t>R10Y</t>
        </is>
      </c>
      <c r="C683" s="12" t="inlineStr">
        <is>
          <t>U10Y</t>
        </is>
      </c>
      <c r="D683" s="187" t="inlineStr">
        <is>
          <t>=</t>
        </is>
      </c>
      <c r="E683" s="13">
        <f>IF(OR($G$4=0, 10&gt;$G$4), 0, IF(N532="RESTRINGIDO", AN606, 0))</f>
        <v/>
      </c>
      <c r="F683" s="12" t="inlineStr">
        <is>
          <t>U10Y</t>
        </is>
      </c>
      <c r="G683" s="187" t="inlineStr">
        <is>
          <t>Kgf</t>
        </is>
      </c>
      <c r="H683" s="187">
        <f>N532</f>
        <v/>
      </c>
    </row>
    <row r="684" ht="26.4" customHeight="1" s="183">
      <c r="B684" s="11" t="inlineStr">
        <is>
          <t>R10θ</t>
        </is>
      </c>
      <c r="C684" s="12" t="inlineStr">
        <is>
          <t>U10θ</t>
        </is>
      </c>
      <c r="D684" s="187" t="inlineStr">
        <is>
          <t>=</t>
        </is>
      </c>
      <c r="E684" s="13">
        <f>IF(OR($G$4=0, 10&gt;$G$4), 0, IF(N533="RESTRINGIDO", AN607, 0))</f>
        <v/>
      </c>
      <c r="F684" s="12" t="inlineStr">
        <is>
          <t>U10θ</t>
        </is>
      </c>
      <c r="G684" s="187" t="inlineStr">
        <is>
          <t>Kgf.cm</t>
        </is>
      </c>
      <c r="H684" s="187">
        <f>N533</f>
        <v/>
      </c>
    </row>
    <row r="685" ht="26.4" customHeight="1" s="183">
      <c r="B685" s="11" t="inlineStr">
        <is>
          <t>R11X</t>
        </is>
      </c>
      <c r="C685" s="12" t="inlineStr">
        <is>
          <t>U11X</t>
        </is>
      </c>
      <c r="D685" s="187" t="inlineStr">
        <is>
          <t>=</t>
        </is>
      </c>
      <c r="E685" s="13">
        <f>IF(OR($G$4=0, 11&gt;$G$4), 0, IF(N534="RESTRINGIDO", AN608, 0))</f>
        <v/>
      </c>
      <c r="F685" s="12" t="inlineStr">
        <is>
          <t>U11X</t>
        </is>
      </c>
      <c r="G685" s="187" t="inlineStr">
        <is>
          <t>Kgf</t>
        </is>
      </c>
      <c r="H685" s="187">
        <f>N534</f>
        <v/>
      </c>
    </row>
    <row r="686" ht="26.4" customHeight="1" s="183">
      <c r="B686" s="11" t="inlineStr">
        <is>
          <t>R11Y</t>
        </is>
      </c>
      <c r="C686" s="12" t="inlineStr">
        <is>
          <t>U11Y</t>
        </is>
      </c>
      <c r="D686" s="187" t="inlineStr">
        <is>
          <t>=</t>
        </is>
      </c>
      <c r="E686" s="13">
        <f>IF(OR($G$4=0, 11&gt;$G$4), 0, IF(N535="RESTRINGIDO", AN609, 0))</f>
        <v/>
      </c>
      <c r="F686" s="12" t="inlineStr">
        <is>
          <t>U11Y</t>
        </is>
      </c>
      <c r="G686" s="187" t="inlineStr">
        <is>
          <t>Kgf</t>
        </is>
      </c>
      <c r="H686" s="187">
        <f>N535</f>
        <v/>
      </c>
    </row>
    <row r="687" ht="26.4" customHeight="1" s="183">
      <c r="B687" s="11" t="inlineStr">
        <is>
          <t>R11θ</t>
        </is>
      </c>
      <c r="C687" s="12" t="inlineStr">
        <is>
          <t>U11θ</t>
        </is>
      </c>
      <c r="D687" s="187" t="inlineStr">
        <is>
          <t>=</t>
        </is>
      </c>
      <c r="E687" s="13">
        <f>IF(OR($G$4=0, 11&gt;$G$4), 0, IF(N536="RESTRINGIDO", AN610, 0))</f>
        <v/>
      </c>
      <c r="F687" s="12" t="inlineStr">
        <is>
          <t>U11θ</t>
        </is>
      </c>
      <c r="G687" s="187" t="inlineStr">
        <is>
          <t>Kgf.cm</t>
        </is>
      </c>
      <c r="H687" s="187">
        <f>N536</f>
        <v/>
      </c>
    </row>
    <row r="691">
      <c r="B691" s="53" t="inlineStr">
        <is>
          <t>DATOS PARA GRAFICAR LA CURVA ELÁSTICA</t>
        </is>
      </c>
      <c r="C691" s="190" t="n"/>
      <c r="D691" s="190" t="n"/>
      <c r="E691" s="191" t="n"/>
    </row>
    <row r="692">
      <c r="B692" s="17" t="inlineStr">
        <is>
          <t>Nudo</t>
        </is>
      </c>
      <c r="C692" s="17" t="inlineStr">
        <is>
          <t>X (cm)</t>
        </is>
      </c>
      <c r="D692" s="17" t="inlineStr">
        <is>
          <t>DY (cm)</t>
        </is>
      </c>
      <c r="E692" s="17" t="inlineStr">
        <is>
          <t>θ (rad)</t>
        </is>
      </c>
    </row>
    <row r="693">
      <c r="B693" s="187" t="n">
        <v>1</v>
      </c>
      <c r="C693" s="189" t="n">
        <v>0</v>
      </c>
      <c r="D693" s="188">
        <f>IF(E618="","", E618)</f>
        <v/>
      </c>
      <c r="E693" s="188">
        <f>IF(E619="","", E619)</f>
        <v/>
      </c>
    </row>
    <row r="694">
      <c r="B694" s="187" t="n">
        <v>2</v>
      </c>
      <c r="C694" s="189">
        <f>IF(I9="","", C693+I9)</f>
        <v/>
      </c>
      <c r="D694" s="188">
        <f>IF(I9="","", E621)</f>
        <v/>
      </c>
      <c r="E694" s="188">
        <f>IF(I9="","", E622)</f>
        <v/>
      </c>
    </row>
    <row r="695">
      <c r="B695" s="187" t="n">
        <v>3</v>
      </c>
      <c r="C695" s="189">
        <f>IF(I10="","", C694+I10)</f>
        <v/>
      </c>
      <c r="D695" s="188">
        <f>IF(I10="","", E624)</f>
        <v/>
      </c>
      <c r="E695" s="188">
        <f>IF(I10="","", E625)</f>
        <v/>
      </c>
    </row>
    <row r="696">
      <c r="B696" s="187" t="n">
        <v>4</v>
      </c>
      <c r="C696" s="189">
        <f>IF(I11="","", C695+I11)</f>
        <v/>
      </c>
      <c r="D696" s="188">
        <f>IF(I11="","", E627)</f>
        <v/>
      </c>
      <c r="E696" s="188">
        <f>IF(I11="","", E628)</f>
        <v/>
      </c>
    </row>
    <row r="697">
      <c r="B697" s="187" t="n">
        <v>5</v>
      </c>
      <c r="C697" s="189">
        <f>IF(I12="","", C696+I12)</f>
        <v/>
      </c>
      <c r="D697" s="188">
        <f>IF(I12="","", E630)</f>
        <v/>
      </c>
      <c r="E697" s="188">
        <f>IF(I12="","", E631)</f>
        <v/>
      </c>
    </row>
    <row r="698">
      <c r="B698" s="187" t="n">
        <v>6</v>
      </c>
      <c r="C698" s="189">
        <f>IF(I13="","", C697+I13)</f>
        <v/>
      </c>
      <c r="D698" s="188">
        <f>IF(I13="","", E633)</f>
        <v/>
      </c>
      <c r="E698" s="188">
        <f>IF(I13="","", E634)</f>
        <v/>
      </c>
    </row>
    <row r="699">
      <c r="B699" s="187" t="n">
        <v>7</v>
      </c>
      <c r="C699" s="189">
        <f>IF(I14="","", C698+I14)</f>
        <v/>
      </c>
      <c r="D699" s="188">
        <f>IF(I14="","", E636)</f>
        <v/>
      </c>
      <c r="E699" s="188">
        <f>IF(I14="","", E637)</f>
        <v/>
      </c>
    </row>
    <row r="700">
      <c r="B700" s="187" t="n">
        <v>8</v>
      </c>
      <c r="C700" s="189">
        <f>IF(I15="","", C699+I15)</f>
        <v/>
      </c>
      <c r="D700" s="188">
        <f>IF(I15="","", E639)</f>
        <v/>
      </c>
      <c r="E700" s="188">
        <f>IF(I15="","", E640)</f>
        <v/>
      </c>
    </row>
    <row r="701">
      <c r="B701" s="187" t="n">
        <v>9</v>
      </c>
      <c r="C701" s="189">
        <f>IF(I16="","", C700+I16)</f>
        <v/>
      </c>
      <c r="D701" s="188">
        <f>IF(I16="","", E642)</f>
        <v/>
      </c>
      <c r="E701" s="188">
        <f>IF(I16="","", E643)</f>
        <v/>
      </c>
    </row>
    <row r="702">
      <c r="B702" s="187" t="n">
        <v>10</v>
      </c>
      <c r="C702" s="189">
        <f>IF(I17="","", C701+I17)</f>
        <v/>
      </c>
      <c r="D702" s="188">
        <f>IF(I17="","", E645)</f>
        <v/>
      </c>
      <c r="E702" s="188">
        <f>IF(I17="","", E646)</f>
        <v/>
      </c>
    </row>
    <row r="703">
      <c r="B703" s="187" t="n">
        <v>11</v>
      </c>
      <c r="C703" s="189">
        <f>IF(I18="","", C702+I18)</f>
        <v/>
      </c>
      <c r="D703" s="188">
        <f>IF(I18="","", E648)</f>
        <v/>
      </c>
      <c r="E703" s="188">
        <f>IF(I18="","", E649)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69"/>
  <mergeCells count="34">
    <mergeCell ref="F20:H20"/>
    <mergeCell ref="C20:E20"/>
    <mergeCell ref="AP3:AT3"/>
    <mergeCell ref="B465:AH465"/>
    <mergeCell ref="B1:D1"/>
    <mergeCell ref="R7:R8"/>
    <mergeCell ref="G7:G8"/>
    <mergeCell ref="I7:I8"/>
    <mergeCell ref="B539:AH539"/>
    <mergeCell ref="M7:M8"/>
    <mergeCell ref="S7:S8"/>
    <mergeCell ref="B503:F503"/>
    <mergeCell ref="H503:L503"/>
    <mergeCell ref="AK16:AS16"/>
    <mergeCell ref="AK1:AY1"/>
    <mergeCell ref="H7:H8"/>
    <mergeCell ref="J7:J8"/>
    <mergeCell ref="P7:P8"/>
    <mergeCell ref="AK2:AY2"/>
    <mergeCell ref="K7:K8"/>
    <mergeCell ref="B20:B21"/>
    <mergeCell ref="B502:AH502"/>
    <mergeCell ref="O7:O8"/>
    <mergeCell ref="Q7:Q8"/>
    <mergeCell ref="B576:AH576"/>
    <mergeCell ref="C7:D7"/>
    <mergeCell ref="E7:F7"/>
    <mergeCell ref="B615:G615"/>
    <mergeCell ref="AU3:AY3"/>
    <mergeCell ref="B653:H653"/>
    <mergeCell ref="B7:B8"/>
    <mergeCell ref="B691:E691"/>
    <mergeCell ref="L7:L8"/>
    <mergeCell ref="N7: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704"/>
  <sheetViews>
    <sheetView tabSelected="1" topLeftCell="A483" zoomScale="53" workbookViewId="0">
      <selection activeCell="L699" sqref="L699"/>
    </sheetView>
  </sheetViews>
  <sheetFormatPr baseColWidth="10" defaultColWidth="8.88671875" defaultRowHeight="14.4"/>
  <cols>
    <col width="11" customWidth="1" style="183" min="1" max="1"/>
    <col width="13" customWidth="1" style="183" min="2" max="12"/>
    <col width="20.77734375" customWidth="1" style="183" min="13" max="13"/>
    <col width="16.109375" customWidth="1" style="183" min="14" max="14"/>
    <col width="13" customWidth="1" style="183" min="15" max="16"/>
    <col width="17.6640625" customWidth="1" style="183" min="17" max="17"/>
    <col width="13" customWidth="1" style="183" min="18" max="34"/>
    <col width="10" customWidth="1" style="183" min="35" max="35"/>
    <col width="14.21875" customWidth="1" style="183" min="36" max="36"/>
    <col width="15" customWidth="1" style="183" min="37" max="59"/>
  </cols>
  <sheetData>
    <row r="1">
      <c r="B1" s="55" t="inlineStr">
        <is>
          <t>PROPIEDADES DEL MATERIAL Y SECCIÓN (10 TRAMOS)</t>
        </is>
      </c>
      <c r="C1" s="190" t="n"/>
      <c r="D1" s="191" t="n"/>
      <c r="AK1" s="56" t="inlineStr">
        <is>
          <t>MODULO A: CARGAS PUNTUALES Y OBLICUAS (CARTESIANAS X - Y)</t>
        </is>
      </c>
    </row>
    <row r="2" ht="39.6" customHeight="1" s="183">
      <c r="B2" s="1" t="inlineStr">
        <is>
          <t>E (Elasticidad) =</t>
        </is>
      </c>
      <c r="C2" s="189" t="n">
        <v>150000</v>
      </c>
      <c r="D2" s="187" t="inlineStr">
        <is>
          <t>kgf/cm²</t>
        </is>
      </c>
      <c r="AK2" s="58" t="inlineStr">
        <is>
          <t>Carga / Nudo</t>
        </is>
      </c>
      <c r="AL2" s="58" t="inlineStr">
        <is>
          <t>Magnitud P (Kgf)</t>
        </is>
      </c>
      <c r="AM2" s="58" t="inlineStr">
        <is>
          <t>Ángulo α (°)</t>
        </is>
      </c>
      <c r="AN2" s="58" t="inlineStr">
        <is>
          <t>α (rad)</t>
        </is>
      </c>
      <c r="AO2" s="58" t="inlineStr">
        <is>
          <t>Px = P*COS(α) (Kgf)</t>
        </is>
      </c>
      <c r="AP2" s="58" t="inlineStr">
        <is>
          <t>Py = -P*SEN(α) (Kgf)</t>
        </is>
      </c>
      <c r="AQ2" s="58" t="inlineStr">
        <is>
          <t>Momento M (Kgf.cm)</t>
        </is>
      </c>
      <c r="AR2" s="58" t="inlineStr">
        <is>
          <t>M en Kgf.m</t>
        </is>
      </c>
    </row>
    <row r="3" ht="26.4" customHeight="1" s="183">
      <c r="B3" s="1" t="inlineStr">
        <is>
          <t>b (Base) =</t>
        </is>
      </c>
      <c r="C3" s="189" t="n">
        <v>5</v>
      </c>
      <c r="D3" s="187" t="inlineStr">
        <is>
          <t>cm</t>
        </is>
      </c>
      <c r="F3" s="5" t="inlineStr">
        <is>
          <t>Tramos Utilizados =</t>
        </is>
      </c>
      <c r="G3" s="186">
        <f>COUNT(I9:I18)</f>
        <v/>
      </c>
      <c r="AK3" s="187" t="inlineStr">
        <is>
          <t>Carga 1 (Nudo 1)</t>
        </is>
      </c>
      <c r="AL3" s="187" t="n"/>
      <c r="AM3" s="187" t="n"/>
      <c r="AN3" s="187">
        <f>IF(AM3="","", RADIANS(AM3))</f>
        <v/>
      </c>
      <c r="AO3" s="187">
        <f>IF(AL3="","", ROUND(AL3*COS(AN3), 4))</f>
        <v/>
      </c>
      <c r="AP3" s="187">
        <f>IF(AL3="","", -ROUND(AL3*SIN(AN3), 4))</f>
        <v/>
      </c>
      <c r="AQ3" s="187" t="n"/>
      <c r="AR3" s="187">
        <f>IF(AQ3="","", AQ3/100)</f>
        <v/>
      </c>
    </row>
    <row r="4" ht="26.4" customHeight="1" s="183">
      <c r="B4" s="1" t="inlineStr">
        <is>
          <t>h (Altura) =</t>
        </is>
      </c>
      <c r="C4" s="189" t="n">
        <v>10</v>
      </c>
      <c r="D4" s="187" t="inlineStr">
        <is>
          <t>cm</t>
        </is>
      </c>
      <c r="F4" s="5" t="inlineStr">
        <is>
          <t>Nodos Utilizados =</t>
        </is>
      </c>
      <c r="G4" s="186">
        <f>IF(G3&gt;0, G3+1, 0)</f>
        <v/>
      </c>
      <c r="AK4" s="187" t="inlineStr">
        <is>
          <t>Carga 2 (Nudo 2)</t>
        </is>
      </c>
      <c r="AL4" s="187" t="n"/>
      <c r="AM4" s="187" t="n"/>
      <c r="AN4" s="187">
        <f>IF(AM4="","", RADIANS(AM4))</f>
        <v/>
      </c>
      <c r="AO4" s="187">
        <f>IF(AL4="","", ROUND(AL4*COS(AN4), 4))</f>
        <v/>
      </c>
      <c r="AP4" s="187">
        <f>IF(AL4="","", -ROUND(AL4*SIN(AN4), 4))</f>
        <v/>
      </c>
      <c r="AQ4" s="187" t="n"/>
      <c r="AR4" s="187">
        <f>IF(AQ4="","", AQ4/100)</f>
        <v/>
      </c>
    </row>
    <row r="5" ht="26.4" customHeight="1" s="183">
      <c r="B5" s="1" t="inlineStr">
        <is>
          <t>Área =</t>
        </is>
      </c>
      <c r="C5" s="187">
        <f>C3*C4</f>
        <v/>
      </c>
      <c r="D5" s="187" t="inlineStr">
        <is>
          <t>cm²</t>
        </is>
      </c>
      <c r="E5" s="1" t="inlineStr">
        <is>
          <t>Inercia =</t>
        </is>
      </c>
      <c r="F5" s="189">
        <f>(C3*(C4^3))/12</f>
        <v/>
      </c>
      <c r="G5" s="187" t="inlineStr">
        <is>
          <t>cm⁴</t>
        </is>
      </c>
      <c r="AK5" s="187" t="inlineStr">
        <is>
          <t>Carga 3 (Nudo 3)</t>
        </is>
      </c>
      <c r="AL5" s="187" t="n"/>
      <c r="AM5" s="187" t="n"/>
      <c r="AN5" s="187">
        <f>IF(AM5="","", RADIANS(AM5))</f>
        <v/>
      </c>
      <c r="AO5" s="187">
        <f>IF(AL5="","", ROUND(AL5*COS(AN5), 4))</f>
        <v/>
      </c>
      <c r="AP5" s="187">
        <f>IF(AL5="","", -ROUND(AL5*SIN(AN5), 4))</f>
        <v/>
      </c>
      <c r="AQ5" s="187" t="n"/>
      <c r="AR5" s="187">
        <f>IF(AQ5="","", AQ5/100)</f>
        <v/>
      </c>
    </row>
    <row r="6" ht="26.4" customHeight="1" s="183">
      <c r="AK6" s="187" t="inlineStr">
        <is>
          <t>Carga 4 (Nudo 4)</t>
        </is>
      </c>
      <c r="AL6" s="187" t="n"/>
      <c r="AM6" s="187" t="n"/>
      <c r="AN6" s="187">
        <f>IF(AM6="","", RADIANS(AM6))</f>
        <v/>
      </c>
      <c r="AO6" s="187">
        <f>IF(AL6="","", ROUND(AL6*COS(AN6), 4))</f>
        <v/>
      </c>
      <c r="AP6" s="187">
        <f>IF(AL6="","", -ROUND(AL6*SIN(AN6), 4))</f>
        <v/>
      </c>
      <c r="AQ6" s="187" t="n"/>
      <c r="AR6" s="187">
        <f>IF(AQ6="","", AQ6/100)</f>
        <v/>
      </c>
    </row>
    <row r="7" ht="26.4" customHeight="1" s="183">
      <c r="B7" s="51" t="inlineStr">
        <is>
          <t>Barra</t>
        </is>
      </c>
      <c r="C7" s="51" t="inlineStr">
        <is>
          <t>INICIO</t>
        </is>
      </c>
      <c r="D7" s="191" t="n"/>
      <c r="E7" s="51" t="inlineStr">
        <is>
          <t>FIN</t>
        </is>
      </c>
      <c r="F7" s="191" t="n"/>
      <c r="G7" s="51" t="inlineStr">
        <is>
          <t>ΔX</t>
        </is>
      </c>
      <c r="H7" s="51" t="inlineStr">
        <is>
          <t>ΔY</t>
        </is>
      </c>
      <c r="I7" s="51" t="inlineStr">
        <is>
          <t>L (cm)</t>
        </is>
      </c>
      <c r="J7" s="51" t="inlineStr">
        <is>
          <t>Cosx</t>
        </is>
      </c>
      <c r="K7" s="51" t="inlineStr">
        <is>
          <t>Cosy</t>
        </is>
      </c>
      <c r="L7" s="51" t="inlineStr">
        <is>
          <t>E</t>
        </is>
      </c>
      <c r="M7" s="51" t="inlineStr">
        <is>
          <t>A</t>
        </is>
      </c>
      <c r="N7" s="51" t="inlineStr">
        <is>
          <t>I</t>
        </is>
      </c>
      <c r="O7" s="51" t="inlineStr">
        <is>
          <t>EA/L</t>
        </is>
      </c>
      <c r="P7" s="51" t="inlineStr">
        <is>
          <t>12EI/L³</t>
        </is>
      </c>
      <c r="Q7" s="51" t="inlineStr">
        <is>
          <t>6EI/L²</t>
        </is>
      </c>
      <c r="R7" s="51" t="inlineStr">
        <is>
          <t>4EI/L</t>
        </is>
      </c>
      <c r="S7" s="51" t="inlineStr">
        <is>
          <t>2EI/L</t>
        </is>
      </c>
      <c r="AK7" s="187" t="inlineStr">
        <is>
          <t>Carga 5 (Nudo 5)</t>
        </is>
      </c>
      <c r="AL7" s="187" t="n"/>
      <c r="AM7" s="187" t="n"/>
      <c r="AN7" s="187">
        <f>IF(AM7="","", RADIANS(AM7))</f>
        <v/>
      </c>
      <c r="AO7" s="187">
        <f>IF(AL7="","", ROUND(AL7*COS(AN7), 4))</f>
        <v/>
      </c>
      <c r="AP7" s="187">
        <f>IF(AL7="","", -ROUND(AL7*SIN(AN7), 4))</f>
        <v/>
      </c>
      <c r="AQ7" s="187" t="n"/>
      <c r="AR7" s="187">
        <f>IF(AQ7="","", AQ7/100)</f>
        <v/>
      </c>
    </row>
    <row r="8" ht="26.4" customHeight="1" s="183">
      <c r="B8" s="192" t="n"/>
      <c r="C8" s="51" t="inlineStr">
        <is>
          <t>Xi</t>
        </is>
      </c>
      <c r="D8" s="51" t="inlineStr">
        <is>
          <t>Yi</t>
        </is>
      </c>
      <c r="E8" s="51" t="inlineStr">
        <is>
          <t>Xf</t>
        </is>
      </c>
      <c r="F8" s="51" t="inlineStr">
        <is>
          <t>Yf</t>
        </is>
      </c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AK8" s="187" t="inlineStr">
        <is>
          <t>Carga 6 (Nudo 6)</t>
        </is>
      </c>
      <c r="AL8" s="187" t="n"/>
      <c r="AM8" s="187" t="n"/>
      <c r="AN8" s="187">
        <f>IF(AM8="","", RADIANS(AM8))</f>
        <v/>
      </c>
      <c r="AO8" s="187">
        <f>IF(AL8="","", ROUND(AL8*COS(AN8), 4))</f>
        <v/>
      </c>
      <c r="AP8" s="187">
        <f>IF(AL8="","", -ROUND(AL8*SIN(AN8), 4))</f>
        <v/>
      </c>
      <c r="AQ8" s="187" t="n"/>
      <c r="AR8" s="187">
        <f>IF(AQ8="","", AQ8/100)</f>
        <v/>
      </c>
    </row>
    <row r="9" ht="26.4" customHeight="1" s="183">
      <c r="B9" s="187" t="n">
        <v>1</v>
      </c>
      <c r="C9" s="187" t="n">
        <v>0</v>
      </c>
      <c r="D9" s="187" t="n">
        <v>0</v>
      </c>
      <c r="E9" s="187" t="n">
        <v>200</v>
      </c>
      <c r="F9" s="187" t="n">
        <v>0</v>
      </c>
      <c r="G9" s="187">
        <f>IF(OR(C9="",E9=""),"", E9-C9)</f>
        <v/>
      </c>
      <c r="H9" s="187">
        <f>IF(OR(D9="",F9=""),"", F9-D9)</f>
        <v/>
      </c>
      <c r="I9" s="187">
        <f>IF(OR(G9="",H9=""),"", SQRT(G9*G9+H9*H9))</f>
        <v/>
      </c>
      <c r="J9" s="187">
        <f>IF(OR(I9="",I9=0),"", G9/I9)</f>
        <v/>
      </c>
      <c r="K9" s="187">
        <f>IF(OR(I9="",I9=0),"", H9/I9)</f>
        <v/>
      </c>
      <c r="L9" s="187">
        <f>IF(I9="","", $C$2)</f>
        <v/>
      </c>
      <c r="M9" s="187">
        <f>IF(I9="","", $C$5)</f>
        <v/>
      </c>
      <c r="N9" s="187">
        <f>IF(I9="","", $F$5)</f>
        <v/>
      </c>
      <c r="O9" s="75">
        <f>IF(OR(I9="",I9=0),"", L9*M9/I9)</f>
        <v/>
      </c>
      <c r="P9" s="75">
        <f>IF(OR(I9="",I9=0),"", 12*L9*N9/(I9^3))</f>
        <v/>
      </c>
      <c r="Q9" s="75">
        <f>IF(OR(I9="",I9=0),"", 6*L9*N9/(I9^2))</f>
        <v/>
      </c>
      <c r="R9" s="75">
        <f>IF(OR(I9="",I9=0),"", 4*L9*N9/I9)</f>
        <v/>
      </c>
      <c r="S9" s="75">
        <f>IF(OR(I9="",I9=0),"", 2*L9*N9/I9)</f>
        <v/>
      </c>
      <c r="AK9" s="187" t="inlineStr">
        <is>
          <t>Carga 7 (Nudo 7)</t>
        </is>
      </c>
      <c r="AL9" s="187" t="n"/>
      <c r="AM9" s="187" t="n"/>
      <c r="AN9" s="187">
        <f>IF(AM9="","", RADIANS(AM9))</f>
        <v/>
      </c>
      <c r="AO9" s="187">
        <f>IF(AL9="","", ROUND(AL9*COS(AN9), 4))</f>
        <v/>
      </c>
      <c r="AP9" s="187">
        <f>IF(AL9="","", -ROUND(AL9*SIN(AN9), 4))</f>
        <v/>
      </c>
      <c r="AQ9" s="187" t="n"/>
      <c r="AR9" s="187">
        <f>IF(AQ9="","", AQ9/100)</f>
        <v/>
      </c>
    </row>
    <row r="10" ht="26.4" customHeight="1" s="183">
      <c r="B10" s="187" t="n">
        <v>2</v>
      </c>
      <c r="C10" s="187" t="n">
        <v>200</v>
      </c>
      <c r="D10" s="187" t="n">
        <v>0</v>
      </c>
      <c r="E10" s="187" t="n">
        <v>500</v>
      </c>
      <c r="F10" s="187" t="n">
        <v>0</v>
      </c>
      <c r="G10" s="187">
        <f>IF(OR(C10="",E10=""),"", E10-C10)</f>
        <v/>
      </c>
      <c r="H10" s="187">
        <f>IF(OR(D10="",F10=""),"", F10-D10)</f>
        <v/>
      </c>
      <c r="I10" s="187">
        <f>IF(OR(G10="",H10=""),"", SQRT(G10*G10+H10*H10))</f>
        <v/>
      </c>
      <c r="J10" s="187">
        <f>IF(OR(I10="",I10=0),"", G10/I10)</f>
        <v/>
      </c>
      <c r="K10" s="187">
        <f>IF(OR(I10="",I10=0),"", H10/I10)</f>
        <v/>
      </c>
      <c r="L10" s="187">
        <f>IF(I10="","", $C$2)</f>
        <v/>
      </c>
      <c r="M10" s="187">
        <f>IF(I10="","", $C$5)</f>
        <v/>
      </c>
      <c r="N10" s="187">
        <f>IF(I10="","", $F$5)</f>
        <v/>
      </c>
      <c r="O10" s="75">
        <f>IF(OR(I10="",I10=0),"", L10*M10/I10)</f>
        <v/>
      </c>
      <c r="P10" s="75">
        <f>IF(OR(I10="",I10=0),"", 12*L10*N10/(I10^3))</f>
        <v/>
      </c>
      <c r="Q10" s="75">
        <f>IF(OR(I10="",I10=0),"", 6*L10*N10/(I10^2))</f>
        <v/>
      </c>
      <c r="R10" s="75">
        <f>IF(OR(I10="",I10=0),"", 4*L10*N10/I10)</f>
        <v/>
      </c>
      <c r="S10" s="75">
        <f>IF(OR(I10="",I10=0),"", 2*L10*N10/I10)</f>
        <v/>
      </c>
      <c r="AK10" s="187" t="inlineStr">
        <is>
          <t>Carga 8 (Nudo 8)</t>
        </is>
      </c>
      <c r="AL10" s="187" t="n"/>
      <c r="AM10" s="187" t="n"/>
      <c r="AN10" s="187">
        <f>IF(AM10="","", RADIANS(AM10))</f>
        <v/>
      </c>
      <c r="AO10" s="187">
        <f>IF(AL10="","", ROUND(AL10*COS(AN10), 4))</f>
        <v/>
      </c>
      <c r="AP10" s="187">
        <f>IF(AL10="","", -ROUND(AL10*SIN(AN10), 4))</f>
        <v/>
      </c>
      <c r="AQ10" s="187" t="n"/>
      <c r="AR10" s="187">
        <f>IF(AQ10="","", AQ10/100)</f>
        <v/>
      </c>
    </row>
    <row r="11" ht="26.4" customHeight="1" s="183">
      <c r="B11" s="187" t="n">
        <v>3</v>
      </c>
      <c r="C11" s="187">
        <f>E10</f>
        <v/>
      </c>
      <c r="D11" s="187" t="n">
        <v>0</v>
      </c>
      <c r="E11" s="187" t="n">
        <v>600</v>
      </c>
      <c r="F11" s="187" t="n">
        <v>0</v>
      </c>
      <c r="G11" s="187">
        <f>IF(OR(C11="",E11=""),"", E11-C11)</f>
        <v/>
      </c>
      <c r="H11" s="187">
        <f>IF(OR(D11="",F11=""),"", F11-D11)</f>
        <v/>
      </c>
      <c r="I11" s="187">
        <f>IF(OR(G11="",H11=""),"", SQRT(G11*G11+H11*H11))</f>
        <v/>
      </c>
      <c r="J11" s="187">
        <f>IF(OR(I11="",I11=0),"", G11/I11)</f>
        <v/>
      </c>
      <c r="K11" s="187">
        <f>IF(OR(I11="",I11=0),"", H11/I11)</f>
        <v/>
      </c>
      <c r="L11" s="187">
        <f>IF(I11="","", $C$2)</f>
        <v/>
      </c>
      <c r="M11" s="187">
        <f>IF(I11="","", $C$5)</f>
        <v/>
      </c>
      <c r="N11" s="187">
        <f>IF(I11="","", $F$5)</f>
        <v/>
      </c>
      <c r="O11" s="75">
        <f>IF(OR(I11="",I11=0),"", L11*M11/I11)</f>
        <v/>
      </c>
      <c r="P11" s="75">
        <f>IF(OR(I11="",I11=0),"", 12*L11*N11/(I11^3))</f>
        <v/>
      </c>
      <c r="Q11" s="75">
        <f>IF(OR(I11="",I11=0),"", 6*L11*N11/(I11^2))</f>
        <v/>
      </c>
      <c r="R11" s="75">
        <f>IF(OR(I11="",I11=0),"", 4*L11*N11/I11)</f>
        <v/>
      </c>
      <c r="S11" s="75">
        <f>IF(OR(I11="",I11=0),"", 2*L11*N11/I11)</f>
        <v/>
      </c>
      <c r="AK11" s="187" t="inlineStr">
        <is>
          <t>Carga 9 (Nudo 9)</t>
        </is>
      </c>
      <c r="AL11" s="187" t="n"/>
      <c r="AM11" s="187" t="n"/>
      <c r="AN11" s="187">
        <f>IF(AM11="","", RADIANS(AM11))</f>
        <v/>
      </c>
      <c r="AO11" s="187">
        <f>IF(AL11="","", ROUND(AL11*COS(AN11), 4))</f>
        <v/>
      </c>
      <c r="AP11" s="187">
        <f>IF(AL11="","", -ROUND(AL11*SIN(AN11), 4))</f>
        <v/>
      </c>
      <c r="AQ11" s="187" t="n"/>
      <c r="AR11" s="187">
        <f>IF(AQ11="","", AQ11/100)</f>
        <v/>
      </c>
    </row>
    <row r="12" ht="26.4" customHeight="1" s="183">
      <c r="B12" s="187" t="n">
        <v>4</v>
      </c>
      <c r="C12" s="187">
        <f>E11</f>
        <v/>
      </c>
      <c r="D12" s="187" t="n">
        <v>0</v>
      </c>
      <c r="E12" s="187" t="n">
        <v>800</v>
      </c>
      <c r="F12" s="187" t="n">
        <v>0</v>
      </c>
      <c r="G12" s="187">
        <f>IF(OR(C12="",E12=""),"", E12-C12)</f>
        <v/>
      </c>
      <c r="H12" s="187">
        <f>IF(OR(D12="",F12=""),"", F12-D12)</f>
        <v/>
      </c>
      <c r="I12" s="187">
        <f>IF(OR(G12="",H12=""),"", SQRT(G12*G12+H12*H12))</f>
        <v/>
      </c>
      <c r="J12" s="187">
        <f>IF(OR(I12="",I12=0),"", G12/I12)</f>
        <v/>
      </c>
      <c r="K12" s="187">
        <f>IF(OR(I12="",I12=0),"", H12/I12)</f>
        <v/>
      </c>
      <c r="L12" s="187">
        <f>IF(I12="","", $C$2)</f>
        <v/>
      </c>
      <c r="M12" s="187">
        <f>IF(I12="","", $C$5)</f>
        <v/>
      </c>
      <c r="N12" s="187">
        <f>IF(I12="","", $F$5)</f>
        <v/>
      </c>
      <c r="O12" s="75">
        <f>IF(OR(I12="",I12=0),"", L12*M12/I12)</f>
        <v/>
      </c>
      <c r="P12" s="75">
        <f>IF(OR(I12="",I12=0),"", 12*L12*N12/(I12^3))</f>
        <v/>
      </c>
      <c r="Q12" s="75">
        <f>IF(OR(I12="",I12=0),"", 6*L12*N12/(I12^2))</f>
        <v/>
      </c>
      <c r="R12" s="75">
        <f>IF(OR(I12="",I12=0),"", 4*L12*N12/I12)</f>
        <v/>
      </c>
      <c r="S12" s="75">
        <f>IF(OR(I12="",I12=0),"", 2*L12*N12/I12)</f>
        <v/>
      </c>
      <c r="AK12" s="187" t="inlineStr">
        <is>
          <t>Carga 10 (Nudo 10)</t>
        </is>
      </c>
      <c r="AL12" s="187" t="n"/>
      <c r="AM12" s="187" t="n"/>
      <c r="AN12" s="187">
        <f>IF(AM12="","", RADIANS(AM12))</f>
        <v/>
      </c>
      <c r="AO12" s="187">
        <f>IF(AL12="","", ROUND(AL12*COS(AN12), 4))</f>
        <v/>
      </c>
      <c r="AP12" s="187">
        <f>IF(AL12="","", -ROUND(AL12*SIN(AN12), 4))</f>
        <v/>
      </c>
      <c r="AQ12" s="187" t="n"/>
      <c r="AR12" s="187">
        <f>IF(AQ12="","", AQ12/100)</f>
        <v/>
      </c>
    </row>
    <row r="13">
      <c r="B13" s="187" t="n">
        <v>5</v>
      </c>
      <c r="C13" s="74">
        <f>E12</f>
        <v/>
      </c>
      <c r="D13" s="187" t="n">
        <v>0</v>
      </c>
      <c r="E13" s="187" t="n">
        <v>1100</v>
      </c>
      <c r="F13" s="187" t="n">
        <v>0</v>
      </c>
      <c r="G13" s="187">
        <f>IF(OR(C13="",E13=""),"", E13-C13)</f>
        <v/>
      </c>
      <c r="H13" s="187">
        <f>IF(OR(D13="",F13=""),"", F13-D13)</f>
        <v/>
      </c>
      <c r="I13" s="187">
        <f>IF(OR(G13="",H13=""),"", SQRT(G13*G13+H13*H13))</f>
        <v/>
      </c>
      <c r="J13" s="187">
        <f>IF(OR(I13="",I13=0),"", G13/I13)</f>
        <v/>
      </c>
      <c r="K13" s="187">
        <f>IF(OR(I13="",I13=0),"", H13/I13)</f>
        <v/>
      </c>
      <c r="L13" s="187">
        <f>IF(I13="","", $C$2)</f>
        <v/>
      </c>
      <c r="M13" s="187">
        <f>IF(I13="","", $C$5)</f>
        <v/>
      </c>
      <c r="N13" s="187">
        <f>IF(I13="","", $F$5)</f>
        <v/>
      </c>
      <c r="O13" s="75">
        <f>IF(OR(I13="",I13=0),"", L13*M13/I13)</f>
        <v/>
      </c>
      <c r="P13" s="75">
        <f>IF(OR(I13="",I13=0),"", 12*L13*N13/(I13^3))</f>
        <v/>
      </c>
      <c r="Q13" s="75">
        <f>IF(OR(I13="",I13=0),"", 6*L13*N13/(I13^2))</f>
        <v/>
      </c>
      <c r="R13" s="75">
        <f>IF(OR(I13="",I13=0),"", 4*L13*N13/I13)</f>
        <v/>
      </c>
      <c r="S13" s="75">
        <f>IF(OR(I13="",I13=0),"", 2*L13*N13/I13)</f>
        <v/>
      </c>
    </row>
    <row r="14">
      <c r="B14" s="187" t="n">
        <v>6</v>
      </c>
      <c r="C14" s="187" t="n"/>
      <c r="D14" s="187" t="n"/>
      <c r="E14" s="187" t="n"/>
      <c r="F14" s="187" t="n"/>
      <c r="G14" s="187" t="n"/>
      <c r="H14" s="187">
        <f>IF(OR(D14="",F14=""),"", F14-D14)</f>
        <v/>
      </c>
      <c r="I14" s="187">
        <f>IF(OR(G14="",H14=""),"", SQRT(G14*G14+H14*H14))</f>
        <v/>
      </c>
      <c r="J14" s="187">
        <f>IF(OR(I14="",I14=0),"", G14/I14)</f>
        <v/>
      </c>
      <c r="K14" s="187">
        <f>IF(OR(I14="",I14=0),"", H14/I14)</f>
        <v/>
      </c>
      <c r="L14" s="187">
        <f>IF(I14="","", $C$2)</f>
        <v/>
      </c>
      <c r="M14" s="187">
        <f>IF(I14="","", $C$5)</f>
        <v/>
      </c>
      <c r="N14" s="187">
        <f>IF(I14="","", $F$5)</f>
        <v/>
      </c>
      <c r="O14" s="187">
        <f>IF(OR(I14="",I14=0),"", L14*M14/I14)</f>
        <v/>
      </c>
      <c r="P14" s="187">
        <f>IF(OR(I14="",I14=0),"", 12*L14*N14/(I14^3))</f>
        <v/>
      </c>
      <c r="Q14" s="187">
        <f>IF(OR(I14="",I14=0),"", 6*L14*N14/(I14^2))</f>
        <v/>
      </c>
      <c r="R14" s="187">
        <f>IF(OR(I14="",I14=0),"", 4*L14*N14/I14)</f>
        <v/>
      </c>
      <c r="S14" s="187">
        <f>IF(OR(I14="",I14=0),"", 2*L14*N14/I14)</f>
        <v/>
      </c>
      <c r="AK14" s="56" t="inlineStr">
        <is>
          <t>MODULO B: CARGAS DISTRIBUIDAS (DIVISIÓN IZQUIERDA / DERECHA)</t>
        </is>
      </c>
    </row>
    <row r="15">
      <c r="B15" s="187" t="n">
        <v>7</v>
      </c>
      <c r="C15" s="187" t="n"/>
      <c r="D15" s="187" t="n"/>
      <c r="E15" s="187" t="n"/>
      <c r="F15" s="187" t="n"/>
      <c r="G15" s="187">
        <f>IF(OR(C15="",E15=""),"", E15-C15)</f>
        <v/>
      </c>
      <c r="H15" s="187">
        <f>IF(OR(D15="",F15=""),"", F15-D15)</f>
        <v/>
      </c>
      <c r="I15" s="187">
        <f>IF(OR(G15="",H15=""),"", SQRT(G15*G15+H15*H15))</f>
        <v/>
      </c>
      <c r="J15" s="187">
        <f>IF(OR(I15="",I15=0),"", G15/I15)</f>
        <v/>
      </c>
      <c r="K15" s="187">
        <f>IF(OR(I15="",I15=0),"", H15/I15)</f>
        <v/>
      </c>
      <c r="L15" s="187">
        <f>IF(I15="","", $C$2)</f>
        <v/>
      </c>
      <c r="M15" s="187">
        <f>IF(I15="","", $C$5)</f>
        <v/>
      </c>
      <c r="N15" s="187">
        <f>IF(I15="","", $F$5)</f>
        <v/>
      </c>
      <c r="O15" s="187">
        <f>IF(OR(I15="",I15=0),"", L15*M15/I15)</f>
        <v/>
      </c>
      <c r="P15" s="187">
        <f>IF(OR(I15="",I15=0),"", 12*L15*N15/(I15^3))</f>
        <v/>
      </c>
      <c r="Q15" s="187">
        <f>IF(OR(I15="",I15=0),"", 6*L15*N15/(I15^2))</f>
        <v/>
      </c>
      <c r="R15" s="187">
        <f>IF(OR(I15="",I15=0),"", 4*L15*N15/I15)</f>
        <v/>
      </c>
      <c r="S15" s="187">
        <f>IF(OR(I15="",I15=0),"", 2*L15*N15/I15)</f>
        <v/>
      </c>
      <c r="AK15" s="58" t="inlineStr">
        <is>
          <t>Barra</t>
        </is>
      </c>
      <c r="AL15" s="58" t="inlineStr">
        <is>
          <t>w (Kgf/m)</t>
        </is>
      </c>
      <c r="AM15" s="58" t="inlineStr">
        <is>
          <t>L (m)</t>
        </is>
      </c>
      <c r="AN15" s="58" t="inlineStr">
        <is>
          <t>L (cm)</t>
        </is>
      </c>
      <c r="AO15" s="58" t="inlineStr">
        <is>
          <t>w (Kgf/cm)</t>
        </is>
      </c>
      <c r="AP15" s="58" t="inlineStr">
        <is>
          <t>Vi Izq (Kgf)</t>
        </is>
      </c>
      <c r="AQ15" s="58" t="inlineStr">
        <is>
          <t>Signo</t>
        </is>
      </c>
      <c r="AR15" s="58" t="inlineStr">
        <is>
          <t>Mi (Kgf.cm)</t>
        </is>
      </c>
      <c r="AS15" s="58" t="inlineStr">
        <is>
          <t>Mi (Kgf.m)</t>
        </is>
      </c>
    </row>
    <row r="16">
      <c r="B16" s="187" t="n">
        <v>8</v>
      </c>
      <c r="C16" s="187" t="n"/>
      <c r="D16" s="187" t="n"/>
      <c r="E16" s="187" t="n"/>
      <c r="F16" s="187" t="n"/>
      <c r="G16" s="187">
        <f>IF(OR(C16="",E16=""),"", E16-C16)</f>
        <v/>
      </c>
      <c r="H16" s="187">
        <f>IF(OR(D16="",F16=""),"", F16-D16)</f>
        <v/>
      </c>
      <c r="I16" s="187">
        <f>IF(OR(G16="",H16=""),"", SQRT(G16*G16+H16*H16))</f>
        <v/>
      </c>
      <c r="J16" s="187">
        <f>IF(OR(I16="",I16=0),"", G16/I16)</f>
        <v/>
      </c>
      <c r="K16" s="187">
        <f>IF(OR(I16="",I16=0),"", H16/I16)</f>
        <v/>
      </c>
      <c r="L16" s="187">
        <f>IF(I16="","", $C$2)</f>
        <v/>
      </c>
      <c r="M16" s="187">
        <f>IF(I16="","", $C$5)</f>
        <v/>
      </c>
      <c r="N16" s="187">
        <f>IF(I16="","", $F$5)</f>
        <v/>
      </c>
      <c r="O16" s="187">
        <f>IF(OR(I16="",I16=0),"", L16*M16/I16)</f>
        <v/>
      </c>
      <c r="P16" s="187">
        <f>IF(OR(I16="",I16=0),"", 12*L16*N16/(I16^3))</f>
        <v/>
      </c>
      <c r="Q16" s="187">
        <f>IF(OR(I16="",I16=0),"", 6*L16*N16/(I16^2))</f>
        <v/>
      </c>
      <c r="R16" s="187">
        <f>IF(OR(I16="",I16=0),"", 4*L16*N16/I16)</f>
        <v/>
      </c>
      <c r="S16" s="187">
        <f>IF(OR(I16="",I16=0),"", 2*L16*N16/I16)</f>
        <v/>
      </c>
      <c r="AK16" s="187" t="n">
        <v>1</v>
      </c>
      <c r="AL16" s="187" t="n"/>
      <c r="AM16" s="187">
        <f>IF(AN16="","", AN16/100)</f>
        <v/>
      </c>
      <c r="AN16" s="187">
        <f>IF(I9="","", I9)</f>
        <v/>
      </c>
      <c r="AO16" s="187">
        <f>IF(AL16="","", AL16/100)</f>
        <v/>
      </c>
      <c r="AP16" s="187">
        <f>IF(AO16="","", (AO16*AN16)/2)</f>
        <v/>
      </c>
      <c r="AQ16" s="187" t="inlineStr">
        <is>
          <t>↑ (+)</t>
        </is>
      </c>
      <c r="AR16" s="187">
        <f>IF(AO16="","", +(AO16*(AN16^2))/12)</f>
        <v/>
      </c>
      <c r="AS16" s="187">
        <f>IF(AR16="","", AR16/100)</f>
        <v/>
      </c>
      <c r="AU16" s="187">
        <f>IF(AO16="","", (AO16*AN16)/2)</f>
        <v/>
      </c>
      <c r="AV16" s="187" t="inlineStr">
        <is>
          <t>↑ (+)</t>
        </is>
      </c>
      <c r="AW16" s="187">
        <f>IF(AO16="","", -(AO16*(AN16^2))/12)</f>
        <v/>
      </c>
      <c r="AX16" s="187">
        <f>IF(AW16="","", AW16/100)</f>
        <v/>
      </c>
    </row>
    <row r="17">
      <c r="B17" s="187" t="n">
        <v>9</v>
      </c>
      <c r="C17" s="187" t="n"/>
      <c r="D17" s="187" t="n"/>
      <c r="E17" s="187" t="n"/>
      <c r="F17" s="187" t="n"/>
      <c r="G17" s="187">
        <f>IF(OR(C17="",E17=""),"", E17-C17)</f>
        <v/>
      </c>
      <c r="H17" s="187">
        <f>IF(OR(D17="",F17=""),"", F17-D17)</f>
        <v/>
      </c>
      <c r="I17" s="187">
        <f>IF(OR(G17="",H17=""),"", SQRT(G17*G17+H17*H17))</f>
        <v/>
      </c>
      <c r="J17" s="187">
        <f>IF(OR(I17="",I17=0),"", G17/I17)</f>
        <v/>
      </c>
      <c r="K17" s="187">
        <f>IF(OR(I17="",I17=0),"", H17/I17)</f>
        <v/>
      </c>
      <c r="L17" s="187">
        <f>IF(I17="","", $C$2)</f>
        <v/>
      </c>
      <c r="M17" s="187">
        <f>IF(I17="","", $C$5)</f>
        <v/>
      </c>
      <c r="N17" s="187">
        <f>IF(I17="","", $F$5)</f>
        <v/>
      </c>
      <c r="O17" s="187">
        <f>IF(OR(I17="",I17=0),"", L17*M17/I17)</f>
        <v/>
      </c>
      <c r="P17" s="187">
        <f>IF(OR(I17="",I17=0),"", 12*L17*N17/(I17^3))</f>
        <v/>
      </c>
      <c r="Q17" s="187">
        <f>IF(OR(I17="",I17=0),"", 6*L17*N17/(I17^2))</f>
        <v/>
      </c>
      <c r="R17" s="187">
        <f>IF(OR(I17="",I17=0),"", 4*L17*N17/I17)</f>
        <v/>
      </c>
      <c r="S17" s="187">
        <f>IF(OR(I17="",I17=0),"", 2*L17*N17/I17)</f>
        <v/>
      </c>
      <c r="AK17" s="187" t="n">
        <v>2</v>
      </c>
      <c r="AL17" s="187" t="n"/>
      <c r="AM17" s="187">
        <f>IF(AN17="","", AN17/100)</f>
        <v/>
      </c>
      <c r="AN17" s="187">
        <f>IF(I10="","", I10)</f>
        <v/>
      </c>
      <c r="AO17" s="187">
        <f>IF(AL17="","", AL17/100)</f>
        <v/>
      </c>
      <c r="AP17" s="187">
        <f>IF(AO17="","", (AO17*AN17)/2)</f>
        <v/>
      </c>
      <c r="AQ17" s="187" t="inlineStr">
        <is>
          <t>↑ (+)</t>
        </is>
      </c>
      <c r="AR17" s="187">
        <f>IF(AO17="","", +(AO17*(AN17^2))/12)</f>
        <v/>
      </c>
      <c r="AS17" s="187">
        <f>IF(AR17="","", AR17/100)</f>
        <v/>
      </c>
      <c r="AU17" s="187">
        <f>IF(AO17="","", (AO17*AN17)/2)</f>
        <v/>
      </c>
      <c r="AV17" s="187" t="inlineStr">
        <is>
          <t>↑ (+)</t>
        </is>
      </c>
      <c r="AW17" s="187">
        <f>IF(AO17="","", -(AO17*(AN17^2))/12)</f>
        <v/>
      </c>
      <c r="AX17" s="187">
        <f>IF(AW17="","", AW17/100)</f>
        <v/>
      </c>
    </row>
    <row r="18">
      <c r="B18" s="187" t="n">
        <v>10</v>
      </c>
      <c r="C18" s="187" t="n"/>
      <c r="D18" s="187" t="n"/>
      <c r="E18" s="187" t="n"/>
      <c r="F18" s="187" t="n"/>
      <c r="G18" s="187">
        <f>IF(OR(C18="",E18=""),"", E18-C18)</f>
        <v/>
      </c>
      <c r="H18" s="187">
        <f>IF(OR(D18="",F18=""),"", F18-D18)</f>
        <v/>
      </c>
      <c r="I18" s="187">
        <f>IF(OR(G18="",H18=""),"", SQRT(G18*G18+H18*H18))</f>
        <v/>
      </c>
      <c r="J18" s="187">
        <f>IF(OR(I18="",I18=0),"", G18/I18)</f>
        <v/>
      </c>
      <c r="K18" s="187">
        <f>IF(OR(I18="",I18=0),"", H18/I18)</f>
        <v/>
      </c>
      <c r="L18" s="187">
        <f>IF(I18="","", $C$2)</f>
        <v/>
      </c>
      <c r="M18" s="187">
        <f>IF(I18="","", $C$5)</f>
        <v/>
      </c>
      <c r="N18" s="187">
        <f>IF(I18="","", $F$5)</f>
        <v/>
      </c>
      <c r="O18" s="187">
        <f>IF(OR(I18="",I18=0),"", L18*M18/I18)</f>
        <v/>
      </c>
      <c r="P18" s="187">
        <f>IF(OR(I18="",I18=0),"", 12*L18*N18/(I18^3))</f>
        <v/>
      </c>
      <c r="Q18" s="187">
        <f>IF(OR(I18="",I18=0),"", 6*L18*N18/(I18^2))</f>
        <v/>
      </c>
      <c r="R18" s="187">
        <f>IF(OR(I18="",I18=0),"", 4*L18*N18/I18)</f>
        <v/>
      </c>
      <c r="S18" s="187">
        <f>IF(OR(I18="",I18=0),"", 2*L18*N18/I18)</f>
        <v/>
      </c>
      <c r="AK18" s="187" t="n">
        <v>3</v>
      </c>
      <c r="AL18" s="187" t="n"/>
      <c r="AM18" s="187">
        <f>IF(AN18="","", AN18/100)</f>
        <v/>
      </c>
      <c r="AN18" s="187">
        <f>IF(I11="","", I11)</f>
        <v/>
      </c>
      <c r="AO18" s="187">
        <f>IF(AL18="","", AL18/100)</f>
        <v/>
      </c>
      <c r="AP18" s="187">
        <f>IF(AO18="","", (AO18*AN18)/2)</f>
        <v/>
      </c>
      <c r="AQ18" s="187" t="inlineStr">
        <is>
          <t>↑ (+)</t>
        </is>
      </c>
      <c r="AR18" s="187">
        <f>IF(AO18="","", +(AO18*(AN18^2))/12)</f>
        <v/>
      </c>
      <c r="AS18" s="187">
        <f>IF(AR18="","", AR18/100)</f>
        <v/>
      </c>
      <c r="AU18" s="187">
        <f>IF(AO18="","", (AO18*AN18)/2)</f>
        <v/>
      </c>
      <c r="AV18" s="187" t="inlineStr">
        <is>
          <t>↑ (+)</t>
        </is>
      </c>
      <c r="AW18" s="187">
        <f>IF(AO18="","", -(AO18*(AN18^2))/12)</f>
        <v/>
      </c>
      <c r="AX18" s="187">
        <f>IF(AW18="","", AW18/100)</f>
        <v/>
      </c>
    </row>
    <row r="19">
      <c r="AK19" s="187" t="n">
        <v>4</v>
      </c>
      <c r="AL19" s="187" t="n"/>
      <c r="AM19" s="187">
        <f>IF(AN19="","", AN19/100)</f>
        <v/>
      </c>
      <c r="AN19" s="187">
        <f>IF(I12="","", I12)</f>
        <v/>
      </c>
      <c r="AO19" s="187">
        <f>IF(AL19="","", AL19/100)</f>
        <v/>
      </c>
      <c r="AP19" s="187">
        <f>IF(AO19="","", (AO19*AN19)/2)</f>
        <v/>
      </c>
      <c r="AQ19" s="187" t="inlineStr">
        <is>
          <t>↑ (+)</t>
        </is>
      </c>
      <c r="AR19" s="187">
        <f>IF(AO19="","", +(AO19*(AN19^2))/12)</f>
        <v/>
      </c>
      <c r="AS19" s="187">
        <f>IF(AR19="","", AR19/100)</f>
        <v/>
      </c>
      <c r="AU19" s="187">
        <f>IF(AO19="","", (AO19*AN19)/2)</f>
        <v/>
      </c>
      <c r="AV19" s="187" t="inlineStr">
        <is>
          <t>↑ (+)</t>
        </is>
      </c>
      <c r="AW19" s="187">
        <f>IF(AO19="","", -(AO19*(AN19^2))/12)</f>
        <v/>
      </c>
      <c r="AX19" s="187">
        <f>IF(AW19="","", AW19/100)</f>
        <v/>
      </c>
    </row>
    <row r="20">
      <c r="B20" s="51" t="inlineStr">
        <is>
          <t>Barra</t>
        </is>
      </c>
      <c r="C20" s="51" t="inlineStr">
        <is>
          <t>INICIO</t>
        </is>
      </c>
      <c r="D20" s="190" t="n"/>
      <c r="E20" s="191" t="n"/>
      <c r="F20" s="51" t="inlineStr">
        <is>
          <t>FIN</t>
        </is>
      </c>
      <c r="G20" s="190" t="n"/>
      <c r="H20" s="191" t="n"/>
      <c r="AK20" s="187" t="n">
        <v>5</v>
      </c>
      <c r="AL20" s="187" t="n"/>
      <c r="AM20" s="187">
        <f>IF(AN20="","", AN20/100)</f>
        <v/>
      </c>
      <c r="AN20" s="187">
        <f>IF(I13="","", I13)</f>
        <v/>
      </c>
      <c r="AO20" s="187">
        <f>IF(AL20="","", AL20/100)</f>
        <v/>
      </c>
      <c r="AP20" s="187">
        <f>IF(AO20="","", (AO20*AN20)/2)</f>
        <v/>
      </c>
      <c r="AQ20" s="187" t="inlineStr">
        <is>
          <t>↑ (+)</t>
        </is>
      </c>
      <c r="AR20" s="187">
        <f>IF(AO20="","", +(AO20*(AN20^2))/12)</f>
        <v/>
      </c>
      <c r="AS20" s="187">
        <f>IF(AR20="","", AR20/100)</f>
        <v/>
      </c>
      <c r="AU20" s="187">
        <f>IF(AO20="","", (AO20*AN20)/2)</f>
        <v/>
      </c>
      <c r="AV20" s="187" t="inlineStr">
        <is>
          <t>↑ (+)</t>
        </is>
      </c>
      <c r="AW20" s="187">
        <f>IF(AO20="","", -(AO20*(AN20^2))/12)</f>
        <v/>
      </c>
      <c r="AX20" s="187">
        <f>IF(AW20="","", AW20/100)</f>
        <v/>
      </c>
    </row>
    <row r="21">
      <c r="B21" s="192" t="n"/>
      <c r="C21" s="51" t="inlineStr">
        <is>
          <t>X</t>
        </is>
      </c>
      <c r="D21" s="51" t="inlineStr">
        <is>
          <t>Y</t>
        </is>
      </c>
      <c r="E21" s="51" t="inlineStr">
        <is>
          <t>θ</t>
        </is>
      </c>
      <c r="F21" s="51" t="inlineStr">
        <is>
          <t>X</t>
        </is>
      </c>
      <c r="G21" s="51" t="inlineStr">
        <is>
          <t>Y</t>
        </is>
      </c>
      <c r="H21" s="51" t="inlineStr">
        <is>
          <t>θ</t>
        </is>
      </c>
      <c r="AK21" s="187" t="n">
        <v>6</v>
      </c>
      <c r="AL21" s="187" t="n"/>
      <c r="AM21" s="187">
        <f>IF(AN21="","", AN21/100)</f>
        <v/>
      </c>
      <c r="AN21" s="187">
        <f>IF(I14="","", I14)</f>
        <v/>
      </c>
      <c r="AO21" s="187">
        <f>IF(AL21="","", AL21/100)</f>
        <v/>
      </c>
      <c r="AP21" s="187">
        <f>IF(AO21="","", (AO21*AN21)/2)</f>
        <v/>
      </c>
      <c r="AQ21" s="187" t="inlineStr">
        <is>
          <t>↑ (+)</t>
        </is>
      </c>
      <c r="AR21" s="187">
        <f>IF(AO21="","", +(AO21*(AN21^2))/12)</f>
        <v/>
      </c>
      <c r="AS21" s="187">
        <f>IF(AR21="","", AR21/100)</f>
        <v/>
      </c>
      <c r="AU21" s="187">
        <f>IF(AO21="","", (AO21*AN21)/2)</f>
        <v/>
      </c>
      <c r="AV21" s="187" t="inlineStr">
        <is>
          <t>↑ (+)</t>
        </is>
      </c>
      <c r="AW21" s="187">
        <f>IF(AO21="","", -(AO21*(AN21^2))/12)</f>
        <v/>
      </c>
      <c r="AX21" s="187">
        <f>IF(AW21="","", AW21/100)</f>
        <v/>
      </c>
    </row>
    <row r="22">
      <c r="B22" s="187" t="n">
        <v>1</v>
      </c>
      <c r="C22" s="187">
        <f>IF(I9="","", 1)</f>
        <v/>
      </c>
      <c r="D22" s="187">
        <f>IF(I9="","", 1)</f>
        <v/>
      </c>
      <c r="E22" s="187">
        <f>IF(I9="","", 1)</f>
        <v/>
      </c>
      <c r="F22" s="187">
        <f>IF(I9="","", 2)</f>
        <v/>
      </c>
      <c r="G22" s="187">
        <f>IF(I9="","", 2)</f>
        <v/>
      </c>
      <c r="H22" s="187">
        <f>IF(I9="","", 2)</f>
        <v/>
      </c>
      <c r="AK22" s="187" t="n">
        <v>7</v>
      </c>
      <c r="AL22" s="187" t="n"/>
      <c r="AM22" s="187">
        <f>IF(AN22="","", AN22/100)</f>
        <v/>
      </c>
      <c r="AN22" s="187">
        <f>IF(I15="","", I15)</f>
        <v/>
      </c>
      <c r="AO22" s="187">
        <f>IF(AL22="","", AL22/100)</f>
        <v/>
      </c>
      <c r="AP22" s="187">
        <f>IF(AO22="","", (AO22*AN22)/2)</f>
        <v/>
      </c>
      <c r="AQ22" s="187" t="inlineStr">
        <is>
          <t>↑ (+)</t>
        </is>
      </c>
      <c r="AR22" s="187">
        <f>IF(AO22="","", +(AO22*(AN22^2))/12)</f>
        <v/>
      </c>
      <c r="AS22" s="187">
        <f>IF(AR22="","", AR22/100)</f>
        <v/>
      </c>
      <c r="AU22" s="187">
        <f>IF(AO22="","", (AO22*AN22)/2)</f>
        <v/>
      </c>
      <c r="AV22" s="187" t="inlineStr">
        <is>
          <t>↑ (+)</t>
        </is>
      </c>
      <c r="AW22" s="187">
        <f>IF(AO22="","", -(AO22*(AN22^2))/12)</f>
        <v/>
      </c>
      <c r="AX22" s="187">
        <f>IF(AW22="","", AW22/100)</f>
        <v/>
      </c>
    </row>
    <row r="23">
      <c r="B23" s="187" t="n">
        <v>2</v>
      </c>
      <c r="C23" s="187">
        <f>IF(I10="","", 2)</f>
        <v/>
      </c>
      <c r="D23" s="187">
        <f>IF(I10="","", 2)</f>
        <v/>
      </c>
      <c r="E23" s="187">
        <f>IF(I10="","", 2)</f>
        <v/>
      </c>
      <c r="F23" s="187">
        <f>IF(I10="","", 3)</f>
        <v/>
      </c>
      <c r="G23" s="187">
        <f>IF(I10="","", 3)</f>
        <v/>
      </c>
      <c r="H23" s="187">
        <f>IF(I10="","", 3)</f>
        <v/>
      </c>
      <c r="AK23" s="187" t="n">
        <v>8</v>
      </c>
      <c r="AL23" s="187" t="n"/>
      <c r="AM23" s="187">
        <f>IF(AN23="","", AN23/100)</f>
        <v/>
      </c>
      <c r="AN23" s="187">
        <f>IF(I16="","", I16)</f>
        <v/>
      </c>
      <c r="AO23" s="187">
        <f>IF(AL23="","", AL23/100)</f>
        <v/>
      </c>
      <c r="AP23" s="187">
        <f>IF(AO23="","", (AO23*AN23)/2)</f>
        <v/>
      </c>
      <c r="AQ23" s="187" t="inlineStr">
        <is>
          <t>↑ (+)</t>
        </is>
      </c>
      <c r="AR23" s="187">
        <f>IF(AO23="","", +(AO23*(AN23^2))/12)</f>
        <v/>
      </c>
      <c r="AS23" s="187">
        <f>IF(AR23="","", AR23/100)</f>
        <v/>
      </c>
      <c r="AU23" s="187">
        <f>IF(AO23="","", (AO23*AN23)/2)</f>
        <v/>
      </c>
      <c r="AV23" s="187" t="inlineStr">
        <is>
          <t>↑ (+)</t>
        </is>
      </c>
      <c r="AW23" s="187">
        <f>IF(AO23="","", -(AO23*(AN23^2))/12)</f>
        <v/>
      </c>
      <c r="AX23" s="187">
        <f>IF(AW23="","", AW23/100)</f>
        <v/>
      </c>
    </row>
    <row r="24">
      <c r="B24" s="187" t="n">
        <v>3</v>
      </c>
      <c r="C24" s="187">
        <f>IF(I11="","", 3)</f>
        <v/>
      </c>
      <c r="D24" s="187">
        <f>IF(I11="","", 3)</f>
        <v/>
      </c>
      <c r="E24" s="187">
        <f>IF(I11="","", 3)</f>
        <v/>
      </c>
      <c r="F24" s="187">
        <f>IF(I11="","", 4)</f>
        <v/>
      </c>
      <c r="G24" s="187">
        <f>IF(I11="","", 4)</f>
        <v/>
      </c>
      <c r="H24" s="187">
        <f>IF(I11="","", 4)</f>
        <v/>
      </c>
      <c r="AK24" s="187" t="n">
        <v>9</v>
      </c>
      <c r="AL24" s="187" t="n"/>
      <c r="AM24" s="187">
        <f>IF(AN24="","", AN24/100)</f>
        <v/>
      </c>
      <c r="AN24" s="187">
        <f>IF(I17="","", I17)</f>
        <v/>
      </c>
      <c r="AO24" s="187">
        <f>IF(AL24="","", AL24/100)</f>
        <v/>
      </c>
      <c r="AP24" s="187">
        <f>IF(AO24="","", (AO24*AN24)/2)</f>
        <v/>
      </c>
      <c r="AQ24" s="187" t="inlineStr">
        <is>
          <t>↑ (+)</t>
        </is>
      </c>
      <c r="AR24" s="187">
        <f>IF(AO24="","", +(AO24*(AN24^2))/12)</f>
        <v/>
      </c>
      <c r="AS24" s="187">
        <f>IF(AR24="","", AR24/100)</f>
        <v/>
      </c>
      <c r="AU24" s="187">
        <f>IF(AO24="","", (AO24*AN24)/2)</f>
        <v/>
      </c>
      <c r="AV24" s="187" t="inlineStr">
        <is>
          <t>↑ (+)</t>
        </is>
      </c>
      <c r="AW24" s="187">
        <f>IF(AO24="","", -(AO24*(AN24^2))/12)</f>
        <v/>
      </c>
      <c r="AX24" s="187">
        <f>IF(AW24="","", AW24/100)</f>
        <v/>
      </c>
    </row>
    <row r="25">
      <c r="B25" s="187" t="n">
        <v>4</v>
      </c>
      <c r="C25" s="187">
        <f>IF(I12="","", 4)</f>
        <v/>
      </c>
      <c r="D25" s="187">
        <f>IF(I12="","", 4)</f>
        <v/>
      </c>
      <c r="E25" s="187">
        <f>IF(I12="","", 4)</f>
        <v/>
      </c>
      <c r="F25" s="187">
        <f>IF(I12="","", 5)</f>
        <v/>
      </c>
      <c r="G25" s="187">
        <f>IF(I12="","", 5)</f>
        <v/>
      </c>
      <c r="H25" s="187">
        <f>IF(I12="","", 5)</f>
        <v/>
      </c>
      <c r="AK25" s="187" t="n">
        <v>10</v>
      </c>
      <c r="AL25" s="187" t="n"/>
      <c r="AM25" s="187">
        <f>IF(AN25="","", AN25/100)</f>
        <v/>
      </c>
      <c r="AN25" s="187">
        <f>IF(I18="","", I18)</f>
        <v/>
      </c>
      <c r="AO25" s="187">
        <f>IF(AL25="","", AL25/100)</f>
        <v/>
      </c>
      <c r="AP25" s="187">
        <f>IF(AO25="","", (AO25*AN25)/2)</f>
        <v/>
      </c>
      <c r="AQ25" s="187" t="inlineStr">
        <is>
          <t>↑ (+)</t>
        </is>
      </c>
      <c r="AR25" s="187">
        <f>IF(AO25="","", +(AO25*(AN25^2))/12)</f>
        <v/>
      </c>
      <c r="AS25" s="187">
        <f>IF(AR25="","", AR25/100)</f>
        <v/>
      </c>
      <c r="AU25" s="187">
        <f>IF(AO25="","", (AO25*AN25)/2)</f>
        <v/>
      </c>
      <c r="AV25" s="187" t="inlineStr">
        <is>
          <t>↑ (+)</t>
        </is>
      </c>
      <c r="AW25" s="187">
        <f>IF(AO25="","", -(AO25*(AN25^2))/12)</f>
        <v/>
      </c>
      <c r="AX25" s="187">
        <f>IF(AW25="","", AW25/100)</f>
        <v/>
      </c>
    </row>
    <row r="26">
      <c r="B26" s="187" t="n">
        <v>5</v>
      </c>
      <c r="C26" s="187">
        <f>IF(I13="","", 5)</f>
        <v/>
      </c>
      <c r="D26" s="187">
        <f>IF(I13="","", 5)</f>
        <v/>
      </c>
      <c r="E26" s="187">
        <f>IF(I13="","", 5)</f>
        <v/>
      </c>
      <c r="F26" s="187">
        <f>IF(I13="","", 6)</f>
        <v/>
      </c>
      <c r="G26" s="187">
        <f>IF(I13="","", 6)</f>
        <v/>
      </c>
      <c r="H26" s="187">
        <f>IF(I13="","", 6)</f>
        <v/>
      </c>
    </row>
    <row r="27">
      <c r="B27" s="187" t="n">
        <v>6</v>
      </c>
      <c r="C27" s="187">
        <f>IF(I14="","", 6)</f>
        <v/>
      </c>
      <c r="D27" s="187">
        <f>IF(I14="","", 6)</f>
        <v/>
      </c>
      <c r="E27" s="187">
        <f>IF(I14="","", 6)</f>
        <v/>
      </c>
      <c r="F27" s="187">
        <f>IF(I14="","", 7)</f>
        <v/>
      </c>
      <c r="G27" s="187">
        <f>IF(I14="","", 7)</f>
        <v/>
      </c>
      <c r="H27" s="187">
        <f>IF(I14="","", 7)</f>
        <v/>
      </c>
      <c r="AK27" s="56" t="inlineStr">
        <is>
          <t>MODULO C: SUPERPOSICIÓN LINEAL DE CARGAS NODALES TOTALES {C_total}</t>
        </is>
      </c>
    </row>
    <row r="28" ht="26.4" customHeight="1" s="183">
      <c r="B28" s="187" t="n">
        <v>7</v>
      </c>
      <c r="C28" s="187">
        <f>IF(I15="","", 7)</f>
        <v/>
      </c>
      <c r="D28" s="187">
        <f>IF(I15="","", 7)</f>
        <v/>
      </c>
      <c r="E28" s="187">
        <f>IF(I15="","", 7)</f>
        <v/>
      </c>
      <c r="F28" s="187">
        <f>IF(I15="","", 8)</f>
        <v/>
      </c>
      <c r="G28" s="187">
        <f>IF(I15="","", 8)</f>
        <v/>
      </c>
      <c r="H28" s="187">
        <f>IF(I15="","", 8)</f>
        <v/>
      </c>
      <c r="AK28" s="58" t="inlineStr">
        <is>
          <t>Nudo</t>
        </is>
      </c>
      <c r="AL28" s="58" t="inlineStr">
        <is>
          <t>G.D.L.</t>
        </is>
      </c>
      <c r="AM28" s="58" t="inlineStr">
        <is>
          <t>Py Puntual (Kgf)</t>
        </is>
      </c>
      <c r="AN28" s="58" t="inlineStr">
        <is>
          <t>Py Distr. (Kgf)</t>
        </is>
      </c>
      <c r="AO28" s="58" t="inlineStr">
        <is>
          <t>Py Total (Kgf)</t>
        </is>
      </c>
      <c r="AP28" s="58" t="inlineStr">
        <is>
          <t>M Puntual (Kgf.cm)</t>
        </is>
      </c>
      <c r="AQ28" s="58" t="inlineStr">
        <is>
          <t>M Distr. (Kgf.cm)</t>
        </is>
      </c>
      <c r="AR28" s="58" t="inlineStr">
        <is>
          <t>M Total (Kgf.cm)</t>
        </is>
      </c>
      <c r="AS28" s="58" t="inlineStr">
        <is>
          <t>M Total (Kgf.m)</t>
        </is>
      </c>
    </row>
    <row r="29">
      <c r="B29" s="187" t="n">
        <v>8</v>
      </c>
      <c r="C29" s="187">
        <f>IF(I16="","", 8)</f>
        <v/>
      </c>
      <c r="D29" s="187">
        <f>IF(I16="","", 8)</f>
        <v/>
      </c>
      <c r="E29" s="187">
        <f>IF(I16="","", 8)</f>
        <v/>
      </c>
      <c r="F29" s="187">
        <f>IF(I16="","", 9)</f>
        <v/>
      </c>
      <c r="G29" s="187">
        <f>IF(I16="","", 9)</f>
        <v/>
      </c>
      <c r="H29" s="187">
        <f>IF(I16="","", 9)</f>
        <v/>
      </c>
      <c r="AK29" s="186" t="inlineStr">
        <is>
          <t>Nudo 1</t>
        </is>
      </c>
      <c r="AL29" s="187" t="inlineStr">
        <is>
          <t>1</t>
        </is>
      </c>
      <c r="AM29" s="187">
        <f>IF(AP3="","", AP3)</f>
        <v/>
      </c>
      <c r="AN29" s="187">
        <f>IF(AP16="","", -AP16)</f>
        <v/>
      </c>
      <c r="AO29" s="187">
        <f>IF(AND(AM29="",AN29=""), "", N(AM29)+N(AN29))</f>
        <v/>
      </c>
      <c r="AP29" s="187">
        <f>IF(AQ3="","", AQ3)</f>
        <v/>
      </c>
      <c r="AQ29" s="187">
        <f>IF(AR16="","", -AR16)</f>
        <v/>
      </c>
      <c r="AR29" s="187">
        <f>IF(AND(AP29="",AQ29=""), "", N(AP29)+N(AQ29))</f>
        <v/>
      </c>
      <c r="AS29" s="187">
        <f>IF(AR29="","", AR29/100)</f>
        <v/>
      </c>
    </row>
    <row r="30">
      <c r="B30" s="187" t="n">
        <v>9</v>
      </c>
      <c r="C30" s="187">
        <f>IF(I17="","", 9)</f>
        <v/>
      </c>
      <c r="D30" s="187">
        <f>IF(I17="","", 9)</f>
        <v/>
      </c>
      <c r="E30" s="187">
        <f>IF(I17="","", 9)</f>
        <v/>
      </c>
      <c r="F30" s="187">
        <f>IF(I17="","", 10)</f>
        <v/>
      </c>
      <c r="G30" s="187">
        <f>IF(I17="","", 10)</f>
        <v/>
      </c>
      <c r="H30" s="187">
        <f>IF(I17="","", 10)</f>
        <v/>
      </c>
      <c r="AK30" s="186" t="inlineStr">
        <is>
          <t>Nudo 2</t>
        </is>
      </c>
      <c r="AL30" s="187" t="inlineStr">
        <is>
          <t>2</t>
        </is>
      </c>
      <c r="AM30" s="187">
        <f>IF(AP4="","", AP4)</f>
        <v/>
      </c>
      <c r="AN30" s="187">
        <f>IF(AND(AU16="",AP17=""), "", -(N(AU16) + N(AP17)))</f>
        <v/>
      </c>
      <c r="AO30" s="187">
        <f>IF(AND(AM30="",AN30=""), "", N(AM30)+N(AN30))</f>
        <v/>
      </c>
      <c r="AP30" s="187">
        <f>IF(AQ4="","", AQ4)</f>
        <v/>
      </c>
      <c r="AQ30" s="187">
        <f>IF(AND(AW16="",AR17=""), "", -(N(AW16) + N(AR17)))</f>
        <v/>
      </c>
      <c r="AR30" s="187">
        <f>IF(AND(AP30="",AQ30=""), "", N(AP30)+N(AQ30))</f>
        <v/>
      </c>
      <c r="AS30" s="187">
        <f>IF(AR30="","", AR30/100)</f>
        <v/>
      </c>
    </row>
    <row r="31">
      <c r="B31" s="187" t="n">
        <v>10</v>
      </c>
      <c r="C31" s="187">
        <f>IF(I18="","", 10)</f>
        <v/>
      </c>
      <c r="D31" s="187">
        <f>IF(I18="","", 10)</f>
        <v/>
      </c>
      <c r="E31" s="187">
        <f>IF(I18="","", 10)</f>
        <v/>
      </c>
      <c r="F31" s="187">
        <f>IF(I18="","", 11)</f>
        <v/>
      </c>
      <c r="G31" s="187">
        <f>IF(I18="","", 11)</f>
        <v/>
      </c>
      <c r="H31" s="187">
        <f>IF(I18="","", 11)</f>
        <v/>
      </c>
      <c r="AK31" s="186" t="inlineStr">
        <is>
          <t>Nudo 3</t>
        </is>
      </c>
      <c r="AL31" s="187" t="inlineStr">
        <is>
          <t>3</t>
        </is>
      </c>
      <c r="AM31" s="187">
        <f>IF(AP5="","", AP5)</f>
        <v/>
      </c>
      <c r="AN31" s="187">
        <f>IF(AND(AU17="",AP18=""), "", -(N(AU17) + N(AP18)))</f>
        <v/>
      </c>
      <c r="AO31" s="187">
        <f>IF(AND(AM31="",AN31=""), "", N(AM31)+N(AN31))</f>
        <v/>
      </c>
      <c r="AP31" s="187">
        <f>IF(AQ5="","", AQ5)</f>
        <v/>
      </c>
      <c r="AQ31" s="187">
        <f>IF(AND(AW17="",AR18=""), "", -(N(AW17) + N(AR18)))</f>
        <v/>
      </c>
      <c r="AR31" s="187">
        <f>IF(AND(AP31="",AQ31=""), "", N(AP31)+N(AQ31))</f>
        <v/>
      </c>
      <c r="AS31" s="187">
        <f>IF(AR31="","", AR31/100)</f>
        <v/>
      </c>
    </row>
    <row r="32">
      <c r="AK32" s="186" t="inlineStr">
        <is>
          <t>Nudo 4</t>
        </is>
      </c>
      <c r="AL32" s="187" t="inlineStr">
        <is>
          <t>4</t>
        </is>
      </c>
      <c r="AM32" s="187">
        <f>IF(AP6="","", AP6)</f>
        <v/>
      </c>
      <c r="AN32" s="187">
        <f>IF(AND(AU18="",AP19=""), "", -(N(AU18) + N(AP19)))</f>
        <v/>
      </c>
      <c r="AO32" s="187">
        <f>IF(AND(AM32="",AN32=""), "", N(AM32)+N(AN32))</f>
        <v/>
      </c>
      <c r="AP32" s="187">
        <f>IF(AQ6="","", AQ6)</f>
        <v/>
      </c>
      <c r="AQ32" s="187">
        <f>IF(AND(AW18="",AR19=""), "", -(N(AW18) + N(AR19)))</f>
        <v/>
      </c>
      <c r="AR32" s="187">
        <f>IF(AND(AP32="",AQ32=""), "", N(AP32)+N(AQ32))</f>
        <v/>
      </c>
      <c r="AS32" s="187">
        <f>IF(AR32="","", AR32/100)</f>
        <v/>
      </c>
    </row>
    <row r="33">
      <c r="AK33" s="186" t="inlineStr">
        <is>
          <t>Nudo 5</t>
        </is>
      </c>
      <c r="AL33" s="187" t="inlineStr">
        <is>
          <t>5</t>
        </is>
      </c>
      <c r="AM33" s="187">
        <f>IF(AP7="","", AP7)</f>
        <v/>
      </c>
      <c r="AN33" s="187">
        <f>IF(AND(AU19="",AP20=""), "", -(N(AU19) + N(AP20)))</f>
        <v/>
      </c>
      <c r="AO33" s="187">
        <f>IF(AND(AM33="",AN33=""), "", N(AM33)+N(AN33))</f>
        <v/>
      </c>
      <c r="AP33" s="187">
        <f>IF(AQ7="","", AQ7)</f>
        <v/>
      </c>
      <c r="AQ33" s="187">
        <f>IF(AND(AW19="",AR20=""), "", -(N(AW19) + N(AR20)))</f>
        <v/>
      </c>
      <c r="AR33" s="187">
        <f>IF(AND(AP33="",AQ33=""), "", N(AP33)+N(AQ33))</f>
        <v/>
      </c>
      <c r="AS33" s="187">
        <f>IF(AR33="","", AR33/100)</f>
        <v/>
      </c>
    </row>
    <row r="34">
      <c r="B34" s="51">
        <f>IF(C22="","", CONCATENATE("U",C22,C$21))</f>
        <v/>
      </c>
      <c r="C34" s="51">
        <f>IF(D22="","", CONCATENATE("U",D22,D$21))</f>
        <v/>
      </c>
      <c r="D34" s="51">
        <f>IF(E22="","", CONCATENATE("U",E22,E$21))</f>
        <v/>
      </c>
      <c r="E34" s="51">
        <f>IF(F22="","", CONCATENATE("U",F22,F$21))</f>
        <v/>
      </c>
      <c r="F34" s="51">
        <f>IF(G22="","", CONCATENATE("U",G22,G$21))</f>
        <v/>
      </c>
      <c r="G34" s="51">
        <f>IF(H22="","", CONCATENATE("U",H22,H$21))</f>
        <v/>
      </c>
      <c r="AK34" s="186" t="inlineStr">
        <is>
          <t>Nudo 6</t>
        </is>
      </c>
      <c r="AL34" s="187" t="inlineStr">
        <is>
          <t>6</t>
        </is>
      </c>
      <c r="AM34" s="187">
        <f>IF(AP8="","", AP8)</f>
        <v/>
      </c>
      <c r="AN34" s="187">
        <f>IF(AND(AU20="",AP21=""), "", -(N(AU20) + N(AP21)))</f>
        <v/>
      </c>
      <c r="AO34" s="187">
        <f>IF(AND(AM34="",AN34=""), "", N(AM34)+N(AN34))</f>
        <v/>
      </c>
      <c r="AP34" s="187">
        <f>IF(AQ8="","", AQ8)</f>
        <v/>
      </c>
      <c r="AQ34" s="187">
        <f>IF(AND(AW20="",AR21=""), "", -(N(AW20) + N(AR21)))</f>
        <v/>
      </c>
      <c r="AR34" s="187">
        <f>IF(AND(AP34="",AQ34=""), "", N(AP34)+N(AQ34))</f>
        <v/>
      </c>
      <c r="AS34" s="187">
        <f>IF(AR34="","", AR34/100)</f>
        <v/>
      </c>
    </row>
    <row r="35">
      <c r="B35" s="8">
        <f>IF(I9="", 0, O9*J9*J9+P9*K9*K9)</f>
        <v/>
      </c>
      <c r="C35" s="189">
        <f>IF(I9="", 0, (O9-P9)*(J9*K9))</f>
        <v/>
      </c>
      <c r="D35" s="189">
        <f>IF(I9="", 0, -Q9*K9)</f>
        <v/>
      </c>
      <c r="E35" s="189">
        <f>-B35</f>
        <v/>
      </c>
      <c r="F35" s="189">
        <f>-C35</f>
        <v/>
      </c>
      <c r="G35" s="189">
        <f>D35</f>
        <v/>
      </c>
      <c r="H35" s="51">
        <f>B34</f>
        <v/>
      </c>
      <c r="AK35" s="186" t="inlineStr">
        <is>
          <t>Nudo 7</t>
        </is>
      </c>
      <c r="AL35" s="187" t="inlineStr">
        <is>
          <t>7</t>
        </is>
      </c>
      <c r="AM35" s="187">
        <f>IF(AP9="","", AP9)</f>
        <v/>
      </c>
      <c r="AN35" s="187">
        <f>IF(AND(AU21="",AP22=""), "", -(N(AU21) + N(AP22)))</f>
        <v/>
      </c>
      <c r="AO35" s="187">
        <f>IF(AND(AM35="",AN35=""), "", N(AM35)+N(AN35))</f>
        <v/>
      </c>
      <c r="AP35" s="187">
        <f>IF(AQ9="","", AQ9)</f>
        <v/>
      </c>
      <c r="AQ35" s="187">
        <f>IF(AND(AW21="",AR22=""), "", -(N(AW21) + N(AR22)))</f>
        <v/>
      </c>
      <c r="AR35" s="187">
        <f>IF(AND(AP35="",AQ35=""), "", N(AP35)+N(AQ35))</f>
        <v/>
      </c>
      <c r="AS35" s="187">
        <f>IF(AR35="","", AR35/100)</f>
        <v/>
      </c>
    </row>
    <row r="36">
      <c r="B36" s="189">
        <f>C35</f>
        <v/>
      </c>
      <c r="C36" s="8">
        <f>IF(I9="", 0, O9*K9*K9+P9*J9*J9)</f>
        <v/>
      </c>
      <c r="D36" s="189">
        <f>IF(I9="", 0, Q9*J9)</f>
        <v/>
      </c>
      <c r="E36" s="189">
        <f>-B36</f>
        <v/>
      </c>
      <c r="F36" s="189">
        <f>-C36</f>
        <v/>
      </c>
      <c r="G36" s="189">
        <f>D36</f>
        <v/>
      </c>
      <c r="H36" s="51">
        <f>C34</f>
        <v/>
      </c>
      <c r="AK36" s="186" t="inlineStr">
        <is>
          <t>Nudo 8</t>
        </is>
      </c>
      <c r="AL36" s="187" t="inlineStr">
        <is>
          <t>8</t>
        </is>
      </c>
      <c r="AM36" s="187">
        <f>IF(AP10="","", AP10)</f>
        <v/>
      </c>
      <c r="AN36" s="187">
        <f>IF(AND(AU22="",AP23=""), "", -(N(AU22) + N(AP23)))</f>
        <v/>
      </c>
      <c r="AO36" s="187">
        <f>IF(AND(AM36="",AN36=""), "", N(AM36)+N(AN36))</f>
        <v/>
      </c>
      <c r="AP36" s="187">
        <f>IF(AQ10="","", AQ10)</f>
        <v/>
      </c>
      <c r="AQ36" s="187">
        <f>IF(AND(AW22="",AR23=""), "", -(N(AW22) + N(AR23)))</f>
        <v/>
      </c>
      <c r="AR36" s="187">
        <f>IF(AND(AP36="",AQ36=""), "", N(AP36)+N(AQ36))</f>
        <v/>
      </c>
      <c r="AS36" s="187">
        <f>IF(AR36="","", AR36/100)</f>
        <v/>
      </c>
    </row>
    <row r="37">
      <c r="A37" s="118" t="inlineStr">
        <is>
          <t>K1 =</t>
        </is>
      </c>
      <c r="B37" s="189">
        <f>D35</f>
        <v/>
      </c>
      <c r="C37" s="189">
        <f>D36</f>
        <v/>
      </c>
      <c r="D37" s="8">
        <f>IF(I9="", 0, R9)</f>
        <v/>
      </c>
      <c r="E37" s="189">
        <f>-B37</f>
        <v/>
      </c>
      <c r="F37" s="189">
        <f>-C37</f>
        <v/>
      </c>
      <c r="G37" s="189">
        <f>IF(I9="", 0, S9)</f>
        <v/>
      </c>
      <c r="H37" s="51">
        <f>D34</f>
        <v/>
      </c>
      <c r="AK37" s="186" t="inlineStr">
        <is>
          <t>Nudo 9</t>
        </is>
      </c>
      <c r="AL37" s="187" t="inlineStr">
        <is>
          <t>9</t>
        </is>
      </c>
      <c r="AM37" s="187">
        <f>IF(AP11="","", AP11)</f>
        <v/>
      </c>
      <c r="AN37" s="187">
        <f>IF(AND(AU23="",AP24=""), "", -(N(AU23) + N(AP24)))</f>
        <v/>
      </c>
      <c r="AO37" s="187">
        <f>IF(AND(AM37="",AN37=""), "", N(AM37)+N(AN37))</f>
        <v/>
      </c>
      <c r="AP37" s="187">
        <f>IF(AQ11="","", AQ11)</f>
        <v/>
      </c>
      <c r="AQ37" s="187">
        <f>IF(AND(AW23="",AR24=""), "", -(N(AW23) + N(AR24)))</f>
        <v/>
      </c>
      <c r="AR37" s="187">
        <f>IF(AND(AP37="",AQ37=""), "", N(AP37)+N(AQ37))</f>
        <v/>
      </c>
      <c r="AS37" s="187">
        <f>IF(AR37="","", AR37/100)</f>
        <v/>
      </c>
    </row>
    <row r="38">
      <c r="B38" s="189">
        <f>E35</f>
        <v/>
      </c>
      <c r="C38" s="189">
        <f>E36</f>
        <v/>
      </c>
      <c r="D38" s="189">
        <f>E37</f>
        <v/>
      </c>
      <c r="E38" s="8">
        <f>B35</f>
        <v/>
      </c>
      <c r="F38" s="189">
        <f>C35</f>
        <v/>
      </c>
      <c r="G38" s="189">
        <f>-D35</f>
        <v/>
      </c>
      <c r="H38" s="51">
        <f>E34</f>
        <v/>
      </c>
      <c r="AK38" s="186" t="inlineStr">
        <is>
          <t>Nudo 10</t>
        </is>
      </c>
      <c r="AL38" s="187" t="inlineStr">
        <is>
          <t>10</t>
        </is>
      </c>
      <c r="AM38" s="187">
        <f>IF(AP12="","", AP12)</f>
        <v/>
      </c>
      <c r="AN38" s="187">
        <f>IF(AND(AU24="",AP25=""), "", -(N(AU24) + N(AP25)))</f>
        <v/>
      </c>
      <c r="AO38" s="187">
        <f>IF(AND(AM38="",AN38=""), "", N(AM38)+N(AN38))</f>
        <v/>
      </c>
      <c r="AP38" s="187">
        <f>IF(AQ12="","", AQ12)</f>
        <v/>
      </c>
      <c r="AQ38" s="187">
        <f>IF(AND(AW24="",AR25=""), "", -(N(AW24) + N(AR25)))</f>
        <v/>
      </c>
      <c r="AR38" s="187">
        <f>IF(AND(AP38="",AQ38=""), "", N(AP38)+N(AQ38))</f>
        <v/>
      </c>
      <c r="AS38" s="187">
        <f>IF(AR38="","", AR38/100)</f>
        <v/>
      </c>
    </row>
    <row r="39">
      <c r="B39" s="189">
        <f>F35</f>
        <v/>
      </c>
      <c r="C39" s="189">
        <f>F36</f>
        <v/>
      </c>
      <c r="D39" s="189">
        <f>F37</f>
        <v/>
      </c>
      <c r="E39" s="189">
        <f>F38</f>
        <v/>
      </c>
      <c r="F39" s="8">
        <f>C36</f>
        <v/>
      </c>
      <c r="G39" s="189">
        <f>-D36</f>
        <v/>
      </c>
      <c r="H39" s="51">
        <f>F34</f>
        <v/>
      </c>
      <c r="AK39" s="186" t="inlineStr">
        <is>
          <t>Nudo 11</t>
        </is>
      </c>
      <c r="AL39" s="187" t="inlineStr">
        <is>
          <t>11</t>
        </is>
      </c>
      <c r="AM39" s="187" t="n">
        <v>0</v>
      </c>
      <c r="AN39" s="187">
        <f>IF(AU25="","", -AU25)</f>
        <v/>
      </c>
      <c r="AO39" s="187">
        <f>IF(AND(AM39="",AN39=""), "", N(AM39)+N(AN39))</f>
        <v/>
      </c>
      <c r="AP39" s="187" t="n">
        <v>0</v>
      </c>
      <c r="AQ39" s="187">
        <f>IF(AW25="","", -AW25)</f>
        <v/>
      </c>
      <c r="AR39" s="187">
        <f>IF(AND(AP39="",AQ39=""), "", N(AP39)+N(AQ39))</f>
        <v/>
      </c>
      <c r="AS39" s="187">
        <f>IF(AR39="","", AR39/100)</f>
        <v/>
      </c>
    </row>
    <row r="40">
      <c r="B40" s="189">
        <f>G35</f>
        <v/>
      </c>
      <c r="C40" s="189">
        <f>G36</f>
        <v/>
      </c>
      <c r="D40" s="189">
        <f>G37</f>
        <v/>
      </c>
      <c r="E40" s="189">
        <f>G38</f>
        <v/>
      </c>
      <c r="F40" s="189">
        <f>G39</f>
        <v/>
      </c>
      <c r="G40" s="8">
        <f>D37</f>
        <v/>
      </c>
      <c r="H40" s="51">
        <f>G34</f>
        <v/>
      </c>
    </row>
    <row r="42">
      <c r="B42" s="51" t="inlineStr">
        <is>
          <t>U1X</t>
        </is>
      </c>
      <c r="C42" s="51" t="inlineStr">
        <is>
          <t>U1Y</t>
        </is>
      </c>
      <c r="D42" s="51" t="inlineStr">
        <is>
          <t>U1θ</t>
        </is>
      </c>
      <c r="E42" s="51" t="inlineStr">
        <is>
          <t>U2X</t>
        </is>
      </c>
      <c r="F42" s="51" t="inlineStr">
        <is>
          <t>U2Y</t>
        </is>
      </c>
      <c r="G42" s="51" t="inlineStr">
        <is>
          <t>U2θ</t>
        </is>
      </c>
      <c r="H42" s="51" t="inlineStr">
        <is>
          <t>U3X</t>
        </is>
      </c>
      <c r="I42" s="51" t="inlineStr">
        <is>
          <t>U3Y</t>
        </is>
      </c>
      <c r="J42" s="51" t="inlineStr">
        <is>
          <t>U3θ</t>
        </is>
      </c>
      <c r="K42" s="51" t="inlineStr">
        <is>
          <t>U4X</t>
        </is>
      </c>
      <c r="L42" s="51" t="inlineStr">
        <is>
          <t>U4Y</t>
        </is>
      </c>
      <c r="M42" s="51" t="inlineStr">
        <is>
          <t>U4θ</t>
        </is>
      </c>
      <c r="N42" s="51" t="inlineStr">
        <is>
          <t>U5X</t>
        </is>
      </c>
      <c r="O42" s="51" t="inlineStr">
        <is>
          <t>U5Y</t>
        </is>
      </c>
      <c r="P42" s="51" t="inlineStr">
        <is>
          <t>U5θ</t>
        </is>
      </c>
      <c r="Q42" s="51" t="inlineStr">
        <is>
          <t>U6X</t>
        </is>
      </c>
      <c r="R42" s="51" t="inlineStr">
        <is>
          <t>U6Y</t>
        </is>
      </c>
      <c r="S42" s="51" t="inlineStr">
        <is>
          <t>U6θ</t>
        </is>
      </c>
      <c r="T42" s="51" t="inlineStr">
        <is>
          <t>U7X</t>
        </is>
      </c>
      <c r="U42" s="51" t="inlineStr">
        <is>
          <t>U7Y</t>
        </is>
      </c>
      <c r="V42" s="51" t="inlineStr">
        <is>
          <t>U7θ</t>
        </is>
      </c>
      <c r="W42" s="51" t="inlineStr">
        <is>
          <t>U8X</t>
        </is>
      </c>
      <c r="X42" s="51" t="inlineStr">
        <is>
          <t>U8Y</t>
        </is>
      </c>
      <c r="Y42" s="51" t="inlineStr">
        <is>
          <t>U8θ</t>
        </is>
      </c>
      <c r="Z42" s="51" t="inlineStr">
        <is>
          <t>U9X</t>
        </is>
      </c>
      <c r="AA42" s="51" t="inlineStr">
        <is>
          <t>U9Y</t>
        </is>
      </c>
      <c r="AB42" s="51" t="inlineStr">
        <is>
          <t>U9θ</t>
        </is>
      </c>
      <c r="AC42" s="51" t="inlineStr">
        <is>
          <t>U10X</t>
        </is>
      </c>
      <c r="AD42" s="51" t="inlineStr">
        <is>
          <t>U10Y</t>
        </is>
      </c>
      <c r="AE42" s="51" t="inlineStr">
        <is>
          <t>U10θ</t>
        </is>
      </c>
      <c r="AF42" s="51" t="inlineStr">
        <is>
          <t>U11X</t>
        </is>
      </c>
      <c r="AG42" s="51" t="inlineStr">
        <is>
          <t>U11Y</t>
        </is>
      </c>
      <c r="AH42" s="51" t="inlineStr">
        <is>
          <t>U11θ</t>
        </is>
      </c>
    </row>
    <row r="43">
      <c r="B43" s="76">
        <f>B35</f>
        <v/>
      </c>
      <c r="C43" s="76">
        <f>C35</f>
        <v/>
      </c>
      <c r="D43" s="76">
        <f>D35</f>
        <v/>
      </c>
      <c r="E43" s="76">
        <f>E35</f>
        <v/>
      </c>
      <c r="F43" s="76">
        <f>F35</f>
        <v/>
      </c>
      <c r="G43" s="76">
        <f>G35</f>
        <v/>
      </c>
      <c r="H43" s="189" t="n"/>
      <c r="I43" s="189" t="n"/>
      <c r="J43" s="189" t="n"/>
      <c r="K43" s="189" t="n"/>
      <c r="L43" s="189" t="n"/>
      <c r="M43" s="189" t="n"/>
      <c r="N43" s="189" t="n"/>
      <c r="O43" s="189" t="n"/>
      <c r="P43" s="189" t="n"/>
      <c r="Q43" s="189" t="n"/>
      <c r="R43" s="189" t="n"/>
      <c r="S43" s="189" t="n"/>
      <c r="T43" s="189" t="n"/>
      <c r="U43" s="189" t="n"/>
      <c r="V43" s="189" t="n"/>
      <c r="W43" s="189" t="n"/>
      <c r="X43" s="189" t="n"/>
      <c r="Y43" s="189" t="n"/>
      <c r="Z43" s="189" t="n"/>
      <c r="AA43" s="189" t="n"/>
      <c r="AB43" s="189" t="n"/>
      <c r="AC43" s="189" t="n"/>
      <c r="AD43" s="189" t="n"/>
      <c r="AE43" s="189" t="n"/>
      <c r="AF43" s="189" t="n"/>
      <c r="AG43" s="189" t="n"/>
      <c r="AH43" s="189" t="n"/>
      <c r="AI43" s="51" t="inlineStr">
        <is>
          <t>U1X</t>
        </is>
      </c>
    </row>
    <row r="44">
      <c r="B44" s="76">
        <f>B36</f>
        <v/>
      </c>
      <c r="C44" s="76">
        <f>C36</f>
        <v/>
      </c>
      <c r="D44" s="76">
        <f>D36</f>
        <v/>
      </c>
      <c r="E44" s="76">
        <f>E36</f>
        <v/>
      </c>
      <c r="F44" s="76">
        <f>F36</f>
        <v/>
      </c>
      <c r="G44" s="76">
        <f>G36</f>
        <v/>
      </c>
      <c r="H44" s="189" t="n"/>
      <c r="I44" s="189" t="n"/>
      <c r="J44" s="189" t="n"/>
      <c r="K44" s="189" t="n"/>
      <c r="L44" s="189" t="n"/>
      <c r="M44" s="189" t="n"/>
      <c r="N44" s="189" t="n"/>
      <c r="O44" s="189" t="n"/>
      <c r="P44" s="189" t="n"/>
      <c r="Q44" s="189" t="n"/>
      <c r="R44" s="189" t="n"/>
      <c r="S44" s="189" t="n"/>
      <c r="T44" s="189" t="n"/>
      <c r="U44" s="189" t="n"/>
      <c r="V44" s="189" t="n"/>
      <c r="W44" s="189" t="n"/>
      <c r="X44" s="189" t="n"/>
      <c r="Y44" s="189" t="n"/>
      <c r="Z44" s="189" t="n"/>
      <c r="AA44" s="189" t="n"/>
      <c r="AB44" s="189" t="n"/>
      <c r="AC44" s="189" t="n"/>
      <c r="AD44" s="189" t="n"/>
      <c r="AE44" s="189" t="n"/>
      <c r="AF44" s="189" t="n"/>
      <c r="AG44" s="189" t="n"/>
      <c r="AH44" s="189" t="n"/>
      <c r="AI44" s="51" t="inlineStr">
        <is>
          <t>U1Y</t>
        </is>
      </c>
    </row>
    <row r="45">
      <c r="B45" s="76">
        <f>B37</f>
        <v/>
      </c>
      <c r="C45" s="76">
        <f>C37</f>
        <v/>
      </c>
      <c r="D45" s="76">
        <f>D37</f>
        <v/>
      </c>
      <c r="E45" s="76">
        <f>E37</f>
        <v/>
      </c>
      <c r="F45" s="76">
        <f>F37</f>
        <v/>
      </c>
      <c r="G45" s="76">
        <f>G37</f>
        <v/>
      </c>
      <c r="H45" s="189" t="n"/>
      <c r="I45" s="189" t="n"/>
      <c r="J45" s="189" t="n"/>
      <c r="K45" s="189" t="n"/>
      <c r="L45" s="189" t="n"/>
      <c r="M45" s="189" t="n"/>
      <c r="N45" s="189" t="n"/>
      <c r="O45" s="189" t="n"/>
      <c r="P45" s="189" t="n"/>
      <c r="Q45" s="189" t="n"/>
      <c r="R45" s="189" t="n"/>
      <c r="S45" s="189" t="n"/>
      <c r="T45" s="189" t="n"/>
      <c r="U45" s="189" t="n"/>
      <c r="V45" s="189" t="n"/>
      <c r="W45" s="189" t="n"/>
      <c r="X45" s="189" t="n"/>
      <c r="Y45" s="189" t="n"/>
      <c r="Z45" s="189" t="n"/>
      <c r="AA45" s="189" t="n"/>
      <c r="AB45" s="189" t="n"/>
      <c r="AC45" s="189" t="n"/>
      <c r="AD45" s="189" t="n"/>
      <c r="AE45" s="189" t="n"/>
      <c r="AF45" s="189" t="n"/>
      <c r="AG45" s="189" t="n"/>
      <c r="AH45" s="189" t="n"/>
      <c r="AI45" s="51" t="inlineStr">
        <is>
          <t>U1θ</t>
        </is>
      </c>
    </row>
    <row r="46">
      <c r="B46" s="76">
        <f>B38</f>
        <v/>
      </c>
      <c r="C46" s="76">
        <f>C38</f>
        <v/>
      </c>
      <c r="D46" s="76">
        <f>D38</f>
        <v/>
      </c>
      <c r="E46" s="76">
        <f>E38</f>
        <v/>
      </c>
      <c r="F46" s="76">
        <f>F38</f>
        <v/>
      </c>
      <c r="G46" s="76">
        <f>G38</f>
        <v/>
      </c>
      <c r="H46" s="189" t="n"/>
      <c r="I46" s="189" t="n"/>
      <c r="J46" s="189" t="n"/>
      <c r="K46" s="189" t="n"/>
      <c r="L46" s="189" t="n"/>
      <c r="M46" s="189" t="n"/>
      <c r="N46" s="189" t="n"/>
      <c r="O46" s="189" t="n"/>
      <c r="P46" s="189" t="n"/>
      <c r="Q46" s="189" t="n"/>
      <c r="R46" s="189" t="n"/>
      <c r="S46" s="189" t="n"/>
      <c r="T46" s="189" t="n"/>
      <c r="U46" s="189" t="n"/>
      <c r="V46" s="189" t="n"/>
      <c r="W46" s="189" t="n"/>
      <c r="X46" s="189" t="n"/>
      <c r="Y46" s="189" t="n"/>
      <c r="Z46" s="189" t="n"/>
      <c r="AA46" s="189" t="n"/>
      <c r="AB46" s="189" t="n"/>
      <c r="AC46" s="189" t="n"/>
      <c r="AD46" s="189" t="n"/>
      <c r="AE46" s="189" t="n"/>
      <c r="AF46" s="189" t="n"/>
      <c r="AG46" s="189" t="n"/>
      <c r="AH46" s="189" t="n"/>
      <c r="AI46" s="51" t="inlineStr">
        <is>
          <t>U2X</t>
        </is>
      </c>
    </row>
    <row r="47">
      <c r="B47" s="76">
        <f>B39</f>
        <v/>
      </c>
      <c r="C47" s="76">
        <f>C39</f>
        <v/>
      </c>
      <c r="D47" s="76">
        <f>D39</f>
        <v/>
      </c>
      <c r="E47" s="76">
        <f>E39</f>
        <v/>
      </c>
      <c r="F47" s="76">
        <f>F39</f>
        <v/>
      </c>
      <c r="G47" s="76">
        <f>G39</f>
        <v/>
      </c>
      <c r="H47" s="189" t="n"/>
      <c r="I47" s="189" t="n"/>
      <c r="J47" s="189" t="n"/>
      <c r="K47" s="189" t="n"/>
      <c r="L47" s="189" t="n"/>
      <c r="M47" s="189" t="n"/>
      <c r="N47" s="189" t="n"/>
      <c r="O47" s="189" t="n"/>
      <c r="P47" s="189" t="n"/>
      <c r="Q47" s="189" t="n"/>
      <c r="R47" s="189" t="n"/>
      <c r="S47" s="189" t="n"/>
      <c r="T47" s="189" t="n"/>
      <c r="U47" s="189" t="n"/>
      <c r="V47" s="189" t="n"/>
      <c r="W47" s="189" t="n"/>
      <c r="X47" s="189" t="n"/>
      <c r="Y47" s="189" t="n"/>
      <c r="Z47" s="189" t="n"/>
      <c r="AA47" s="189" t="n"/>
      <c r="AB47" s="189" t="n"/>
      <c r="AC47" s="189" t="n"/>
      <c r="AD47" s="189" t="n"/>
      <c r="AE47" s="189" t="n"/>
      <c r="AF47" s="189" t="n"/>
      <c r="AG47" s="189" t="n"/>
      <c r="AH47" s="189" t="n"/>
      <c r="AI47" s="51" t="inlineStr">
        <is>
          <t>U2Y</t>
        </is>
      </c>
    </row>
    <row r="48">
      <c r="B48" s="76">
        <f>B40</f>
        <v/>
      </c>
      <c r="C48" s="76">
        <f>C40</f>
        <v/>
      </c>
      <c r="D48" s="76">
        <f>D40</f>
        <v/>
      </c>
      <c r="E48" s="76">
        <f>E40</f>
        <v/>
      </c>
      <c r="F48" s="76">
        <f>F40</f>
        <v/>
      </c>
      <c r="G48" s="76">
        <f>G40</f>
        <v/>
      </c>
      <c r="H48" s="189" t="n"/>
      <c r="I48" s="189" t="n"/>
      <c r="J48" s="189" t="n"/>
      <c r="K48" s="189" t="n"/>
      <c r="L48" s="189" t="n"/>
      <c r="M48" s="189" t="n"/>
      <c r="N48" s="189" t="n"/>
      <c r="O48" s="189" t="n"/>
      <c r="P48" s="189" t="n"/>
      <c r="Q48" s="189" t="n"/>
      <c r="R48" s="189" t="n"/>
      <c r="S48" s="189" t="n"/>
      <c r="T48" s="189" t="n"/>
      <c r="U48" s="189" t="n"/>
      <c r="V48" s="189" t="n"/>
      <c r="W48" s="189" t="n"/>
      <c r="X48" s="189" t="n"/>
      <c r="Y48" s="189" t="n"/>
      <c r="Z48" s="189" t="n"/>
      <c r="AA48" s="189" t="n"/>
      <c r="AB48" s="189" t="n"/>
      <c r="AC48" s="189" t="n"/>
      <c r="AD48" s="189" t="n"/>
      <c r="AE48" s="189" t="n"/>
      <c r="AF48" s="189" t="n"/>
      <c r="AG48" s="189" t="n"/>
      <c r="AH48" s="189" t="n"/>
      <c r="AI48" s="51" t="inlineStr">
        <is>
          <t>U2θ</t>
        </is>
      </c>
    </row>
    <row r="49">
      <c r="B49" s="189" t="n"/>
      <c r="C49" s="189" t="n"/>
      <c r="D49" s="189" t="n"/>
      <c r="E49" s="189" t="n"/>
      <c r="F49" s="189" t="n"/>
      <c r="G49" s="189" t="n"/>
      <c r="H49" s="189" t="n"/>
      <c r="I49" s="189" t="n"/>
      <c r="J49" s="189" t="n"/>
      <c r="K49" s="189" t="n"/>
      <c r="L49" s="189" t="n"/>
      <c r="M49" s="189" t="n"/>
      <c r="N49" s="189" t="n"/>
      <c r="O49" s="189" t="n"/>
      <c r="P49" s="189" t="n"/>
      <c r="Q49" s="189" t="n"/>
      <c r="R49" s="189" t="n"/>
      <c r="S49" s="189" t="n"/>
      <c r="T49" s="189" t="n"/>
      <c r="U49" s="189" t="n"/>
      <c r="V49" s="189" t="n"/>
      <c r="W49" s="189" t="n"/>
      <c r="X49" s="189" t="n"/>
      <c r="Y49" s="189" t="n"/>
      <c r="Z49" s="189" t="n"/>
      <c r="AA49" s="189" t="n"/>
      <c r="AB49" s="189" t="n"/>
      <c r="AC49" s="189" t="n"/>
      <c r="AD49" s="189" t="n"/>
      <c r="AE49" s="189" t="n"/>
      <c r="AF49" s="189" t="n"/>
      <c r="AG49" s="189" t="n"/>
      <c r="AH49" s="189" t="n"/>
      <c r="AI49" s="51" t="inlineStr">
        <is>
          <t>U3X</t>
        </is>
      </c>
    </row>
    <row r="50">
      <c r="B50" s="189" t="n"/>
      <c r="C50" s="189" t="n"/>
      <c r="D50" s="189" t="n"/>
      <c r="E50" s="189" t="n"/>
      <c r="F50" s="189" t="n"/>
      <c r="G50" s="189" t="n"/>
      <c r="H50" s="189" t="n"/>
      <c r="I50" s="189" t="n"/>
      <c r="J50" s="189" t="n"/>
      <c r="K50" s="189" t="n"/>
      <c r="L50" s="189" t="n"/>
      <c r="M50" s="189" t="n"/>
      <c r="N50" s="189" t="n"/>
      <c r="O50" s="189" t="n"/>
      <c r="P50" s="189" t="n"/>
      <c r="Q50" s="189" t="n"/>
      <c r="R50" s="189" t="n"/>
      <c r="S50" s="189" t="n"/>
      <c r="T50" s="189" t="n"/>
      <c r="U50" s="189" t="n"/>
      <c r="V50" s="189" t="n"/>
      <c r="W50" s="189" t="n"/>
      <c r="X50" s="189" t="n"/>
      <c r="Y50" s="189" t="n"/>
      <c r="Z50" s="189" t="n"/>
      <c r="AA50" s="189" t="n"/>
      <c r="AB50" s="189" t="n"/>
      <c r="AC50" s="189" t="n"/>
      <c r="AD50" s="189" t="n"/>
      <c r="AE50" s="189" t="n"/>
      <c r="AF50" s="189" t="n"/>
      <c r="AG50" s="189" t="n"/>
      <c r="AH50" s="189" t="n"/>
      <c r="AI50" s="51" t="inlineStr">
        <is>
          <t>U3Y</t>
        </is>
      </c>
    </row>
    <row r="51">
      <c r="B51" s="189" t="n"/>
      <c r="C51" s="189" t="n"/>
      <c r="D51" s="189" t="n"/>
      <c r="E51" s="189" t="n"/>
      <c r="F51" s="189" t="n"/>
      <c r="G51" s="189" t="n"/>
      <c r="H51" s="189" t="n"/>
      <c r="I51" s="189" t="n"/>
      <c r="J51" s="189" t="n"/>
      <c r="K51" s="189" t="n"/>
      <c r="L51" s="189" t="n"/>
      <c r="M51" s="189" t="n"/>
      <c r="N51" s="189" t="n"/>
      <c r="O51" s="189" t="n"/>
      <c r="P51" s="189" t="n"/>
      <c r="Q51" s="189" t="n"/>
      <c r="R51" s="189" t="n"/>
      <c r="S51" s="189" t="n"/>
      <c r="T51" s="189" t="n"/>
      <c r="U51" s="189" t="n"/>
      <c r="V51" s="189" t="n"/>
      <c r="W51" s="189" t="n"/>
      <c r="X51" s="189" t="n"/>
      <c r="Y51" s="189" t="n"/>
      <c r="Z51" s="189" t="n"/>
      <c r="AA51" s="189" t="n"/>
      <c r="AB51" s="189" t="n"/>
      <c r="AC51" s="189" t="n"/>
      <c r="AD51" s="189" t="n"/>
      <c r="AE51" s="189" t="n"/>
      <c r="AF51" s="189" t="n"/>
      <c r="AG51" s="189" t="n"/>
      <c r="AH51" s="189" t="n"/>
      <c r="AI51" s="51" t="inlineStr">
        <is>
          <t>U3θ</t>
        </is>
      </c>
    </row>
    <row r="52">
      <c r="B52" s="189" t="n"/>
      <c r="C52" s="189" t="n"/>
      <c r="D52" s="189" t="n"/>
      <c r="E52" s="189" t="n"/>
      <c r="F52" s="189" t="n"/>
      <c r="G52" s="189" t="n"/>
      <c r="H52" s="189" t="n"/>
      <c r="I52" s="189" t="n"/>
      <c r="J52" s="189" t="n"/>
      <c r="K52" s="189" t="n"/>
      <c r="L52" s="189" t="n"/>
      <c r="M52" s="189" t="n"/>
      <c r="N52" s="189" t="n"/>
      <c r="O52" s="189" t="n"/>
      <c r="P52" s="189" t="n"/>
      <c r="Q52" s="189" t="n"/>
      <c r="R52" s="189" t="n"/>
      <c r="S52" s="189" t="n"/>
      <c r="T52" s="189" t="n"/>
      <c r="U52" s="189" t="n"/>
      <c r="V52" s="189" t="n"/>
      <c r="W52" s="189" t="n"/>
      <c r="X52" s="189" t="n"/>
      <c r="Y52" s="189" t="n"/>
      <c r="Z52" s="189" t="n"/>
      <c r="AA52" s="189" t="n"/>
      <c r="AB52" s="189" t="n"/>
      <c r="AC52" s="189" t="n"/>
      <c r="AD52" s="189" t="n"/>
      <c r="AE52" s="189" t="n"/>
      <c r="AF52" s="189" t="n"/>
      <c r="AG52" s="189" t="n"/>
      <c r="AH52" s="189" t="n"/>
      <c r="AI52" s="51" t="inlineStr">
        <is>
          <t>U4X</t>
        </is>
      </c>
    </row>
    <row r="53">
      <c r="B53" s="189" t="n"/>
      <c r="C53" s="189" t="n"/>
      <c r="D53" s="189" t="n"/>
      <c r="E53" s="189" t="n"/>
      <c r="F53" s="189" t="n"/>
      <c r="G53" s="189" t="n"/>
      <c r="H53" s="189" t="n"/>
      <c r="I53" s="189" t="n"/>
      <c r="J53" s="189" t="n"/>
      <c r="K53" s="189" t="n"/>
      <c r="L53" s="189" t="n"/>
      <c r="M53" s="189" t="n"/>
      <c r="N53" s="189" t="n"/>
      <c r="O53" s="189" t="n"/>
      <c r="P53" s="189" t="n"/>
      <c r="Q53" s="189" t="n"/>
      <c r="R53" s="189" t="n"/>
      <c r="S53" s="189" t="n"/>
      <c r="T53" s="189" t="n"/>
      <c r="U53" s="189" t="n"/>
      <c r="V53" s="189" t="n"/>
      <c r="W53" s="189" t="n"/>
      <c r="X53" s="189" t="n"/>
      <c r="Y53" s="189" t="n"/>
      <c r="Z53" s="189" t="n"/>
      <c r="AA53" s="189" t="n"/>
      <c r="AB53" s="189" t="n"/>
      <c r="AC53" s="189" t="n"/>
      <c r="AD53" s="189" t="n"/>
      <c r="AE53" s="189" t="n"/>
      <c r="AF53" s="189" t="n"/>
      <c r="AG53" s="189" t="n"/>
      <c r="AH53" s="189" t="n"/>
      <c r="AI53" s="51" t="inlineStr">
        <is>
          <t>U4Y</t>
        </is>
      </c>
    </row>
    <row r="54">
      <c r="B54" s="189" t="n"/>
      <c r="C54" s="189" t="n"/>
      <c r="D54" s="189" t="n"/>
      <c r="E54" s="189" t="n"/>
      <c r="F54" s="189" t="n"/>
      <c r="G54" s="189" t="n"/>
      <c r="H54" s="189" t="n"/>
      <c r="I54" s="189" t="n"/>
      <c r="J54" s="189" t="n"/>
      <c r="K54" s="189" t="n"/>
      <c r="L54" s="189" t="n"/>
      <c r="M54" s="189" t="n"/>
      <c r="N54" s="189" t="n"/>
      <c r="O54" s="189" t="n"/>
      <c r="P54" s="189" t="n"/>
      <c r="Q54" s="189" t="n"/>
      <c r="R54" s="189" t="n"/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51" t="inlineStr">
        <is>
          <t>U4θ</t>
        </is>
      </c>
    </row>
    <row r="55">
      <c r="B55" s="189" t="n"/>
      <c r="C55" s="189" t="n"/>
      <c r="D55" s="189" t="n"/>
      <c r="E55" s="189" t="n"/>
      <c r="F55" s="189" t="n"/>
      <c r="G55" s="189" t="n"/>
      <c r="H55" s="189" t="n"/>
      <c r="I55" s="189" t="n"/>
      <c r="J55" s="189" t="n"/>
      <c r="K55" s="189" t="n"/>
      <c r="L55" s="189" t="n"/>
      <c r="M55" s="189" t="n"/>
      <c r="N55" s="189" t="n"/>
      <c r="O55" s="189" t="n"/>
      <c r="P55" s="189" t="n"/>
      <c r="Q55" s="189" t="n"/>
      <c r="R55" s="189" t="n"/>
      <c r="S55" s="189" t="n"/>
      <c r="T55" s="189" t="n"/>
      <c r="U55" s="189" t="n"/>
      <c r="V55" s="189" t="n"/>
      <c r="W55" s="189" t="n"/>
      <c r="X55" s="189" t="n"/>
      <c r="Y55" s="189" t="n"/>
      <c r="Z55" s="189" t="n"/>
      <c r="AA55" s="189" t="n"/>
      <c r="AB55" s="189" t="n"/>
      <c r="AC55" s="189" t="n"/>
      <c r="AD55" s="189" t="n"/>
      <c r="AE55" s="189" t="n"/>
      <c r="AF55" s="189" t="n"/>
      <c r="AG55" s="189" t="n"/>
      <c r="AH55" s="189" t="n"/>
      <c r="AI55" s="51" t="inlineStr">
        <is>
          <t>U5X</t>
        </is>
      </c>
    </row>
    <row r="56">
      <c r="B56" s="189" t="n"/>
      <c r="C56" s="189" t="n"/>
      <c r="D56" s="189" t="n"/>
      <c r="E56" s="189" t="n"/>
      <c r="F56" s="189" t="n"/>
      <c r="G56" s="189" t="n"/>
      <c r="H56" s="189" t="n"/>
      <c r="I56" s="189" t="n"/>
      <c r="J56" s="189" t="n"/>
      <c r="K56" s="189" t="n"/>
      <c r="L56" s="189" t="n"/>
      <c r="M56" s="189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51" t="inlineStr">
        <is>
          <t>U5Y</t>
        </is>
      </c>
    </row>
    <row r="57">
      <c r="B57" s="189" t="n"/>
      <c r="C57" s="189" t="n"/>
      <c r="D57" s="189" t="n"/>
      <c r="E57" s="189" t="n"/>
      <c r="F57" s="189" t="n"/>
      <c r="G57" s="189" t="n"/>
      <c r="H57" s="189" t="n"/>
      <c r="I57" s="189" t="n"/>
      <c r="J57" s="189" t="n"/>
      <c r="K57" s="189" t="n"/>
      <c r="L57" s="189" t="n"/>
      <c r="M57" s="189" t="n"/>
      <c r="N57" s="189" t="n"/>
      <c r="O57" s="189" t="n"/>
      <c r="P57" s="189" t="n"/>
      <c r="Q57" s="189" t="n"/>
      <c r="R57" s="189" t="n"/>
      <c r="S57" s="189" t="n"/>
      <c r="T57" s="189" t="n"/>
      <c r="U57" s="189" t="n"/>
      <c r="V57" s="189" t="n"/>
      <c r="W57" s="189" t="n"/>
      <c r="X57" s="189" t="n"/>
      <c r="Y57" s="189" t="n"/>
      <c r="Z57" s="189" t="n"/>
      <c r="AA57" s="189" t="n"/>
      <c r="AB57" s="189" t="n"/>
      <c r="AC57" s="189" t="n"/>
      <c r="AD57" s="189" t="n"/>
      <c r="AE57" s="189" t="n"/>
      <c r="AF57" s="189" t="n"/>
      <c r="AG57" s="189" t="n"/>
      <c r="AH57" s="189" t="n"/>
      <c r="AI57" s="51" t="inlineStr">
        <is>
          <t>U5θ</t>
        </is>
      </c>
    </row>
    <row r="58">
      <c r="A58" s="118" t="inlineStr">
        <is>
          <t>K1 =</t>
        </is>
      </c>
      <c r="B58" s="189" t="n"/>
      <c r="C58" s="189" t="n"/>
      <c r="D58" s="189" t="n"/>
      <c r="E58" s="189" t="n"/>
      <c r="F58" s="189" t="n"/>
      <c r="G58" s="189" t="n"/>
      <c r="H58" s="189" t="n"/>
      <c r="I58" s="189" t="n"/>
      <c r="J58" s="189" t="n"/>
      <c r="K58" s="189" t="n"/>
      <c r="L58" s="189" t="n"/>
      <c r="M58" s="189" t="n"/>
      <c r="N58" s="189" t="n"/>
      <c r="O58" s="189" t="n"/>
      <c r="P58" s="189" t="n"/>
      <c r="Q58" s="189" t="n"/>
      <c r="R58" s="189" t="n"/>
      <c r="S58" s="189" t="n"/>
      <c r="T58" s="189" t="n"/>
      <c r="U58" s="189" t="n"/>
      <c r="V58" s="189" t="n"/>
      <c r="W58" s="189" t="n"/>
      <c r="X58" s="189" t="n"/>
      <c r="Y58" s="189" t="n"/>
      <c r="Z58" s="189" t="n"/>
      <c r="AA58" s="189" t="n"/>
      <c r="AB58" s="189" t="n"/>
      <c r="AC58" s="189" t="n"/>
      <c r="AD58" s="189" t="n"/>
      <c r="AE58" s="189" t="n"/>
      <c r="AF58" s="189" t="n"/>
      <c r="AG58" s="189" t="n"/>
      <c r="AH58" s="189" t="n"/>
      <c r="AI58" s="51" t="inlineStr">
        <is>
          <t>U6X</t>
        </is>
      </c>
    </row>
    <row r="59">
      <c r="B59" s="189" t="n"/>
      <c r="C59" s="189" t="n"/>
      <c r="D59" s="189" t="n"/>
      <c r="E59" s="189" t="n"/>
      <c r="F59" s="189" t="n"/>
      <c r="G59" s="189" t="n"/>
      <c r="H59" s="189" t="n"/>
      <c r="I59" s="189" t="n"/>
      <c r="J59" s="189" t="n"/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89" t="n"/>
      <c r="U59" s="189" t="n"/>
      <c r="V59" s="189" t="n"/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51" t="inlineStr">
        <is>
          <t>U6Y</t>
        </is>
      </c>
    </row>
    <row r="60">
      <c r="B60" s="189" t="n"/>
      <c r="C60" s="189" t="n"/>
      <c r="D60" s="189" t="n"/>
      <c r="E60" s="189" t="n"/>
      <c r="F60" s="189" t="n"/>
      <c r="G60" s="189" t="n"/>
      <c r="H60" s="189" t="n"/>
      <c r="I60" s="189" t="n"/>
      <c r="J60" s="189" t="n"/>
      <c r="K60" s="189" t="n"/>
      <c r="L60" s="189" t="n"/>
      <c r="M60" s="189" t="n"/>
      <c r="N60" s="189" t="n"/>
      <c r="O60" s="189" t="n"/>
      <c r="P60" s="189" t="n"/>
      <c r="Q60" s="189" t="n"/>
      <c r="R60" s="189" t="n"/>
      <c r="S60" s="189" t="n"/>
      <c r="T60" s="189" t="n"/>
      <c r="U60" s="189" t="n"/>
      <c r="V60" s="189" t="n"/>
      <c r="W60" s="189" t="n"/>
      <c r="X60" s="189" t="n"/>
      <c r="Y60" s="189" t="n"/>
      <c r="Z60" s="189" t="n"/>
      <c r="AA60" s="189" t="n"/>
      <c r="AB60" s="189" t="n"/>
      <c r="AC60" s="189" t="n"/>
      <c r="AD60" s="189" t="n"/>
      <c r="AE60" s="189" t="n"/>
      <c r="AF60" s="189" t="n"/>
      <c r="AG60" s="189" t="n"/>
      <c r="AH60" s="189" t="n"/>
      <c r="AI60" s="51" t="inlineStr">
        <is>
          <t>U6θ</t>
        </is>
      </c>
    </row>
    <row r="61">
      <c r="B61" s="189" t="n"/>
      <c r="C61" s="189" t="n"/>
      <c r="D61" s="189" t="n"/>
      <c r="E61" s="189" t="n"/>
      <c r="F61" s="189" t="n"/>
      <c r="G61" s="189" t="n"/>
      <c r="H61" s="189" t="n"/>
      <c r="I61" s="189" t="n"/>
      <c r="J61" s="189" t="n"/>
      <c r="K61" s="189" t="n"/>
      <c r="L61" s="189" t="n"/>
      <c r="M61" s="189" t="n"/>
      <c r="N61" s="189" t="n"/>
      <c r="O61" s="189" t="n"/>
      <c r="P61" s="189" t="n"/>
      <c r="Q61" s="189" t="n"/>
      <c r="R61" s="189" t="n"/>
      <c r="S61" s="189" t="n"/>
      <c r="T61" s="189" t="n"/>
      <c r="U61" s="189" t="n"/>
      <c r="V61" s="189" t="n"/>
      <c r="W61" s="189" t="n"/>
      <c r="X61" s="189" t="n"/>
      <c r="Y61" s="189" t="n"/>
      <c r="Z61" s="189" t="n"/>
      <c r="AA61" s="189" t="n"/>
      <c r="AB61" s="189" t="n"/>
      <c r="AC61" s="189" t="n"/>
      <c r="AD61" s="189" t="n"/>
      <c r="AE61" s="189" t="n"/>
      <c r="AF61" s="189" t="n"/>
      <c r="AG61" s="189" t="n"/>
      <c r="AH61" s="189" t="n"/>
      <c r="AI61" s="51" t="inlineStr">
        <is>
          <t>U7X</t>
        </is>
      </c>
    </row>
    <row r="62">
      <c r="B62" s="189" t="n"/>
      <c r="C62" s="189" t="n"/>
      <c r="D62" s="189" t="n"/>
      <c r="E62" s="189" t="n"/>
      <c r="F62" s="189" t="n"/>
      <c r="G62" s="189" t="n"/>
      <c r="H62" s="189" t="n"/>
      <c r="I62" s="189" t="n"/>
      <c r="J62" s="189" t="n"/>
      <c r="K62" s="189" t="n"/>
      <c r="L62" s="189" t="n"/>
      <c r="M62" s="189" t="n"/>
      <c r="N62" s="189" t="n"/>
      <c r="O62" s="189" t="n"/>
      <c r="P62" s="189" t="n"/>
      <c r="Q62" s="189" t="n"/>
      <c r="R62" s="189" t="n"/>
      <c r="S62" s="189" t="n"/>
      <c r="T62" s="189" t="n"/>
      <c r="U62" s="189" t="n"/>
      <c r="V62" s="189" t="n"/>
      <c r="W62" s="189" t="n"/>
      <c r="X62" s="189" t="n"/>
      <c r="Y62" s="189" t="n"/>
      <c r="Z62" s="189" t="n"/>
      <c r="AA62" s="189" t="n"/>
      <c r="AB62" s="189" t="n"/>
      <c r="AC62" s="189" t="n"/>
      <c r="AD62" s="189" t="n"/>
      <c r="AE62" s="189" t="n"/>
      <c r="AF62" s="189" t="n"/>
      <c r="AG62" s="189" t="n"/>
      <c r="AH62" s="189" t="n"/>
      <c r="AI62" s="51" t="inlineStr">
        <is>
          <t>U7Y</t>
        </is>
      </c>
    </row>
    <row r="63">
      <c r="B63" s="189" t="n"/>
      <c r="C63" s="189" t="n"/>
      <c r="D63" s="189" t="n"/>
      <c r="E63" s="189" t="n"/>
      <c r="F63" s="189" t="n"/>
      <c r="G63" s="189" t="n"/>
      <c r="H63" s="189" t="n"/>
      <c r="I63" s="189" t="n"/>
      <c r="J63" s="189" t="n"/>
      <c r="K63" s="189" t="n"/>
      <c r="L63" s="189" t="n"/>
      <c r="M63" s="189" t="n"/>
      <c r="N63" s="189" t="n"/>
      <c r="O63" s="189" t="n"/>
      <c r="P63" s="189" t="n"/>
      <c r="Q63" s="189" t="n"/>
      <c r="R63" s="189" t="n"/>
      <c r="S63" s="189" t="n"/>
      <c r="T63" s="189" t="n"/>
      <c r="U63" s="189" t="n"/>
      <c r="V63" s="189" t="n"/>
      <c r="W63" s="189" t="n"/>
      <c r="X63" s="189" t="n"/>
      <c r="Y63" s="189" t="n"/>
      <c r="Z63" s="189" t="n"/>
      <c r="AA63" s="189" t="n"/>
      <c r="AB63" s="189" t="n"/>
      <c r="AC63" s="189" t="n"/>
      <c r="AD63" s="189" t="n"/>
      <c r="AE63" s="189" t="n"/>
      <c r="AF63" s="189" t="n"/>
      <c r="AG63" s="189" t="n"/>
      <c r="AH63" s="189" t="n"/>
      <c r="AI63" s="51" t="inlineStr">
        <is>
          <t>U7θ</t>
        </is>
      </c>
    </row>
    <row r="64">
      <c r="B64" s="189" t="n"/>
      <c r="C64" s="189" t="n"/>
      <c r="D64" s="189" t="n"/>
      <c r="E64" s="189" t="n"/>
      <c r="F64" s="189" t="n"/>
      <c r="G64" s="189" t="n"/>
      <c r="H64" s="189" t="n"/>
      <c r="I64" s="189" t="n"/>
      <c r="J64" s="189" t="n"/>
      <c r="K64" s="189" t="n"/>
      <c r="L64" s="189" t="n"/>
      <c r="M64" s="189" t="n"/>
      <c r="N64" s="189" t="n"/>
      <c r="O64" s="189" t="n"/>
      <c r="P64" s="189" t="n"/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51" t="inlineStr">
        <is>
          <t>U8X</t>
        </is>
      </c>
    </row>
    <row r="65">
      <c r="B65" s="189" t="n"/>
      <c r="C65" s="189" t="n"/>
      <c r="D65" s="189" t="n"/>
      <c r="E65" s="189" t="n"/>
      <c r="F65" s="189" t="n"/>
      <c r="G65" s="189" t="n"/>
      <c r="H65" s="189" t="n"/>
      <c r="I65" s="189" t="n"/>
      <c r="J65" s="189" t="n"/>
      <c r="K65" s="189" t="n"/>
      <c r="L65" s="189" t="n"/>
      <c r="M65" s="189" t="n"/>
      <c r="N65" s="189" t="n"/>
      <c r="O65" s="189" t="n"/>
      <c r="P65" s="189" t="n"/>
      <c r="Q65" s="189" t="n"/>
      <c r="R65" s="189" t="n"/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51" t="inlineStr">
        <is>
          <t>U8Y</t>
        </is>
      </c>
    </row>
    <row r="66">
      <c r="B66" s="189" t="n"/>
      <c r="C66" s="189" t="n"/>
      <c r="D66" s="189" t="n"/>
      <c r="E66" s="189" t="n"/>
      <c r="F66" s="189" t="n"/>
      <c r="G66" s="189" t="n"/>
      <c r="H66" s="189" t="n"/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89" t="n"/>
      <c r="S66" s="189" t="n"/>
      <c r="T66" s="189" t="n"/>
      <c r="U66" s="189" t="n"/>
      <c r="V66" s="189" t="n"/>
      <c r="W66" s="189" t="n"/>
      <c r="X66" s="189" t="n"/>
      <c r="Y66" s="189" t="n"/>
      <c r="Z66" s="189" t="n"/>
      <c r="AA66" s="189" t="n"/>
      <c r="AB66" s="189" t="n"/>
      <c r="AC66" s="189" t="n"/>
      <c r="AD66" s="189" t="n"/>
      <c r="AE66" s="189" t="n"/>
      <c r="AF66" s="189" t="n"/>
      <c r="AG66" s="189" t="n"/>
      <c r="AH66" s="189" t="n"/>
      <c r="AI66" s="51" t="inlineStr">
        <is>
          <t>U8θ</t>
        </is>
      </c>
    </row>
    <row r="67">
      <c r="B67" s="189" t="n"/>
      <c r="C67" s="189" t="n"/>
      <c r="D67" s="189" t="n"/>
      <c r="E67" s="189" t="n"/>
      <c r="F67" s="189" t="n"/>
      <c r="G67" s="189" t="n"/>
      <c r="H67" s="189" t="n"/>
      <c r="I67" s="189" t="n"/>
      <c r="J67" s="189" t="n"/>
      <c r="K67" s="189" t="n"/>
      <c r="L67" s="189" t="n"/>
      <c r="M67" s="189" t="n"/>
      <c r="N67" s="189" t="n"/>
      <c r="O67" s="189" t="n"/>
      <c r="P67" s="189" t="n"/>
      <c r="Q67" s="189" t="n"/>
      <c r="R67" s="189" t="n"/>
      <c r="S67" s="189" t="n"/>
      <c r="T67" s="189" t="n"/>
      <c r="U67" s="189" t="n"/>
      <c r="V67" s="189" t="n"/>
      <c r="W67" s="189" t="n"/>
      <c r="X67" s="189" t="n"/>
      <c r="Y67" s="189" t="n"/>
      <c r="Z67" s="189" t="n"/>
      <c r="AA67" s="189" t="n"/>
      <c r="AB67" s="189" t="n"/>
      <c r="AC67" s="189" t="n"/>
      <c r="AD67" s="189" t="n"/>
      <c r="AE67" s="189" t="n"/>
      <c r="AF67" s="189" t="n"/>
      <c r="AG67" s="189" t="n"/>
      <c r="AH67" s="189" t="n"/>
      <c r="AI67" s="51" t="inlineStr">
        <is>
          <t>U9X</t>
        </is>
      </c>
    </row>
    <row r="68">
      <c r="B68" s="189" t="n"/>
      <c r="C68" s="189" t="n"/>
      <c r="D68" s="189" t="n"/>
      <c r="E68" s="189" t="n"/>
      <c r="F68" s="189" t="n"/>
      <c r="G68" s="189" t="n"/>
      <c r="H68" s="189" t="n"/>
      <c r="I68" s="189" t="n"/>
      <c r="J68" s="189" t="n"/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51" t="inlineStr">
        <is>
          <t>U9Y</t>
        </is>
      </c>
    </row>
    <row r="69">
      <c r="B69" s="189" t="n"/>
      <c r="C69" s="189" t="n"/>
      <c r="D69" s="189" t="n"/>
      <c r="E69" s="189" t="n"/>
      <c r="F69" s="189" t="n"/>
      <c r="G69" s="189" t="n"/>
      <c r="H69" s="189" t="n"/>
      <c r="I69" s="189" t="n"/>
      <c r="J69" s="189" t="n"/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51" t="inlineStr">
        <is>
          <t>U9θ</t>
        </is>
      </c>
    </row>
    <row r="70">
      <c r="B70" s="189" t="n"/>
      <c r="C70" s="189" t="n"/>
      <c r="D70" s="189" t="n"/>
      <c r="E70" s="189" t="n"/>
      <c r="F70" s="189" t="n"/>
      <c r="G70" s="189" t="n"/>
      <c r="H70" s="189" t="n"/>
      <c r="I70" s="189" t="n"/>
      <c r="J70" s="189" t="n"/>
      <c r="K70" s="189" t="n"/>
      <c r="L70" s="189" t="n"/>
      <c r="M70" s="189" t="n"/>
      <c r="N70" s="189" t="n"/>
      <c r="O70" s="189" t="n"/>
      <c r="P70" s="189" t="n"/>
      <c r="Q70" s="189" t="n"/>
      <c r="R70" s="189" t="n"/>
      <c r="S70" s="189" t="n"/>
      <c r="T70" s="189" t="n"/>
      <c r="U70" s="189" t="n"/>
      <c r="V70" s="189" t="n"/>
      <c r="W70" s="189" t="n"/>
      <c r="X70" s="189" t="n"/>
      <c r="Y70" s="189" t="n"/>
      <c r="Z70" s="189" t="n"/>
      <c r="AA70" s="189" t="n"/>
      <c r="AB70" s="189" t="n"/>
      <c r="AC70" s="189" t="n"/>
      <c r="AD70" s="189" t="n"/>
      <c r="AE70" s="189" t="n"/>
      <c r="AF70" s="189" t="n"/>
      <c r="AG70" s="189" t="n"/>
      <c r="AH70" s="189" t="n"/>
      <c r="AI70" s="51" t="inlineStr">
        <is>
          <t>U10X</t>
        </is>
      </c>
    </row>
    <row r="71">
      <c r="B71" s="189" t="n"/>
      <c r="C71" s="189" t="n"/>
      <c r="D71" s="189" t="n"/>
      <c r="E71" s="189" t="n"/>
      <c r="F71" s="189" t="n"/>
      <c r="G71" s="189" t="n"/>
      <c r="H71" s="189" t="n"/>
      <c r="I71" s="189" t="n"/>
      <c r="J71" s="189" t="n"/>
      <c r="K71" s="189" t="n"/>
      <c r="L71" s="189" t="n"/>
      <c r="M71" s="189" t="n"/>
      <c r="N71" s="189" t="n"/>
      <c r="O71" s="189" t="n"/>
      <c r="P71" s="189" t="n"/>
      <c r="Q71" s="189" t="n"/>
      <c r="R71" s="189" t="n"/>
      <c r="S71" s="189" t="n"/>
      <c r="T71" s="189" t="n"/>
      <c r="U71" s="189" t="n"/>
      <c r="V71" s="189" t="n"/>
      <c r="W71" s="189" t="n"/>
      <c r="X71" s="189" t="n"/>
      <c r="Y71" s="189" t="n"/>
      <c r="Z71" s="189" t="n"/>
      <c r="AA71" s="189" t="n"/>
      <c r="AB71" s="189" t="n"/>
      <c r="AC71" s="189" t="n"/>
      <c r="AD71" s="189" t="n"/>
      <c r="AE71" s="189" t="n"/>
      <c r="AF71" s="189" t="n"/>
      <c r="AG71" s="189" t="n"/>
      <c r="AH71" s="189" t="n"/>
      <c r="AI71" s="51" t="inlineStr">
        <is>
          <t>U10Y</t>
        </is>
      </c>
    </row>
    <row r="72">
      <c r="B72" s="189" t="n"/>
      <c r="C72" s="189" t="n"/>
      <c r="D72" s="189" t="n"/>
      <c r="E72" s="189" t="n"/>
      <c r="F72" s="189" t="n"/>
      <c r="G72" s="189" t="n"/>
      <c r="H72" s="189" t="n"/>
      <c r="I72" s="189" t="n"/>
      <c r="J72" s="189" t="n"/>
      <c r="K72" s="189" t="n"/>
      <c r="L72" s="189" t="n"/>
      <c r="M72" s="189" t="n"/>
      <c r="N72" s="189" t="n"/>
      <c r="O72" s="189" t="n"/>
      <c r="P72" s="189" t="n"/>
      <c r="Q72" s="189" t="n"/>
      <c r="R72" s="189" t="n"/>
      <c r="S72" s="189" t="n"/>
      <c r="T72" s="189" t="n"/>
      <c r="U72" s="189" t="n"/>
      <c r="V72" s="189" t="n"/>
      <c r="W72" s="189" t="n"/>
      <c r="X72" s="189" t="n"/>
      <c r="Y72" s="189" t="n"/>
      <c r="Z72" s="189" t="n"/>
      <c r="AA72" s="189" t="n"/>
      <c r="AB72" s="189" t="n"/>
      <c r="AC72" s="189" t="n"/>
      <c r="AD72" s="189" t="n"/>
      <c r="AE72" s="189" t="n"/>
      <c r="AF72" s="189" t="n"/>
      <c r="AG72" s="189" t="n"/>
      <c r="AH72" s="189" t="n"/>
      <c r="AI72" s="51" t="inlineStr">
        <is>
          <t>U10θ</t>
        </is>
      </c>
    </row>
    <row r="73">
      <c r="B73" s="189" t="n"/>
      <c r="C73" s="189" t="n"/>
      <c r="D73" s="189" t="n"/>
      <c r="E73" s="189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51" t="inlineStr">
        <is>
          <t>U11X</t>
        </is>
      </c>
    </row>
    <row r="74">
      <c r="B74" s="189" t="n"/>
      <c r="C74" s="189" t="n"/>
      <c r="D74" s="189" t="n"/>
      <c r="E74" s="189" t="n"/>
      <c r="F74" s="189" t="n"/>
      <c r="G74" s="189" t="n"/>
      <c r="H74" s="189" t="n"/>
      <c r="I74" s="189" t="n"/>
      <c r="J74" s="189" t="n"/>
      <c r="K74" s="189" t="n"/>
      <c r="L74" s="189" t="n"/>
      <c r="M74" s="189" t="n"/>
      <c r="N74" s="189" t="n"/>
      <c r="O74" s="189" t="n"/>
      <c r="P74" s="189" t="n"/>
      <c r="Q74" s="189" t="n"/>
      <c r="R74" s="189" t="n"/>
      <c r="S74" s="189" t="n"/>
      <c r="T74" s="189" t="n"/>
      <c r="U74" s="189" t="n"/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51" t="inlineStr">
        <is>
          <t>U11Y</t>
        </is>
      </c>
    </row>
    <row r="75">
      <c r="B75" s="189" t="n"/>
      <c r="C75" s="189" t="n"/>
      <c r="D75" s="189" t="n"/>
      <c r="E75" s="189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9" t="n"/>
      <c r="Y75" s="189" t="n"/>
      <c r="Z75" s="189" t="n"/>
      <c r="AA75" s="189" t="n"/>
      <c r="AB75" s="189" t="n"/>
      <c r="AC75" s="189" t="n"/>
      <c r="AD75" s="189" t="n"/>
      <c r="AE75" s="189" t="n"/>
      <c r="AF75" s="189" t="n"/>
      <c r="AG75" s="189" t="n"/>
      <c r="AH75" s="189" t="n"/>
      <c r="AI75" s="51" t="inlineStr">
        <is>
          <t>U11θ</t>
        </is>
      </c>
    </row>
    <row r="77">
      <c r="B77" s="51">
        <f>IF(C23="","", CONCATENATE("U",C23,C$21))</f>
        <v/>
      </c>
      <c r="C77" s="51">
        <f>IF(D23="","", CONCATENATE("U",D23,D$21))</f>
        <v/>
      </c>
      <c r="D77" s="51">
        <f>IF(E23="","", CONCATENATE("U",E23,E$21))</f>
        <v/>
      </c>
      <c r="E77" s="51">
        <f>IF(F23="","", CONCATENATE("U",F23,F$21))</f>
        <v/>
      </c>
      <c r="F77" s="51">
        <f>IF(G23="","", CONCATENATE("U",G23,G$21))</f>
        <v/>
      </c>
      <c r="G77" s="51">
        <f>IF(H23="","", CONCATENATE("U",H23,H$21))</f>
        <v/>
      </c>
    </row>
    <row r="78">
      <c r="B78" s="8">
        <f>IF(I10="", 0, O10*J10*J10+P10*K10*K10)</f>
        <v/>
      </c>
      <c r="C78" s="189">
        <f>IF(I10="", 0, (O10-P10)*(J10*K10))</f>
        <v/>
      </c>
      <c r="D78" s="189">
        <f>IF(I10="", 0, -Q10*K10)</f>
        <v/>
      </c>
      <c r="E78" s="189">
        <f>-B78</f>
        <v/>
      </c>
      <c r="F78" s="189">
        <f>-C78</f>
        <v/>
      </c>
      <c r="G78" s="189">
        <f>D78</f>
        <v/>
      </c>
      <c r="H78" s="51">
        <f>B77</f>
        <v/>
      </c>
    </row>
    <row r="79">
      <c r="B79" s="189">
        <f>C78</f>
        <v/>
      </c>
      <c r="C79" s="8">
        <f>IF(I10="", 0, O10*K10*K10+P10*J10*J10)</f>
        <v/>
      </c>
      <c r="D79" s="189">
        <f>IF(I10="", 0, Q10*J10)</f>
        <v/>
      </c>
      <c r="E79" s="189">
        <f>-B79</f>
        <v/>
      </c>
      <c r="F79" s="189">
        <f>-C79</f>
        <v/>
      </c>
      <c r="G79" s="189">
        <f>D79</f>
        <v/>
      </c>
      <c r="H79" s="51">
        <f>C77</f>
        <v/>
      </c>
    </row>
    <row r="80">
      <c r="A80" s="118" t="inlineStr">
        <is>
          <t>K2 =</t>
        </is>
      </c>
      <c r="B80" s="189">
        <f>D78</f>
        <v/>
      </c>
      <c r="C80" s="189">
        <f>D79</f>
        <v/>
      </c>
      <c r="D80" s="8">
        <f>IF(I10="", 0, R10)</f>
        <v/>
      </c>
      <c r="E80" s="189">
        <f>-B80</f>
        <v/>
      </c>
      <c r="F80" s="189">
        <f>-C80</f>
        <v/>
      </c>
      <c r="G80" s="189">
        <f>IF(I10="", 0, S10)</f>
        <v/>
      </c>
      <c r="H80" s="51">
        <f>D77</f>
        <v/>
      </c>
    </row>
    <row r="81">
      <c r="B81" s="189">
        <f>E78</f>
        <v/>
      </c>
      <c r="C81" s="189">
        <f>E79</f>
        <v/>
      </c>
      <c r="D81" s="189">
        <f>E80</f>
        <v/>
      </c>
      <c r="E81" s="8">
        <f>B78</f>
        <v/>
      </c>
      <c r="F81" s="189">
        <f>C78</f>
        <v/>
      </c>
      <c r="G81" s="189">
        <f>-D78</f>
        <v/>
      </c>
      <c r="H81" s="51">
        <f>E77</f>
        <v/>
      </c>
    </row>
    <row r="82">
      <c r="B82" s="189">
        <f>F78</f>
        <v/>
      </c>
      <c r="C82" s="189">
        <f>F79</f>
        <v/>
      </c>
      <c r="D82" s="189">
        <f>F80</f>
        <v/>
      </c>
      <c r="E82" s="189">
        <f>F81</f>
        <v/>
      </c>
      <c r="F82" s="8">
        <f>C79</f>
        <v/>
      </c>
      <c r="G82" s="189">
        <f>-D79</f>
        <v/>
      </c>
      <c r="H82" s="51">
        <f>F77</f>
        <v/>
      </c>
    </row>
    <row r="83">
      <c r="B83" s="189">
        <f>G78</f>
        <v/>
      </c>
      <c r="C83" s="189">
        <f>G79</f>
        <v/>
      </c>
      <c r="D83" s="189">
        <f>G80</f>
        <v/>
      </c>
      <c r="E83" s="189">
        <f>G81</f>
        <v/>
      </c>
      <c r="F83" s="189">
        <f>G82</f>
        <v/>
      </c>
      <c r="G83" s="8">
        <f>D80</f>
        <v/>
      </c>
      <c r="H83" s="51">
        <f>G77</f>
        <v/>
      </c>
    </row>
    <row r="85">
      <c r="B85" s="51" t="inlineStr">
        <is>
          <t>U1X</t>
        </is>
      </c>
      <c r="C85" s="51" t="inlineStr">
        <is>
          <t>U1Y</t>
        </is>
      </c>
      <c r="D85" s="51" t="inlineStr">
        <is>
          <t>U1θ</t>
        </is>
      </c>
      <c r="E85" s="51" t="inlineStr">
        <is>
          <t>U2X</t>
        </is>
      </c>
      <c r="F85" s="51" t="inlineStr">
        <is>
          <t>U2Y</t>
        </is>
      </c>
      <c r="G85" s="51" t="inlineStr">
        <is>
          <t>U2θ</t>
        </is>
      </c>
      <c r="H85" s="51" t="inlineStr">
        <is>
          <t>U3X</t>
        </is>
      </c>
      <c r="I85" s="51" t="inlineStr">
        <is>
          <t>U3Y</t>
        </is>
      </c>
      <c r="J85" s="51" t="inlineStr">
        <is>
          <t>U3θ</t>
        </is>
      </c>
      <c r="K85" s="51" t="inlineStr">
        <is>
          <t>U4X</t>
        </is>
      </c>
      <c r="L85" s="51" t="inlineStr">
        <is>
          <t>U4Y</t>
        </is>
      </c>
      <c r="M85" s="51" t="inlineStr">
        <is>
          <t>U4θ</t>
        </is>
      </c>
      <c r="N85" s="51" t="inlineStr">
        <is>
          <t>U5X</t>
        </is>
      </c>
      <c r="O85" s="51" t="inlineStr">
        <is>
          <t>U5Y</t>
        </is>
      </c>
      <c r="P85" s="51" t="inlineStr">
        <is>
          <t>U5θ</t>
        </is>
      </c>
      <c r="Q85" s="51" t="inlineStr">
        <is>
          <t>U6X</t>
        </is>
      </c>
      <c r="R85" s="51" t="inlineStr">
        <is>
          <t>U6Y</t>
        </is>
      </c>
      <c r="S85" s="51" t="inlineStr">
        <is>
          <t>U6θ</t>
        </is>
      </c>
      <c r="T85" s="51" t="inlineStr">
        <is>
          <t>U7X</t>
        </is>
      </c>
      <c r="U85" s="51" t="inlineStr">
        <is>
          <t>U7Y</t>
        </is>
      </c>
      <c r="V85" s="51" t="inlineStr">
        <is>
          <t>U7θ</t>
        </is>
      </c>
      <c r="W85" s="51" t="inlineStr">
        <is>
          <t>U8X</t>
        </is>
      </c>
      <c r="X85" s="51" t="inlineStr">
        <is>
          <t>U8Y</t>
        </is>
      </c>
      <c r="Y85" s="51" t="inlineStr">
        <is>
          <t>U8θ</t>
        </is>
      </c>
      <c r="Z85" s="51" t="inlineStr">
        <is>
          <t>U9X</t>
        </is>
      </c>
      <c r="AA85" s="51" t="inlineStr">
        <is>
          <t>U9Y</t>
        </is>
      </c>
      <c r="AB85" s="51" t="inlineStr">
        <is>
          <t>U9θ</t>
        </is>
      </c>
      <c r="AC85" s="51" t="inlineStr">
        <is>
          <t>U10X</t>
        </is>
      </c>
      <c r="AD85" s="51" t="inlineStr">
        <is>
          <t>U10Y</t>
        </is>
      </c>
      <c r="AE85" s="51" t="inlineStr">
        <is>
          <t>U10θ</t>
        </is>
      </c>
      <c r="AF85" s="51" t="inlineStr">
        <is>
          <t>U11X</t>
        </is>
      </c>
      <c r="AG85" s="51" t="inlineStr">
        <is>
          <t>U11Y</t>
        </is>
      </c>
      <c r="AH85" s="51" t="inlineStr">
        <is>
          <t>U11θ</t>
        </is>
      </c>
    </row>
    <row r="86">
      <c r="B86" s="189" t="n"/>
      <c r="C86" s="189" t="n"/>
      <c r="D86" s="189" t="n"/>
      <c r="E86" s="189" t="n"/>
      <c r="F86" s="189" t="n"/>
      <c r="G86" s="189" t="n"/>
      <c r="H86" s="189" t="n"/>
      <c r="I86" s="189" t="n"/>
      <c r="J86" s="189" t="n"/>
      <c r="K86" s="189" t="n"/>
      <c r="L86" s="189" t="n"/>
      <c r="M86" s="189" t="n"/>
      <c r="N86" s="189" t="n"/>
      <c r="O86" s="189" t="n"/>
      <c r="P86" s="189" t="n"/>
      <c r="Q86" s="189" t="n"/>
      <c r="R86" s="189" t="n"/>
      <c r="S86" s="189" t="n"/>
      <c r="T86" s="189" t="n"/>
      <c r="U86" s="189" t="n"/>
      <c r="V86" s="189" t="n"/>
      <c r="W86" s="189" t="n"/>
      <c r="X86" s="189" t="n"/>
      <c r="Y86" s="189" t="n"/>
      <c r="Z86" s="189" t="n"/>
      <c r="AA86" s="189" t="n"/>
      <c r="AB86" s="189" t="n"/>
      <c r="AC86" s="189" t="n"/>
      <c r="AD86" s="189" t="n"/>
      <c r="AE86" s="189" t="n"/>
      <c r="AF86" s="189" t="n"/>
      <c r="AG86" s="189" t="n"/>
      <c r="AH86" s="189" t="n"/>
      <c r="AI86" s="51" t="inlineStr">
        <is>
          <t>U1X</t>
        </is>
      </c>
    </row>
    <row r="87">
      <c r="B87" s="189" t="n"/>
      <c r="C87" s="189" t="n"/>
      <c r="D87" s="189" t="n"/>
      <c r="E87" s="189" t="n"/>
      <c r="F87" s="189" t="n"/>
      <c r="G87" s="189" t="n"/>
      <c r="H87" s="189" t="n"/>
      <c r="I87" s="189" t="n"/>
      <c r="J87" s="189" t="n"/>
      <c r="K87" s="189" t="n"/>
      <c r="L87" s="189" t="n"/>
      <c r="M87" s="189" t="n"/>
      <c r="N87" s="189" t="n"/>
      <c r="O87" s="189" t="n"/>
      <c r="P87" s="189" t="n"/>
      <c r="Q87" s="189" t="n"/>
      <c r="R87" s="189" t="n"/>
      <c r="S87" s="189" t="n"/>
      <c r="T87" s="189" t="n"/>
      <c r="U87" s="189" t="n"/>
      <c r="V87" s="189" t="n"/>
      <c r="W87" s="189" t="n"/>
      <c r="X87" s="189" t="n"/>
      <c r="Y87" s="189" t="n"/>
      <c r="Z87" s="189" t="n"/>
      <c r="AA87" s="189" t="n"/>
      <c r="AB87" s="189" t="n"/>
      <c r="AC87" s="189" t="n"/>
      <c r="AD87" s="189" t="n"/>
      <c r="AE87" s="189" t="n"/>
      <c r="AF87" s="189" t="n"/>
      <c r="AG87" s="189" t="n"/>
      <c r="AH87" s="189" t="n"/>
      <c r="AI87" s="51" t="inlineStr">
        <is>
          <t>U1Y</t>
        </is>
      </c>
    </row>
    <row r="88">
      <c r="B88" s="189" t="n"/>
      <c r="C88" s="189" t="n"/>
      <c r="D88" s="189" t="n"/>
      <c r="E88" s="189" t="n"/>
      <c r="F88" s="189" t="n"/>
      <c r="G88" s="189" t="n"/>
      <c r="H88" s="189" t="n"/>
      <c r="I88" s="189" t="n"/>
      <c r="J88" s="189" t="n"/>
      <c r="K88" s="189" t="n"/>
      <c r="L88" s="189" t="n"/>
      <c r="M88" s="189" t="n"/>
      <c r="N88" s="189" t="n"/>
      <c r="O88" s="189" t="n"/>
      <c r="P88" s="189" t="n"/>
      <c r="Q88" s="189" t="n"/>
      <c r="R88" s="189" t="n"/>
      <c r="S88" s="189" t="n"/>
      <c r="T88" s="189" t="n"/>
      <c r="U88" s="189" t="n"/>
      <c r="V88" s="189" t="n"/>
      <c r="W88" s="189" t="n"/>
      <c r="X88" s="189" t="n"/>
      <c r="Y88" s="189" t="n"/>
      <c r="Z88" s="189" t="n"/>
      <c r="AA88" s="189" t="n"/>
      <c r="AB88" s="189" t="n"/>
      <c r="AC88" s="189" t="n"/>
      <c r="AD88" s="189" t="n"/>
      <c r="AE88" s="189" t="n"/>
      <c r="AF88" s="189" t="n"/>
      <c r="AG88" s="189" t="n"/>
      <c r="AH88" s="189" t="n"/>
      <c r="AI88" s="51" t="inlineStr">
        <is>
          <t>U1θ</t>
        </is>
      </c>
    </row>
    <row r="89">
      <c r="B89" s="189" t="n"/>
      <c r="C89" s="189" t="n"/>
      <c r="D89" s="189" t="n"/>
      <c r="E89" s="76">
        <f>B78</f>
        <v/>
      </c>
      <c r="F89" s="76">
        <f>C78</f>
        <v/>
      </c>
      <c r="G89" s="76">
        <f>D78</f>
        <v/>
      </c>
      <c r="H89" s="76">
        <f>E78</f>
        <v/>
      </c>
      <c r="I89" s="76">
        <f>F78</f>
        <v/>
      </c>
      <c r="J89" s="76">
        <f>G78</f>
        <v/>
      </c>
      <c r="K89" s="189" t="n"/>
      <c r="L89" s="189" t="n"/>
      <c r="M89" s="189" t="n"/>
      <c r="N89" s="189" t="n"/>
      <c r="O89" s="189" t="n"/>
      <c r="P89" s="189" t="n"/>
      <c r="Q89" s="189" t="n"/>
      <c r="R89" s="189" t="n"/>
      <c r="S89" s="189" t="n"/>
      <c r="T89" s="189" t="n"/>
      <c r="U89" s="189" t="n"/>
      <c r="V89" s="189" t="n"/>
      <c r="W89" s="189" t="n"/>
      <c r="X89" s="189" t="n"/>
      <c r="Y89" s="189" t="n"/>
      <c r="Z89" s="189" t="n"/>
      <c r="AA89" s="189" t="n"/>
      <c r="AB89" s="189" t="n"/>
      <c r="AC89" s="189" t="n"/>
      <c r="AD89" s="189" t="n"/>
      <c r="AE89" s="189" t="n"/>
      <c r="AF89" s="189" t="n"/>
      <c r="AG89" s="189" t="n"/>
      <c r="AH89" s="189" t="n"/>
      <c r="AI89" s="51" t="inlineStr">
        <is>
          <t>U2X</t>
        </is>
      </c>
    </row>
    <row r="90">
      <c r="B90" s="189" t="n"/>
      <c r="C90" s="189" t="n"/>
      <c r="D90" s="189" t="n"/>
      <c r="E90" s="76">
        <f>B79</f>
        <v/>
      </c>
      <c r="F90" s="76">
        <f>C79</f>
        <v/>
      </c>
      <c r="G90" s="76">
        <f>D79</f>
        <v/>
      </c>
      <c r="H90" s="76">
        <f>E79</f>
        <v/>
      </c>
      <c r="I90" s="76">
        <f>F79</f>
        <v/>
      </c>
      <c r="J90" s="76">
        <f>G79</f>
        <v/>
      </c>
      <c r="K90" s="189" t="n"/>
      <c r="L90" s="189" t="n"/>
      <c r="M90" s="189" t="n"/>
      <c r="N90" s="189" t="n"/>
      <c r="O90" s="189" t="n"/>
      <c r="P90" s="189" t="n"/>
      <c r="Q90" s="189" t="n"/>
      <c r="R90" s="189" t="n"/>
      <c r="S90" s="189" t="n"/>
      <c r="T90" s="189" t="n"/>
      <c r="U90" s="189" t="n"/>
      <c r="V90" s="189" t="n"/>
      <c r="W90" s="189" t="n"/>
      <c r="X90" s="189" t="n"/>
      <c r="Y90" s="189" t="n"/>
      <c r="Z90" s="189" t="n"/>
      <c r="AA90" s="189" t="n"/>
      <c r="AB90" s="189" t="n"/>
      <c r="AC90" s="189" t="n"/>
      <c r="AD90" s="189" t="n"/>
      <c r="AE90" s="189" t="n"/>
      <c r="AF90" s="189" t="n"/>
      <c r="AG90" s="189" t="n"/>
      <c r="AH90" s="189" t="n"/>
      <c r="AI90" s="51" t="inlineStr">
        <is>
          <t>U2Y</t>
        </is>
      </c>
    </row>
    <row r="91">
      <c r="B91" s="189" t="n"/>
      <c r="C91" s="189" t="n"/>
      <c r="D91" s="189" t="n"/>
      <c r="E91" s="76">
        <f>B80</f>
        <v/>
      </c>
      <c r="F91" s="76">
        <f>C80</f>
        <v/>
      </c>
      <c r="G91" s="76">
        <f>D80</f>
        <v/>
      </c>
      <c r="H91" s="76">
        <f>E80</f>
        <v/>
      </c>
      <c r="I91" s="76">
        <f>F80</f>
        <v/>
      </c>
      <c r="J91" s="76">
        <f>G80</f>
        <v/>
      </c>
      <c r="K91" s="189" t="n"/>
      <c r="L91" s="189" t="n"/>
      <c r="M91" s="189" t="n"/>
      <c r="N91" s="189" t="n"/>
      <c r="O91" s="189" t="n"/>
      <c r="P91" s="189" t="n"/>
      <c r="Q91" s="189" t="n"/>
      <c r="R91" s="189" t="n"/>
      <c r="S91" s="189" t="n"/>
      <c r="T91" s="189" t="n"/>
      <c r="U91" s="189" t="n"/>
      <c r="V91" s="189" t="n"/>
      <c r="W91" s="189" t="n"/>
      <c r="X91" s="189" t="n"/>
      <c r="Y91" s="189" t="n"/>
      <c r="Z91" s="189" t="n"/>
      <c r="AA91" s="189" t="n"/>
      <c r="AB91" s="189" t="n"/>
      <c r="AC91" s="189" t="n"/>
      <c r="AD91" s="189" t="n"/>
      <c r="AE91" s="189" t="n"/>
      <c r="AF91" s="189" t="n"/>
      <c r="AG91" s="189" t="n"/>
      <c r="AH91" s="189" t="n"/>
      <c r="AI91" s="51" t="inlineStr">
        <is>
          <t>U2θ</t>
        </is>
      </c>
    </row>
    <row r="92">
      <c r="B92" s="189" t="n"/>
      <c r="C92" s="189" t="n"/>
      <c r="D92" s="189" t="n"/>
      <c r="E92" s="76">
        <f>B81</f>
        <v/>
      </c>
      <c r="F92" s="76">
        <f>C81</f>
        <v/>
      </c>
      <c r="G92" s="76">
        <f>D81</f>
        <v/>
      </c>
      <c r="H92" s="76">
        <f>E81</f>
        <v/>
      </c>
      <c r="I92" s="76">
        <f>F81</f>
        <v/>
      </c>
      <c r="J92" s="76">
        <f>G81</f>
        <v/>
      </c>
      <c r="K92" s="189" t="n"/>
      <c r="L92" s="189" t="n"/>
      <c r="M92" s="189" t="n"/>
      <c r="N92" s="189" t="n"/>
      <c r="O92" s="189" t="n"/>
      <c r="P92" s="189" t="n"/>
      <c r="Q92" s="189" t="n"/>
      <c r="R92" s="189" t="n"/>
      <c r="S92" s="189" t="n"/>
      <c r="T92" s="189" t="n"/>
      <c r="U92" s="189" t="n"/>
      <c r="V92" s="189" t="n"/>
      <c r="W92" s="189" t="n"/>
      <c r="X92" s="189" t="n"/>
      <c r="Y92" s="189" t="n"/>
      <c r="Z92" s="189" t="n"/>
      <c r="AA92" s="189" t="n"/>
      <c r="AB92" s="189" t="n"/>
      <c r="AC92" s="189" t="n"/>
      <c r="AD92" s="189" t="n"/>
      <c r="AE92" s="189" t="n"/>
      <c r="AF92" s="189" t="n"/>
      <c r="AG92" s="189" t="n"/>
      <c r="AH92" s="189" t="n"/>
      <c r="AI92" s="51" t="inlineStr">
        <is>
          <t>U3X</t>
        </is>
      </c>
    </row>
    <row r="93">
      <c r="B93" s="189" t="n"/>
      <c r="C93" s="189" t="n"/>
      <c r="D93" s="189" t="n"/>
      <c r="E93" s="76">
        <f>B82</f>
        <v/>
      </c>
      <c r="F93" s="76">
        <f>C82</f>
        <v/>
      </c>
      <c r="G93" s="76">
        <f>D82</f>
        <v/>
      </c>
      <c r="H93" s="76">
        <f>E82</f>
        <v/>
      </c>
      <c r="I93" s="76">
        <f>F82</f>
        <v/>
      </c>
      <c r="J93" s="76">
        <f>G82</f>
        <v/>
      </c>
      <c r="K93" s="189" t="n"/>
      <c r="L93" s="189" t="n"/>
      <c r="M93" s="189" t="n"/>
      <c r="N93" s="189" t="n"/>
      <c r="O93" s="189" t="n"/>
      <c r="P93" s="189" t="n"/>
      <c r="Q93" s="189" t="n"/>
      <c r="R93" s="189" t="n"/>
      <c r="S93" s="189" t="n"/>
      <c r="T93" s="189" t="n"/>
      <c r="U93" s="189" t="n"/>
      <c r="V93" s="189" t="n"/>
      <c r="W93" s="189" t="n"/>
      <c r="X93" s="189" t="n"/>
      <c r="Y93" s="189" t="n"/>
      <c r="Z93" s="189" t="n"/>
      <c r="AA93" s="189" t="n"/>
      <c r="AB93" s="189" t="n"/>
      <c r="AC93" s="189" t="n"/>
      <c r="AD93" s="189" t="n"/>
      <c r="AE93" s="189" t="n"/>
      <c r="AF93" s="189" t="n"/>
      <c r="AG93" s="189" t="n"/>
      <c r="AH93" s="189" t="n"/>
      <c r="AI93" s="51" t="inlineStr">
        <is>
          <t>U3Y</t>
        </is>
      </c>
    </row>
    <row r="94">
      <c r="B94" s="189" t="n"/>
      <c r="C94" s="189" t="n"/>
      <c r="D94" s="189" t="n"/>
      <c r="E94" s="76">
        <f>B83</f>
        <v/>
      </c>
      <c r="F94" s="76">
        <f>C83</f>
        <v/>
      </c>
      <c r="G94" s="76">
        <f>D83</f>
        <v/>
      </c>
      <c r="H94" s="76">
        <f>E83</f>
        <v/>
      </c>
      <c r="I94" s="76">
        <f>F83</f>
        <v/>
      </c>
      <c r="J94" s="76">
        <f>G83</f>
        <v/>
      </c>
      <c r="K94" s="189" t="n"/>
      <c r="L94" s="189" t="n"/>
      <c r="M94" s="189" t="n"/>
      <c r="N94" s="189" t="n"/>
      <c r="O94" s="189" t="n"/>
      <c r="P94" s="189" t="n"/>
      <c r="Q94" s="189" t="n"/>
      <c r="R94" s="189" t="n"/>
      <c r="S94" s="189" t="n"/>
      <c r="T94" s="189" t="n"/>
      <c r="U94" s="189" t="n"/>
      <c r="V94" s="189" t="n"/>
      <c r="W94" s="189" t="n"/>
      <c r="X94" s="189" t="n"/>
      <c r="Y94" s="189" t="n"/>
      <c r="Z94" s="189" t="n"/>
      <c r="AA94" s="189" t="n"/>
      <c r="AB94" s="189" t="n"/>
      <c r="AC94" s="189" t="n"/>
      <c r="AD94" s="189" t="n"/>
      <c r="AE94" s="189" t="n"/>
      <c r="AF94" s="189" t="n"/>
      <c r="AG94" s="189" t="n"/>
      <c r="AH94" s="189" t="n"/>
      <c r="AI94" s="51" t="inlineStr">
        <is>
          <t>U3θ</t>
        </is>
      </c>
    </row>
    <row r="95">
      <c r="B95" s="189" t="n"/>
      <c r="C95" s="189" t="n"/>
      <c r="D95" s="189" t="n"/>
      <c r="E95" s="189" t="n"/>
      <c r="F95" s="189" t="n"/>
      <c r="G95" s="189" t="n"/>
      <c r="H95" s="189" t="n"/>
      <c r="I95" s="189" t="n"/>
      <c r="J95" s="189" t="n"/>
      <c r="K95" s="189" t="n"/>
      <c r="L95" s="189" t="n"/>
      <c r="M95" s="189" t="n"/>
      <c r="N95" s="189" t="n"/>
      <c r="O95" s="189" t="n"/>
      <c r="P95" s="189" t="n"/>
      <c r="Q95" s="189" t="n"/>
      <c r="R95" s="189" t="n"/>
      <c r="S95" s="189" t="n"/>
      <c r="T95" s="189" t="n"/>
      <c r="U95" s="189" t="n"/>
      <c r="V95" s="189" t="n"/>
      <c r="W95" s="189" t="n"/>
      <c r="X95" s="189" t="n"/>
      <c r="Y95" s="189" t="n"/>
      <c r="Z95" s="189" t="n"/>
      <c r="AA95" s="189" t="n"/>
      <c r="AB95" s="189" t="n"/>
      <c r="AC95" s="189" t="n"/>
      <c r="AD95" s="189" t="n"/>
      <c r="AE95" s="189" t="n"/>
      <c r="AF95" s="189" t="n"/>
      <c r="AG95" s="189" t="n"/>
      <c r="AH95" s="189" t="n"/>
      <c r="AI95" s="51" t="inlineStr">
        <is>
          <t>U4X</t>
        </is>
      </c>
    </row>
    <row r="96">
      <c r="B96" s="189" t="n"/>
      <c r="C96" s="189" t="n"/>
      <c r="D96" s="189" t="n"/>
      <c r="E96" s="189" t="n"/>
      <c r="F96" s="189" t="n"/>
      <c r="G96" s="189" t="n"/>
      <c r="H96" s="189" t="n"/>
      <c r="I96" s="189" t="n"/>
      <c r="J96" s="189" t="n"/>
      <c r="K96" s="189" t="n"/>
      <c r="L96" s="189" t="n"/>
      <c r="M96" s="189" t="n"/>
      <c r="N96" s="189" t="n"/>
      <c r="O96" s="189" t="n"/>
      <c r="P96" s="189" t="n"/>
      <c r="Q96" s="189" t="n"/>
      <c r="R96" s="189" t="n"/>
      <c r="S96" s="189" t="n"/>
      <c r="T96" s="189" t="n"/>
      <c r="U96" s="189" t="n"/>
      <c r="V96" s="189" t="n"/>
      <c r="W96" s="189" t="n"/>
      <c r="X96" s="189" t="n"/>
      <c r="Y96" s="189" t="n"/>
      <c r="Z96" s="189" t="n"/>
      <c r="AA96" s="189" t="n"/>
      <c r="AB96" s="189" t="n"/>
      <c r="AC96" s="189" t="n"/>
      <c r="AD96" s="189" t="n"/>
      <c r="AE96" s="189" t="n"/>
      <c r="AF96" s="189" t="n"/>
      <c r="AG96" s="189" t="n"/>
      <c r="AH96" s="189" t="n"/>
      <c r="AI96" s="51" t="inlineStr">
        <is>
          <t>U4Y</t>
        </is>
      </c>
    </row>
    <row r="97">
      <c r="B97" s="189" t="n"/>
      <c r="C97" s="189" t="n"/>
      <c r="D97" s="189" t="n"/>
      <c r="E97" s="189" t="n"/>
      <c r="F97" s="189" t="n"/>
      <c r="G97" s="189" t="n"/>
      <c r="H97" s="189" t="n"/>
      <c r="I97" s="189" t="n"/>
      <c r="J97" s="189" t="n"/>
      <c r="K97" s="189" t="n"/>
      <c r="L97" s="189" t="n"/>
      <c r="M97" s="189" t="n"/>
      <c r="N97" s="189" t="n"/>
      <c r="O97" s="189" t="n"/>
      <c r="P97" s="189" t="n"/>
      <c r="Q97" s="189" t="n"/>
      <c r="R97" s="189" t="n"/>
      <c r="S97" s="189" t="n"/>
      <c r="T97" s="189" t="n"/>
      <c r="U97" s="189" t="n"/>
      <c r="V97" s="189" t="n"/>
      <c r="W97" s="189" t="n"/>
      <c r="X97" s="189" t="n"/>
      <c r="Y97" s="189" t="n"/>
      <c r="Z97" s="189" t="n"/>
      <c r="AA97" s="189" t="n"/>
      <c r="AB97" s="189" t="n"/>
      <c r="AC97" s="189" t="n"/>
      <c r="AD97" s="189" t="n"/>
      <c r="AE97" s="189" t="n"/>
      <c r="AF97" s="189" t="n"/>
      <c r="AG97" s="189" t="n"/>
      <c r="AH97" s="189" t="n"/>
      <c r="AI97" s="51" t="inlineStr">
        <is>
          <t>U4θ</t>
        </is>
      </c>
    </row>
    <row r="98">
      <c r="B98" s="189" t="n"/>
      <c r="C98" s="189" t="n"/>
      <c r="D98" s="189" t="n"/>
      <c r="E98" s="189" t="n"/>
      <c r="F98" s="189" t="n"/>
      <c r="G98" s="189" t="n"/>
      <c r="H98" s="189" t="n"/>
      <c r="I98" s="189" t="n"/>
      <c r="J98" s="189" t="n"/>
      <c r="K98" s="189" t="n"/>
      <c r="L98" s="189" t="n"/>
      <c r="M98" s="189" t="n"/>
      <c r="N98" s="189" t="n"/>
      <c r="O98" s="189" t="n"/>
      <c r="P98" s="189" t="n"/>
      <c r="Q98" s="189" t="n"/>
      <c r="R98" s="189" t="n"/>
      <c r="S98" s="189" t="n"/>
      <c r="T98" s="189" t="n"/>
      <c r="U98" s="189" t="n"/>
      <c r="V98" s="189" t="n"/>
      <c r="W98" s="189" t="n"/>
      <c r="X98" s="189" t="n"/>
      <c r="Y98" s="189" t="n"/>
      <c r="Z98" s="189" t="n"/>
      <c r="AA98" s="189" t="n"/>
      <c r="AB98" s="189" t="n"/>
      <c r="AC98" s="189" t="n"/>
      <c r="AD98" s="189" t="n"/>
      <c r="AE98" s="189" t="n"/>
      <c r="AF98" s="189" t="n"/>
      <c r="AG98" s="189" t="n"/>
      <c r="AH98" s="189" t="n"/>
      <c r="AI98" s="51" t="inlineStr">
        <is>
          <t>U5X</t>
        </is>
      </c>
    </row>
    <row r="99">
      <c r="B99" s="189" t="n"/>
      <c r="C99" s="189" t="n"/>
      <c r="D99" s="189" t="n"/>
      <c r="E99" s="189" t="n"/>
      <c r="F99" s="189" t="n"/>
      <c r="G99" s="189" t="n"/>
      <c r="H99" s="189" t="n"/>
      <c r="I99" s="189" t="n"/>
      <c r="J99" s="189" t="n"/>
      <c r="K99" s="189" t="n"/>
      <c r="L99" s="189" t="n"/>
      <c r="M99" s="189" t="n"/>
      <c r="N99" s="189" t="n"/>
      <c r="O99" s="189" t="n"/>
      <c r="P99" s="189" t="n"/>
      <c r="Q99" s="189" t="n"/>
      <c r="R99" s="189" t="n"/>
      <c r="S99" s="189" t="n"/>
      <c r="T99" s="189" t="n"/>
      <c r="U99" s="189" t="n"/>
      <c r="V99" s="189" t="n"/>
      <c r="W99" s="189" t="n"/>
      <c r="X99" s="189" t="n"/>
      <c r="Y99" s="189" t="n"/>
      <c r="Z99" s="189" t="n"/>
      <c r="AA99" s="189" t="n"/>
      <c r="AB99" s="189" t="n"/>
      <c r="AC99" s="189" t="n"/>
      <c r="AD99" s="189" t="n"/>
      <c r="AE99" s="189" t="n"/>
      <c r="AF99" s="189" t="n"/>
      <c r="AG99" s="189" t="n"/>
      <c r="AH99" s="189" t="n"/>
      <c r="AI99" s="51" t="inlineStr">
        <is>
          <t>U5Y</t>
        </is>
      </c>
    </row>
    <row r="100">
      <c r="B100" s="189" t="n"/>
      <c r="C100" s="189" t="n"/>
      <c r="D100" s="189" t="n"/>
      <c r="E100" s="189" t="n"/>
      <c r="F100" s="189" t="n"/>
      <c r="G100" s="189" t="n"/>
      <c r="H100" s="189" t="n"/>
      <c r="I100" s="189" t="n"/>
      <c r="J100" s="189" t="n"/>
      <c r="K100" s="189" t="n"/>
      <c r="L100" s="189" t="n"/>
      <c r="M100" s="189" t="n"/>
      <c r="N100" s="189" t="n"/>
      <c r="O100" s="189" t="n"/>
      <c r="P100" s="189" t="n"/>
      <c r="Q100" s="189" t="n"/>
      <c r="R100" s="189" t="n"/>
      <c r="S100" s="189" t="n"/>
      <c r="T100" s="189" t="n"/>
      <c r="U100" s="189" t="n"/>
      <c r="V100" s="189" t="n"/>
      <c r="W100" s="189" t="n"/>
      <c r="X100" s="189" t="n"/>
      <c r="Y100" s="189" t="n"/>
      <c r="Z100" s="189" t="n"/>
      <c r="AA100" s="189" t="n"/>
      <c r="AB100" s="189" t="n"/>
      <c r="AC100" s="189" t="n"/>
      <c r="AD100" s="189" t="n"/>
      <c r="AE100" s="189" t="n"/>
      <c r="AF100" s="189" t="n"/>
      <c r="AG100" s="189" t="n"/>
      <c r="AH100" s="189" t="n"/>
      <c r="AI100" s="51" t="inlineStr">
        <is>
          <t>U5θ</t>
        </is>
      </c>
    </row>
    <row r="101">
      <c r="A101" s="118" t="inlineStr">
        <is>
          <t>K2 =</t>
        </is>
      </c>
      <c r="B101" s="189" t="n"/>
      <c r="C101" s="189" t="n"/>
      <c r="D101" s="189" t="n"/>
      <c r="E101" s="189" t="n"/>
      <c r="F101" s="189" t="n"/>
      <c r="G101" s="189" t="n"/>
      <c r="H101" s="189" t="n"/>
      <c r="I101" s="189" t="n"/>
      <c r="J101" s="189" t="n"/>
      <c r="K101" s="189" t="n"/>
      <c r="L101" s="189" t="n"/>
      <c r="M101" s="189" t="n"/>
      <c r="N101" s="189" t="n"/>
      <c r="O101" s="189" t="n"/>
      <c r="P101" s="189" t="n"/>
      <c r="Q101" s="189" t="n"/>
      <c r="R101" s="189" t="n"/>
      <c r="S101" s="189" t="n"/>
      <c r="T101" s="189" t="n"/>
      <c r="U101" s="189" t="n"/>
      <c r="V101" s="189" t="n"/>
      <c r="W101" s="189" t="n"/>
      <c r="X101" s="189" t="n"/>
      <c r="Y101" s="189" t="n"/>
      <c r="Z101" s="189" t="n"/>
      <c r="AA101" s="189" t="n"/>
      <c r="AB101" s="189" t="n"/>
      <c r="AC101" s="189" t="n"/>
      <c r="AD101" s="189" t="n"/>
      <c r="AE101" s="189" t="n"/>
      <c r="AF101" s="189" t="n"/>
      <c r="AG101" s="189" t="n"/>
      <c r="AH101" s="189" t="n"/>
      <c r="AI101" s="51" t="inlineStr">
        <is>
          <t>U6X</t>
        </is>
      </c>
    </row>
    <row r="102">
      <c r="B102" s="189" t="n"/>
      <c r="C102" s="189" t="n"/>
      <c r="D102" s="189" t="n"/>
      <c r="E102" s="189" t="n"/>
      <c r="F102" s="189" t="n"/>
      <c r="G102" s="189" t="n"/>
      <c r="H102" s="189" t="n"/>
      <c r="I102" s="189" t="n"/>
      <c r="J102" s="189" t="n"/>
      <c r="K102" s="189" t="n"/>
      <c r="L102" s="189" t="n"/>
      <c r="M102" s="189" t="n"/>
      <c r="N102" s="189" t="n"/>
      <c r="O102" s="189" t="n"/>
      <c r="P102" s="189" t="n"/>
      <c r="Q102" s="189" t="n"/>
      <c r="R102" s="189" t="n"/>
      <c r="S102" s="189" t="n"/>
      <c r="T102" s="189" t="n"/>
      <c r="U102" s="189" t="n"/>
      <c r="V102" s="189" t="n"/>
      <c r="W102" s="189" t="n"/>
      <c r="X102" s="189" t="n"/>
      <c r="Y102" s="189" t="n"/>
      <c r="Z102" s="189" t="n"/>
      <c r="AA102" s="189" t="n"/>
      <c r="AB102" s="189" t="n"/>
      <c r="AC102" s="189" t="n"/>
      <c r="AD102" s="189" t="n"/>
      <c r="AE102" s="189" t="n"/>
      <c r="AF102" s="189" t="n"/>
      <c r="AG102" s="189" t="n"/>
      <c r="AH102" s="189" t="n"/>
      <c r="AI102" s="51" t="inlineStr">
        <is>
          <t>U6Y</t>
        </is>
      </c>
    </row>
    <row r="103">
      <c r="B103" s="189" t="n"/>
      <c r="C103" s="189" t="n"/>
      <c r="D103" s="189" t="n"/>
      <c r="E103" s="189" t="n"/>
      <c r="F103" s="189" t="n"/>
      <c r="G103" s="189" t="n"/>
      <c r="H103" s="189" t="n"/>
      <c r="I103" s="189" t="n"/>
      <c r="J103" s="189" t="n"/>
      <c r="K103" s="189" t="n"/>
      <c r="L103" s="189" t="n"/>
      <c r="M103" s="189" t="n"/>
      <c r="N103" s="189" t="n"/>
      <c r="O103" s="189" t="n"/>
      <c r="P103" s="189" t="n"/>
      <c r="Q103" s="189" t="n"/>
      <c r="R103" s="189" t="n"/>
      <c r="S103" s="189" t="n"/>
      <c r="T103" s="189" t="n"/>
      <c r="U103" s="189" t="n"/>
      <c r="V103" s="189" t="n"/>
      <c r="W103" s="189" t="n"/>
      <c r="X103" s="189" t="n"/>
      <c r="Y103" s="189" t="n"/>
      <c r="Z103" s="189" t="n"/>
      <c r="AA103" s="189" t="n"/>
      <c r="AB103" s="189" t="n"/>
      <c r="AC103" s="189" t="n"/>
      <c r="AD103" s="189" t="n"/>
      <c r="AE103" s="189" t="n"/>
      <c r="AF103" s="189" t="n"/>
      <c r="AG103" s="189" t="n"/>
      <c r="AH103" s="189" t="n"/>
      <c r="AI103" s="51" t="inlineStr">
        <is>
          <t>U6θ</t>
        </is>
      </c>
    </row>
    <row r="104">
      <c r="B104" s="189" t="n"/>
      <c r="C104" s="189" t="n"/>
      <c r="D104" s="189" t="n"/>
      <c r="E104" s="189" t="n"/>
      <c r="F104" s="189" t="n"/>
      <c r="G104" s="189" t="n"/>
      <c r="H104" s="189" t="n"/>
      <c r="I104" s="189" t="n"/>
      <c r="J104" s="189" t="n"/>
      <c r="K104" s="189" t="n"/>
      <c r="L104" s="189" t="n"/>
      <c r="M104" s="189" t="n"/>
      <c r="N104" s="189" t="n"/>
      <c r="O104" s="189" t="n"/>
      <c r="P104" s="189" t="n"/>
      <c r="Q104" s="189" t="n"/>
      <c r="R104" s="189" t="n"/>
      <c r="S104" s="189" t="n"/>
      <c r="T104" s="189" t="n"/>
      <c r="U104" s="189" t="n"/>
      <c r="V104" s="189" t="n"/>
      <c r="W104" s="189" t="n"/>
      <c r="X104" s="189" t="n"/>
      <c r="Y104" s="189" t="n"/>
      <c r="Z104" s="189" t="n"/>
      <c r="AA104" s="189" t="n"/>
      <c r="AB104" s="189" t="n"/>
      <c r="AC104" s="189" t="n"/>
      <c r="AD104" s="189" t="n"/>
      <c r="AE104" s="189" t="n"/>
      <c r="AF104" s="189" t="n"/>
      <c r="AG104" s="189" t="n"/>
      <c r="AH104" s="189" t="n"/>
      <c r="AI104" s="51" t="inlineStr">
        <is>
          <t>U7X</t>
        </is>
      </c>
    </row>
    <row r="105">
      <c r="B105" s="189" t="n"/>
      <c r="C105" s="189" t="n"/>
      <c r="D105" s="189" t="n"/>
      <c r="E105" s="189" t="n"/>
      <c r="F105" s="189" t="n"/>
      <c r="G105" s="189" t="n"/>
      <c r="H105" s="189" t="n"/>
      <c r="I105" s="189" t="n"/>
      <c r="J105" s="189" t="n"/>
      <c r="K105" s="189" t="n"/>
      <c r="L105" s="189" t="n"/>
      <c r="M105" s="189" t="n"/>
      <c r="N105" s="189" t="n"/>
      <c r="O105" s="189" t="n"/>
      <c r="P105" s="189" t="n"/>
      <c r="Q105" s="189" t="n"/>
      <c r="R105" s="189" t="n"/>
      <c r="S105" s="189" t="n"/>
      <c r="T105" s="189" t="n"/>
      <c r="U105" s="189" t="n"/>
      <c r="V105" s="189" t="n"/>
      <c r="W105" s="189" t="n"/>
      <c r="X105" s="189" t="n"/>
      <c r="Y105" s="189" t="n"/>
      <c r="Z105" s="189" t="n"/>
      <c r="AA105" s="189" t="n"/>
      <c r="AB105" s="189" t="n"/>
      <c r="AC105" s="189" t="n"/>
      <c r="AD105" s="189" t="n"/>
      <c r="AE105" s="189" t="n"/>
      <c r="AF105" s="189" t="n"/>
      <c r="AG105" s="189" t="n"/>
      <c r="AH105" s="189" t="n"/>
      <c r="AI105" s="51" t="inlineStr">
        <is>
          <t>U7Y</t>
        </is>
      </c>
    </row>
    <row r="106">
      <c r="B106" s="189" t="n"/>
      <c r="C106" s="189" t="n"/>
      <c r="D106" s="189" t="n"/>
      <c r="E106" s="189" t="n"/>
      <c r="F106" s="189" t="n"/>
      <c r="G106" s="189" t="n"/>
      <c r="H106" s="189" t="n"/>
      <c r="I106" s="189" t="n"/>
      <c r="J106" s="189" t="n"/>
      <c r="K106" s="189" t="n"/>
      <c r="L106" s="189" t="n"/>
      <c r="M106" s="189" t="n"/>
      <c r="N106" s="189" t="n"/>
      <c r="O106" s="189" t="n"/>
      <c r="P106" s="189" t="n"/>
      <c r="Q106" s="189" t="n"/>
      <c r="R106" s="189" t="n"/>
      <c r="S106" s="189" t="n"/>
      <c r="T106" s="189" t="n"/>
      <c r="U106" s="189" t="n"/>
      <c r="V106" s="189" t="n"/>
      <c r="W106" s="189" t="n"/>
      <c r="X106" s="189" t="n"/>
      <c r="Y106" s="189" t="n"/>
      <c r="Z106" s="189" t="n"/>
      <c r="AA106" s="189" t="n"/>
      <c r="AB106" s="189" t="n"/>
      <c r="AC106" s="189" t="n"/>
      <c r="AD106" s="189" t="n"/>
      <c r="AE106" s="189" t="n"/>
      <c r="AF106" s="189" t="n"/>
      <c r="AG106" s="189" t="n"/>
      <c r="AH106" s="189" t="n"/>
      <c r="AI106" s="51" t="inlineStr">
        <is>
          <t>U7θ</t>
        </is>
      </c>
    </row>
    <row r="107">
      <c r="B107" s="189" t="n"/>
      <c r="C107" s="189" t="n"/>
      <c r="D107" s="189" t="n"/>
      <c r="E107" s="189" t="n"/>
      <c r="F107" s="189" t="n"/>
      <c r="G107" s="189" t="n"/>
      <c r="H107" s="189" t="n"/>
      <c r="I107" s="189" t="n"/>
      <c r="J107" s="189" t="n"/>
      <c r="K107" s="189" t="n"/>
      <c r="L107" s="189" t="n"/>
      <c r="M107" s="189" t="n"/>
      <c r="N107" s="189" t="n"/>
      <c r="O107" s="189" t="n"/>
      <c r="P107" s="189" t="n"/>
      <c r="Q107" s="189" t="n"/>
      <c r="R107" s="189" t="n"/>
      <c r="S107" s="189" t="n"/>
      <c r="T107" s="189" t="n"/>
      <c r="U107" s="189" t="n"/>
      <c r="V107" s="189" t="n"/>
      <c r="W107" s="189" t="n"/>
      <c r="X107" s="189" t="n"/>
      <c r="Y107" s="189" t="n"/>
      <c r="Z107" s="189" t="n"/>
      <c r="AA107" s="189" t="n"/>
      <c r="AB107" s="189" t="n"/>
      <c r="AC107" s="189" t="n"/>
      <c r="AD107" s="189" t="n"/>
      <c r="AE107" s="189" t="n"/>
      <c r="AF107" s="189" t="n"/>
      <c r="AG107" s="189" t="n"/>
      <c r="AH107" s="189" t="n"/>
      <c r="AI107" s="51" t="inlineStr">
        <is>
          <t>U8X</t>
        </is>
      </c>
    </row>
    <row r="108">
      <c r="B108" s="189" t="n"/>
      <c r="C108" s="189" t="n"/>
      <c r="D108" s="189" t="n"/>
      <c r="E108" s="189" t="n"/>
      <c r="F108" s="189" t="n"/>
      <c r="G108" s="189" t="n"/>
      <c r="H108" s="189" t="n"/>
      <c r="I108" s="189" t="n"/>
      <c r="J108" s="189" t="n"/>
      <c r="K108" s="189" t="n"/>
      <c r="L108" s="189" t="n"/>
      <c r="M108" s="189" t="n"/>
      <c r="N108" s="189" t="n"/>
      <c r="O108" s="189" t="n"/>
      <c r="P108" s="189" t="n"/>
      <c r="Q108" s="189" t="n"/>
      <c r="R108" s="189" t="n"/>
      <c r="S108" s="189" t="n"/>
      <c r="T108" s="189" t="n"/>
      <c r="U108" s="189" t="n"/>
      <c r="V108" s="189" t="n"/>
      <c r="W108" s="189" t="n"/>
      <c r="X108" s="189" t="n"/>
      <c r="Y108" s="189" t="n"/>
      <c r="Z108" s="189" t="n"/>
      <c r="AA108" s="189" t="n"/>
      <c r="AB108" s="189" t="n"/>
      <c r="AC108" s="189" t="n"/>
      <c r="AD108" s="189" t="n"/>
      <c r="AE108" s="189" t="n"/>
      <c r="AF108" s="189" t="n"/>
      <c r="AG108" s="189" t="n"/>
      <c r="AH108" s="189" t="n"/>
      <c r="AI108" s="51" t="inlineStr">
        <is>
          <t>U8Y</t>
        </is>
      </c>
    </row>
    <row r="109">
      <c r="B109" s="189" t="n"/>
      <c r="C109" s="189" t="n"/>
      <c r="D109" s="189" t="n"/>
      <c r="E109" s="189" t="n"/>
      <c r="F109" s="189" t="n"/>
      <c r="G109" s="189" t="n"/>
      <c r="H109" s="189" t="n"/>
      <c r="I109" s="189" t="n"/>
      <c r="J109" s="189" t="n"/>
      <c r="K109" s="189" t="n"/>
      <c r="L109" s="189" t="n"/>
      <c r="M109" s="189" t="n"/>
      <c r="N109" s="189" t="n"/>
      <c r="O109" s="189" t="n"/>
      <c r="P109" s="189" t="n"/>
      <c r="Q109" s="189" t="n"/>
      <c r="R109" s="189" t="n"/>
      <c r="S109" s="189" t="n"/>
      <c r="T109" s="189" t="n"/>
      <c r="U109" s="189" t="n"/>
      <c r="V109" s="189" t="n"/>
      <c r="W109" s="189" t="n"/>
      <c r="X109" s="189" t="n"/>
      <c r="Y109" s="189" t="n"/>
      <c r="Z109" s="189" t="n"/>
      <c r="AA109" s="189" t="n"/>
      <c r="AB109" s="189" t="n"/>
      <c r="AC109" s="189" t="n"/>
      <c r="AD109" s="189" t="n"/>
      <c r="AE109" s="189" t="n"/>
      <c r="AF109" s="189" t="n"/>
      <c r="AG109" s="189" t="n"/>
      <c r="AH109" s="189" t="n"/>
      <c r="AI109" s="51" t="inlineStr">
        <is>
          <t>U8θ</t>
        </is>
      </c>
    </row>
    <row r="110">
      <c r="B110" s="189" t="n"/>
      <c r="C110" s="189" t="n"/>
      <c r="D110" s="189" t="n"/>
      <c r="E110" s="189" t="n"/>
      <c r="F110" s="189" t="n"/>
      <c r="G110" s="189" t="n"/>
      <c r="H110" s="189" t="n"/>
      <c r="I110" s="189" t="n"/>
      <c r="J110" s="189" t="n"/>
      <c r="K110" s="189" t="n"/>
      <c r="L110" s="189" t="n"/>
      <c r="M110" s="189" t="n"/>
      <c r="N110" s="189" t="n"/>
      <c r="O110" s="189" t="n"/>
      <c r="P110" s="189" t="n"/>
      <c r="Q110" s="189" t="n"/>
      <c r="R110" s="189" t="n"/>
      <c r="S110" s="189" t="n"/>
      <c r="T110" s="189" t="n"/>
      <c r="U110" s="189" t="n"/>
      <c r="V110" s="189" t="n"/>
      <c r="W110" s="189" t="n"/>
      <c r="X110" s="189" t="n"/>
      <c r="Y110" s="189" t="n"/>
      <c r="Z110" s="189" t="n"/>
      <c r="AA110" s="189" t="n"/>
      <c r="AB110" s="189" t="n"/>
      <c r="AC110" s="189" t="n"/>
      <c r="AD110" s="189" t="n"/>
      <c r="AE110" s="189" t="n"/>
      <c r="AF110" s="189" t="n"/>
      <c r="AG110" s="189" t="n"/>
      <c r="AH110" s="189" t="n"/>
      <c r="AI110" s="51" t="inlineStr">
        <is>
          <t>U9X</t>
        </is>
      </c>
    </row>
    <row r="111">
      <c r="B111" s="189" t="n"/>
      <c r="C111" s="189" t="n"/>
      <c r="D111" s="189" t="n"/>
      <c r="E111" s="189" t="n"/>
      <c r="F111" s="189" t="n"/>
      <c r="G111" s="189" t="n"/>
      <c r="H111" s="189" t="n"/>
      <c r="I111" s="189" t="n"/>
      <c r="J111" s="189" t="n"/>
      <c r="K111" s="189" t="n"/>
      <c r="L111" s="189" t="n"/>
      <c r="M111" s="189" t="n"/>
      <c r="N111" s="189" t="n"/>
      <c r="O111" s="189" t="n"/>
      <c r="P111" s="189" t="n"/>
      <c r="Q111" s="189" t="n"/>
      <c r="R111" s="189" t="n"/>
      <c r="S111" s="189" t="n"/>
      <c r="T111" s="189" t="n"/>
      <c r="U111" s="189" t="n"/>
      <c r="V111" s="189" t="n"/>
      <c r="W111" s="189" t="n"/>
      <c r="X111" s="189" t="n"/>
      <c r="Y111" s="189" t="n"/>
      <c r="Z111" s="189" t="n"/>
      <c r="AA111" s="189" t="n"/>
      <c r="AB111" s="189" t="n"/>
      <c r="AC111" s="189" t="n"/>
      <c r="AD111" s="189" t="n"/>
      <c r="AE111" s="189" t="n"/>
      <c r="AF111" s="189" t="n"/>
      <c r="AG111" s="189" t="n"/>
      <c r="AH111" s="189" t="n"/>
      <c r="AI111" s="51" t="inlineStr">
        <is>
          <t>U9Y</t>
        </is>
      </c>
    </row>
    <row r="112">
      <c r="B112" s="189" t="n"/>
      <c r="C112" s="189" t="n"/>
      <c r="D112" s="189" t="n"/>
      <c r="E112" s="189" t="n"/>
      <c r="F112" s="189" t="n"/>
      <c r="G112" s="189" t="n"/>
      <c r="H112" s="189" t="n"/>
      <c r="I112" s="189" t="n"/>
      <c r="J112" s="189" t="n"/>
      <c r="K112" s="189" t="n"/>
      <c r="L112" s="189" t="n"/>
      <c r="M112" s="189" t="n"/>
      <c r="N112" s="189" t="n"/>
      <c r="O112" s="189" t="n"/>
      <c r="P112" s="189" t="n"/>
      <c r="Q112" s="189" t="n"/>
      <c r="R112" s="189" t="n"/>
      <c r="S112" s="189" t="n"/>
      <c r="T112" s="189" t="n"/>
      <c r="U112" s="189" t="n"/>
      <c r="V112" s="189" t="n"/>
      <c r="W112" s="189" t="n"/>
      <c r="X112" s="189" t="n"/>
      <c r="Y112" s="189" t="n"/>
      <c r="Z112" s="189" t="n"/>
      <c r="AA112" s="189" t="n"/>
      <c r="AB112" s="189" t="n"/>
      <c r="AC112" s="189" t="n"/>
      <c r="AD112" s="189" t="n"/>
      <c r="AE112" s="189" t="n"/>
      <c r="AF112" s="189" t="n"/>
      <c r="AG112" s="189" t="n"/>
      <c r="AH112" s="189" t="n"/>
      <c r="AI112" s="51" t="inlineStr">
        <is>
          <t>U9θ</t>
        </is>
      </c>
    </row>
    <row r="113">
      <c r="B113" s="189" t="n"/>
      <c r="C113" s="189" t="n"/>
      <c r="D113" s="189" t="n"/>
      <c r="E113" s="189" t="n"/>
      <c r="F113" s="189" t="n"/>
      <c r="G113" s="189" t="n"/>
      <c r="H113" s="189" t="n"/>
      <c r="I113" s="189" t="n"/>
      <c r="J113" s="189" t="n"/>
      <c r="K113" s="189" t="n"/>
      <c r="L113" s="189" t="n"/>
      <c r="M113" s="189" t="n"/>
      <c r="N113" s="189" t="n"/>
      <c r="O113" s="189" t="n"/>
      <c r="P113" s="189" t="n"/>
      <c r="Q113" s="189" t="n"/>
      <c r="R113" s="189" t="n"/>
      <c r="S113" s="189" t="n"/>
      <c r="T113" s="189" t="n"/>
      <c r="U113" s="189" t="n"/>
      <c r="V113" s="189" t="n"/>
      <c r="W113" s="189" t="n"/>
      <c r="X113" s="189" t="n"/>
      <c r="Y113" s="189" t="n"/>
      <c r="Z113" s="189" t="n"/>
      <c r="AA113" s="189" t="n"/>
      <c r="AB113" s="189" t="n"/>
      <c r="AC113" s="189" t="n"/>
      <c r="AD113" s="189" t="n"/>
      <c r="AE113" s="189" t="n"/>
      <c r="AF113" s="189" t="n"/>
      <c r="AG113" s="189" t="n"/>
      <c r="AH113" s="189" t="n"/>
      <c r="AI113" s="51" t="inlineStr">
        <is>
          <t>U10X</t>
        </is>
      </c>
    </row>
    <row r="114">
      <c r="B114" s="189" t="n"/>
      <c r="C114" s="189" t="n"/>
      <c r="D114" s="189" t="n"/>
      <c r="E114" s="189" t="n"/>
      <c r="F114" s="189" t="n"/>
      <c r="G114" s="189" t="n"/>
      <c r="H114" s="189" t="n"/>
      <c r="I114" s="189" t="n"/>
      <c r="J114" s="189" t="n"/>
      <c r="K114" s="189" t="n"/>
      <c r="L114" s="189" t="n"/>
      <c r="M114" s="189" t="n"/>
      <c r="N114" s="189" t="n"/>
      <c r="O114" s="189" t="n"/>
      <c r="P114" s="189" t="n"/>
      <c r="Q114" s="189" t="n"/>
      <c r="R114" s="189" t="n"/>
      <c r="S114" s="189" t="n"/>
      <c r="T114" s="189" t="n"/>
      <c r="U114" s="189" t="n"/>
      <c r="V114" s="189" t="n"/>
      <c r="W114" s="189" t="n"/>
      <c r="X114" s="189" t="n"/>
      <c r="Y114" s="189" t="n"/>
      <c r="Z114" s="189" t="n"/>
      <c r="AA114" s="189" t="n"/>
      <c r="AB114" s="189" t="n"/>
      <c r="AC114" s="189" t="n"/>
      <c r="AD114" s="189" t="n"/>
      <c r="AE114" s="189" t="n"/>
      <c r="AF114" s="189" t="n"/>
      <c r="AG114" s="189" t="n"/>
      <c r="AH114" s="189" t="n"/>
      <c r="AI114" s="51" t="inlineStr">
        <is>
          <t>U10Y</t>
        </is>
      </c>
    </row>
    <row r="115">
      <c r="B115" s="189" t="n"/>
      <c r="C115" s="189" t="n"/>
      <c r="D115" s="189" t="n"/>
      <c r="E115" s="189" t="n"/>
      <c r="F115" s="189" t="n"/>
      <c r="G115" s="189" t="n"/>
      <c r="H115" s="189" t="n"/>
      <c r="I115" s="189" t="n"/>
      <c r="J115" s="189" t="n"/>
      <c r="K115" s="189" t="n"/>
      <c r="L115" s="189" t="n"/>
      <c r="M115" s="189" t="n"/>
      <c r="N115" s="189" t="n"/>
      <c r="O115" s="189" t="n"/>
      <c r="P115" s="189" t="n"/>
      <c r="Q115" s="189" t="n"/>
      <c r="R115" s="189" t="n"/>
      <c r="S115" s="189" t="n"/>
      <c r="T115" s="189" t="n"/>
      <c r="U115" s="189" t="n"/>
      <c r="V115" s="189" t="n"/>
      <c r="W115" s="189" t="n"/>
      <c r="X115" s="189" t="n"/>
      <c r="Y115" s="189" t="n"/>
      <c r="Z115" s="189" t="n"/>
      <c r="AA115" s="189" t="n"/>
      <c r="AB115" s="189" t="n"/>
      <c r="AC115" s="189" t="n"/>
      <c r="AD115" s="189" t="n"/>
      <c r="AE115" s="189" t="n"/>
      <c r="AF115" s="189" t="n"/>
      <c r="AG115" s="189" t="n"/>
      <c r="AH115" s="189" t="n"/>
      <c r="AI115" s="51" t="inlineStr">
        <is>
          <t>U10θ</t>
        </is>
      </c>
    </row>
    <row r="116">
      <c r="B116" s="189" t="n"/>
      <c r="C116" s="189" t="n"/>
      <c r="D116" s="189" t="n"/>
      <c r="E116" s="189" t="n"/>
      <c r="F116" s="189" t="n"/>
      <c r="G116" s="189" t="n"/>
      <c r="H116" s="189" t="n"/>
      <c r="I116" s="189" t="n"/>
      <c r="J116" s="189" t="n"/>
      <c r="K116" s="189" t="n"/>
      <c r="L116" s="189" t="n"/>
      <c r="M116" s="189" t="n"/>
      <c r="N116" s="189" t="n"/>
      <c r="O116" s="189" t="n"/>
      <c r="P116" s="189" t="n"/>
      <c r="Q116" s="189" t="n"/>
      <c r="R116" s="189" t="n"/>
      <c r="S116" s="189" t="n"/>
      <c r="T116" s="189" t="n"/>
      <c r="U116" s="189" t="n"/>
      <c r="V116" s="189" t="n"/>
      <c r="W116" s="189" t="n"/>
      <c r="X116" s="189" t="n"/>
      <c r="Y116" s="189" t="n"/>
      <c r="Z116" s="189" t="n"/>
      <c r="AA116" s="189" t="n"/>
      <c r="AB116" s="189" t="n"/>
      <c r="AC116" s="189" t="n"/>
      <c r="AD116" s="189" t="n"/>
      <c r="AE116" s="189" t="n"/>
      <c r="AF116" s="189" t="n"/>
      <c r="AG116" s="189" t="n"/>
      <c r="AH116" s="189" t="n"/>
      <c r="AI116" s="51" t="inlineStr">
        <is>
          <t>U11X</t>
        </is>
      </c>
    </row>
    <row r="117">
      <c r="B117" s="189" t="n"/>
      <c r="C117" s="189" t="n"/>
      <c r="D117" s="189" t="n"/>
      <c r="E117" s="189" t="n"/>
      <c r="F117" s="189" t="n"/>
      <c r="G117" s="189" t="n"/>
      <c r="H117" s="189" t="n"/>
      <c r="I117" s="189" t="n"/>
      <c r="J117" s="189" t="n"/>
      <c r="K117" s="189" t="n"/>
      <c r="L117" s="189" t="n"/>
      <c r="M117" s="189" t="n"/>
      <c r="N117" s="189" t="n"/>
      <c r="O117" s="189" t="n"/>
      <c r="P117" s="189" t="n"/>
      <c r="Q117" s="189" t="n"/>
      <c r="R117" s="189" t="n"/>
      <c r="S117" s="189" t="n"/>
      <c r="T117" s="189" t="n"/>
      <c r="U117" s="189" t="n"/>
      <c r="V117" s="189" t="n"/>
      <c r="W117" s="189" t="n"/>
      <c r="X117" s="189" t="n"/>
      <c r="Y117" s="189" t="n"/>
      <c r="Z117" s="189" t="n"/>
      <c r="AA117" s="189" t="n"/>
      <c r="AB117" s="189" t="n"/>
      <c r="AC117" s="189" t="n"/>
      <c r="AD117" s="189" t="n"/>
      <c r="AE117" s="189" t="n"/>
      <c r="AF117" s="189" t="n"/>
      <c r="AG117" s="189" t="n"/>
      <c r="AH117" s="189" t="n"/>
      <c r="AI117" s="51" t="inlineStr">
        <is>
          <t>U11Y</t>
        </is>
      </c>
    </row>
    <row r="118">
      <c r="B118" s="189" t="n"/>
      <c r="C118" s="189" t="n"/>
      <c r="D118" s="189" t="n"/>
      <c r="E118" s="189" t="n"/>
      <c r="F118" s="189" t="n"/>
      <c r="G118" s="189" t="n"/>
      <c r="H118" s="189" t="n"/>
      <c r="I118" s="189" t="n"/>
      <c r="J118" s="189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51" t="inlineStr">
        <is>
          <t>U11θ</t>
        </is>
      </c>
    </row>
    <row r="120">
      <c r="B120" s="51">
        <f>IF(C24="","", CONCATENATE("U",C24,C$21))</f>
        <v/>
      </c>
      <c r="C120" s="51">
        <f>IF(D24="","", CONCATENATE("U",D24,D$21))</f>
        <v/>
      </c>
      <c r="D120" s="51">
        <f>IF(E24="","", CONCATENATE("U",E24,E$21))</f>
        <v/>
      </c>
      <c r="E120" s="51">
        <f>IF(F24="","", CONCATENATE("U",F24,F$21))</f>
        <v/>
      </c>
      <c r="F120" s="51">
        <f>IF(G24="","", CONCATENATE("U",G24,G$21))</f>
        <v/>
      </c>
      <c r="G120" s="51">
        <f>IF(H24="","", CONCATENATE("U",H24,H$21))</f>
        <v/>
      </c>
    </row>
    <row r="121">
      <c r="B121" s="8">
        <f>IF(I11="", 0, O11*J11*J11+P11*K11*K11)</f>
        <v/>
      </c>
      <c r="C121" s="189">
        <f>IF(I11="", 0, (O11-P11)*(J11*K11))</f>
        <v/>
      </c>
      <c r="D121" s="189">
        <f>IF(I11="", 0, -Q11*K11)</f>
        <v/>
      </c>
      <c r="E121" s="189">
        <f>-B121</f>
        <v/>
      </c>
      <c r="F121" s="189">
        <f>-C121</f>
        <v/>
      </c>
      <c r="G121" s="189">
        <f>D121</f>
        <v/>
      </c>
      <c r="H121" s="51">
        <f>B120</f>
        <v/>
      </c>
    </row>
    <row r="122">
      <c r="B122" s="189">
        <f>C121</f>
        <v/>
      </c>
      <c r="C122" s="8">
        <f>IF(I11="", 0, O11*K11*K11+P11*J11*J11)</f>
        <v/>
      </c>
      <c r="D122" s="189">
        <f>IF(I11="", 0, Q11*J11)</f>
        <v/>
      </c>
      <c r="E122" s="189">
        <f>-B122</f>
        <v/>
      </c>
      <c r="F122" s="189">
        <f>-C122</f>
        <v/>
      </c>
      <c r="G122" s="189">
        <f>D122</f>
        <v/>
      </c>
      <c r="H122" s="51">
        <f>C120</f>
        <v/>
      </c>
    </row>
    <row r="123">
      <c r="A123" s="118" t="inlineStr">
        <is>
          <t>K3 =</t>
        </is>
      </c>
      <c r="B123" s="189">
        <f>D121</f>
        <v/>
      </c>
      <c r="C123" s="189">
        <f>D122</f>
        <v/>
      </c>
      <c r="D123" s="8">
        <f>IF(I11="", 0, R11)</f>
        <v/>
      </c>
      <c r="E123" s="189">
        <f>-B123</f>
        <v/>
      </c>
      <c r="F123" s="189">
        <f>-C123</f>
        <v/>
      </c>
      <c r="G123" s="189">
        <f>IF(I11="", 0, S11)</f>
        <v/>
      </c>
      <c r="H123" s="51">
        <f>D120</f>
        <v/>
      </c>
    </row>
    <row r="124">
      <c r="B124" s="189">
        <f>E121</f>
        <v/>
      </c>
      <c r="C124" s="189">
        <f>E122</f>
        <v/>
      </c>
      <c r="D124" s="189">
        <f>E123</f>
        <v/>
      </c>
      <c r="E124" s="8">
        <f>B121</f>
        <v/>
      </c>
      <c r="F124" s="189">
        <f>C121</f>
        <v/>
      </c>
      <c r="G124" s="189">
        <f>-D121</f>
        <v/>
      </c>
      <c r="H124" s="51">
        <f>E120</f>
        <v/>
      </c>
    </row>
    <row r="125">
      <c r="B125" s="189">
        <f>F121</f>
        <v/>
      </c>
      <c r="C125" s="189">
        <f>F122</f>
        <v/>
      </c>
      <c r="D125" s="189">
        <f>F123</f>
        <v/>
      </c>
      <c r="E125" s="189">
        <f>F124</f>
        <v/>
      </c>
      <c r="F125" s="8">
        <f>C122</f>
        <v/>
      </c>
      <c r="G125" s="189">
        <f>-D122</f>
        <v/>
      </c>
      <c r="H125" s="51">
        <f>F120</f>
        <v/>
      </c>
    </row>
    <row r="126">
      <c r="B126" s="189">
        <f>G121</f>
        <v/>
      </c>
      <c r="C126" s="189">
        <f>G122</f>
        <v/>
      </c>
      <c r="D126" s="189">
        <f>G123</f>
        <v/>
      </c>
      <c r="E126" s="189">
        <f>G124</f>
        <v/>
      </c>
      <c r="F126" s="189">
        <f>G125</f>
        <v/>
      </c>
      <c r="G126" s="8">
        <f>D123</f>
        <v/>
      </c>
      <c r="H126" s="51">
        <f>G120</f>
        <v/>
      </c>
    </row>
    <row r="128">
      <c r="B128" s="51" t="inlineStr">
        <is>
          <t>U1X</t>
        </is>
      </c>
      <c r="C128" s="51" t="inlineStr">
        <is>
          <t>U1Y</t>
        </is>
      </c>
      <c r="D128" s="51" t="inlineStr">
        <is>
          <t>U1θ</t>
        </is>
      </c>
      <c r="E128" s="51" t="inlineStr">
        <is>
          <t>U2X</t>
        </is>
      </c>
      <c r="F128" s="51" t="inlineStr">
        <is>
          <t>U2Y</t>
        </is>
      </c>
      <c r="G128" s="51" t="inlineStr">
        <is>
          <t>U2θ</t>
        </is>
      </c>
      <c r="H128" s="51" t="inlineStr">
        <is>
          <t>U3X</t>
        </is>
      </c>
      <c r="I128" s="51" t="inlineStr">
        <is>
          <t>U3Y</t>
        </is>
      </c>
      <c r="J128" s="51" t="inlineStr">
        <is>
          <t>U3θ</t>
        </is>
      </c>
      <c r="K128" s="51" t="inlineStr">
        <is>
          <t>U4X</t>
        </is>
      </c>
      <c r="L128" s="51" t="inlineStr">
        <is>
          <t>U4Y</t>
        </is>
      </c>
      <c r="M128" s="51" t="inlineStr">
        <is>
          <t>U4θ</t>
        </is>
      </c>
      <c r="N128" s="51" t="inlineStr">
        <is>
          <t>U5X</t>
        </is>
      </c>
      <c r="O128" s="51" t="inlineStr">
        <is>
          <t>U5Y</t>
        </is>
      </c>
      <c r="P128" s="51" t="inlineStr">
        <is>
          <t>U5θ</t>
        </is>
      </c>
      <c r="Q128" s="51" t="inlineStr">
        <is>
          <t>U6X</t>
        </is>
      </c>
      <c r="R128" s="51" t="inlineStr">
        <is>
          <t>U6Y</t>
        </is>
      </c>
      <c r="S128" s="51" t="inlineStr">
        <is>
          <t>U6θ</t>
        </is>
      </c>
      <c r="T128" s="51" t="inlineStr">
        <is>
          <t>U7X</t>
        </is>
      </c>
      <c r="U128" s="51" t="inlineStr">
        <is>
          <t>U7Y</t>
        </is>
      </c>
      <c r="V128" s="51" t="inlineStr">
        <is>
          <t>U7θ</t>
        </is>
      </c>
      <c r="W128" s="51" t="inlineStr">
        <is>
          <t>U8X</t>
        </is>
      </c>
      <c r="X128" s="51" t="inlineStr">
        <is>
          <t>U8Y</t>
        </is>
      </c>
      <c r="Y128" s="51" t="inlineStr">
        <is>
          <t>U8θ</t>
        </is>
      </c>
      <c r="Z128" s="51" t="inlineStr">
        <is>
          <t>U9X</t>
        </is>
      </c>
      <c r="AA128" s="51" t="inlineStr">
        <is>
          <t>U9Y</t>
        </is>
      </c>
      <c r="AB128" s="51" t="inlineStr">
        <is>
          <t>U9θ</t>
        </is>
      </c>
      <c r="AC128" s="51" t="inlineStr">
        <is>
          <t>U10X</t>
        </is>
      </c>
      <c r="AD128" s="51" t="inlineStr">
        <is>
          <t>U10Y</t>
        </is>
      </c>
      <c r="AE128" s="51" t="inlineStr">
        <is>
          <t>U10θ</t>
        </is>
      </c>
      <c r="AF128" s="51" t="inlineStr">
        <is>
          <t>U11X</t>
        </is>
      </c>
      <c r="AG128" s="51" t="inlineStr">
        <is>
          <t>U11Y</t>
        </is>
      </c>
      <c r="AH128" s="51" t="inlineStr">
        <is>
          <t>U11θ</t>
        </is>
      </c>
    </row>
    <row r="129">
      <c r="B129" s="189" t="n"/>
      <c r="C129" s="189" t="n"/>
      <c r="D129" s="189" t="n"/>
      <c r="E129" s="189" t="n"/>
      <c r="F129" s="189" t="n"/>
      <c r="G129" s="189" t="n"/>
      <c r="H129" s="189" t="n"/>
      <c r="I129" s="189" t="n"/>
      <c r="J129" s="189" t="n"/>
      <c r="K129" s="189" t="n"/>
      <c r="L129" s="189" t="n"/>
      <c r="M129" s="189" t="n"/>
      <c r="N129" s="189" t="n"/>
      <c r="O129" s="189" t="n"/>
      <c r="P129" s="189" t="n"/>
      <c r="Q129" s="189" t="n"/>
      <c r="R129" s="189" t="n"/>
      <c r="S129" s="189" t="n"/>
      <c r="T129" s="189" t="n"/>
      <c r="U129" s="189" t="n"/>
      <c r="V129" s="189" t="n"/>
      <c r="W129" s="189" t="n"/>
      <c r="X129" s="189" t="n"/>
      <c r="Y129" s="189" t="n"/>
      <c r="Z129" s="189" t="n"/>
      <c r="AA129" s="189" t="n"/>
      <c r="AB129" s="189" t="n"/>
      <c r="AC129" s="189" t="n"/>
      <c r="AD129" s="189" t="n"/>
      <c r="AE129" s="189" t="n"/>
      <c r="AF129" s="189" t="n"/>
      <c r="AG129" s="189" t="n"/>
      <c r="AH129" s="189" t="n"/>
      <c r="AI129" s="51" t="inlineStr">
        <is>
          <t>U1X</t>
        </is>
      </c>
    </row>
    <row r="130">
      <c r="B130" s="189" t="n"/>
      <c r="C130" s="189" t="n"/>
      <c r="D130" s="189" t="n"/>
      <c r="E130" s="189" t="n"/>
      <c r="F130" s="189" t="n"/>
      <c r="G130" s="189" t="n"/>
      <c r="H130" s="189" t="n"/>
      <c r="I130" s="189" t="n"/>
      <c r="J130" s="189" t="n"/>
      <c r="K130" s="189" t="n"/>
      <c r="L130" s="189" t="n"/>
      <c r="M130" s="189" t="n"/>
      <c r="N130" s="189" t="n"/>
      <c r="O130" s="189" t="n"/>
      <c r="P130" s="189" t="n"/>
      <c r="Q130" s="189" t="n"/>
      <c r="R130" s="189" t="n"/>
      <c r="S130" s="189" t="n"/>
      <c r="T130" s="189" t="n"/>
      <c r="U130" s="189" t="n"/>
      <c r="V130" s="189" t="n"/>
      <c r="W130" s="189" t="n"/>
      <c r="X130" s="189" t="n"/>
      <c r="Y130" s="189" t="n"/>
      <c r="Z130" s="189" t="n"/>
      <c r="AA130" s="189" t="n"/>
      <c r="AB130" s="189" t="n"/>
      <c r="AC130" s="189" t="n"/>
      <c r="AD130" s="189" t="n"/>
      <c r="AE130" s="189" t="n"/>
      <c r="AF130" s="189" t="n"/>
      <c r="AG130" s="189" t="n"/>
      <c r="AH130" s="189" t="n"/>
      <c r="AI130" s="51" t="inlineStr">
        <is>
          <t>U1Y</t>
        </is>
      </c>
    </row>
    <row r="131">
      <c r="B131" s="189" t="n"/>
      <c r="C131" s="189" t="n"/>
      <c r="D131" s="189" t="n"/>
      <c r="E131" s="189" t="n"/>
      <c r="F131" s="189" t="n"/>
      <c r="G131" s="189" t="n"/>
      <c r="H131" s="189" t="n"/>
      <c r="I131" s="189" t="n"/>
      <c r="J131" s="189" t="n"/>
      <c r="K131" s="189" t="n"/>
      <c r="L131" s="189" t="n"/>
      <c r="M131" s="189" t="n"/>
      <c r="N131" s="189" t="n"/>
      <c r="O131" s="189" t="n"/>
      <c r="P131" s="189" t="n"/>
      <c r="Q131" s="189" t="n"/>
      <c r="R131" s="189" t="n"/>
      <c r="S131" s="189" t="n"/>
      <c r="T131" s="189" t="n"/>
      <c r="U131" s="189" t="n"/>
      <c r="V131" s="189" t="n"/>
      <c r="W131" s="189" t="n"/>
      <c r="X131" s="189" t="n"/>
      <c r="Y131" s="189" t="n"/>
      <c r="Z131" s="189" t="n"/>
      <c r="AA131" s="189" t="n"/>
      <c r="AB131" s="189" t="n"/>
      <c r="AC131" s="189" t="n"/>
      <c r="AD131" s="189" t="n"/>
      <c r="AE131" s="189" t="n"/>
      <c r="AF131" s="189" t="n"/>
      <c r="AG131" s="189" t="n"/>
      <c r="AH131" s="189" t="n"/>
      <c r="AI131" s="51" t="inlineStr">
        <is>
          <t>U1θ</t>
        </is>
      </c>
    </row>
    <row r="132">
      <c r="B132" s="189" t="n"/>
      <c r="C132" s="189" t="n"/>
      <c r="D132" s="189" t="n"/>
      <c r="E132" s="189" t="n"/>
      <c r="F132" s="189" t="n"/>
      <c r="G132" s="189" t="n"/>
      <c r="H132" s="189" t="n"/>
      <c r="I132" s="189" t="n"/>
      <c r="J132" s="189" t="n"/>
      <c r="K132" s="189" t="n"/>
      <c r="L132" s="189" t="n"/>
      <c r="M132" s="189" t="n"/>
      <c r="N132" s="189" t="n"/>
      <c r="O132" s="189" t="n"/>
      <c r="P132" s="189" t="n"/>
      <c r="Q132" s="189" t="n"/>
      <c r="R132" s="189" t="n"/>
      <c r="S132" s="189" t="n"/>
      <c r="T132" s="189" t="n"/>
      <c r="U132" s="189" t="n"/>
      <c r="V132" s="189" t="n"/>
      <c r="W132" s="189" t="n"/>
      <c r="X132" s="189" t="n"/>
      <c r="Y132" s="189" t="n"/>
      <c r="Z132" s="189" t="n"/>
      <c r="AA132" s="189" t="n"/>
      <c r="AB132" s="189" t="n"/>
      <c r="AC132" s="189" t="n"/>
      <c r="AD132" s="189" t="n"/>
      <c r="AE132" s="189" t="n"/>
      <c r="AF132" s="189" t="n"/>
      <c r="AG132" s="189" t="n"/>
      <c r="AH132" s="189" t="n"/>
      <c r="AI132" s="51" t="inlineStr">
        <is>
          <t>U2X</t>
        </is>
      </c>
    </row>
    <row r="133">
      <c r="B133" s="189" t="n"/>
      <c r="C133" s="189" t="n"/>
      <c r="D133" s="189" t="n"/>
      <c r="E133" s="189" t="n"/>
      <c r="F133" s="189" t="n"/>
      <c r="G133" s="189" t="n"/>
      <c r="H133" s="189" t="n"/>
      <c r="I133" s="189" t="n"/>
      <c r="J133" s="189" t="n"/>
      <c r="K133" s="189" t="n"/>
      <c r="L133" s="189" t="n"/>
      <c r="M133" s="189" t="n"/>
      <c r="N133" s="189" t="n"/>
      <c r="O133" s="189" t="n"/>
      <c r="P133" s="189" t="n"/>
      <c r="Q133" s="189" t="n"/>
      <c r="R133" s="189" t="n"/>
      <c r="S133" s="189" t="n"/>
      <c r="T133" s="189" t="n"/>
      <c r="U133" s="189" t="n"/>
      <c r="V133" s="189" t="n"/>
      <c r="W133" s="189" t="n"/>
      <c r="X133" s="189" t="n"/>
      <c r="Y133" s="189" t="n"/>
      <c r="Z133" s="189" t="n"/>
      <c r="AA133" s="189" t="n"/>
      <c r="AB133" s="189" t="n"/>
      <c r="AC133" s="189" t="n"/>
      <c r="AD133" s="189" t="n"/>
      <c r="AE133" s="189" t="n"/>
      <c r="AF133" s="189" t="n"/>
      <c r="AG133" s="189" t="n"/>
      <c r="AH133" s="189" t="n"/>
      <c r="AI133" s="51" t="inlineStr">
        <is>
          <t>U2Y</t>
        </is>
      </c>
    </row>
    <row r="134">
      <c r="B134" s="189" t="n"/>
      <c r="C134" s="189" t="n"/>
      <c r="D134" s="189" t="n"/>
      <c r="E134" s="189" t="n"/>
      <c r="F134" s="189" t="n"/>
      <c r="G134" s="189" t="n"/>
      <c r="H134" s="189" t="n"/>
      <c r="I134" s="189" t="n"/>
      <c r="J134" s="189" t="n"/>
      <c r="K134" s="189" t="n"/>
      <c r="L134" s="189" t="n"/>
      <c r="M134" s="189" t="n"/>
      <c r="N134" s="189" t="n"/>
      <c r="O134" s="189" t="n"/>
      <c r="P134" s="189" t="n"/>
      <c r="Q134" s="189" t="n"/>
      <c r="R134" s="189" t="n"/>
      <c r="S134" s="189" t="n"/>
      <c r="T134" s="189" t="n"/>
      <c r="U134" s="189" t="n"/>
      <c r="V134" s="189" t="n"/>
      <c r="W134" s="189" t="n"/>
      <c r="X134" s="189" t="n"/>
      <c r="Y134" s="189" t="n"/>
      <c r="Z134" s="189" t="n"/>
      <c r="AA134" s="189" t="n"/>
      <c r="AB134" s="189" t="n"/>
      <c r="AC134" s="189" t="n"/>
      <c r="AD134" s="189" t="n"/>
      <c r="AE134" s="189" t="n"/>
      <c r="AF134" s="189" t="n"/>
      <c r="AG134" s="189" t="n"/>
      <c r="AH134" s="189" t="n"/>
      <c r="AI134" s="51" t="inlineStr">
        <is>
          <t>U2θ</t>
        </is>
      </c>
    </row>
    <row r="135">
      <c r="B135" s="189" t="n"/>
      <c r="C135" s="189" t="n"/>
      <c r="D135" s="189" t="n"/>
      <c r="E135" s="189" t="n"/>
      <c r="F135" s="189" t="n"/>
      <c r="G135" s="189" t="n"/>
      <c r="H135" s="76">
        <f>B121</f>
        <v/>
      </c>
      <c r="I135" s="76">
        <f>C121</f>
        <v/>
      </c>
      <c r="J135" s="76">
        <f>D121</f>
        <v/>
      </c>
      <c r="K135" s="76">
        <f>E121</f>
        <v/>
      </c>
      <c r="L135" s="76">
        <f>F121</f>
        <v/>
      </c>
      <c r="M135" s="76">
        <f>G121</f>
        <v/>
      </c>
      <c r="N135" s="189" t="n"/>
      <c r="O135" s="189" t="n"/>
      <c r="P135" s="189" t="n"/>
      <c r="Q135" s="189" t="n"/>
      <c r="R135" s="189" t="n"/>
      <c r="S135" s="189" t="n"/>
      <c r="T135" s="189" t="n"/>
      <c r="U135" s="189" t="n"/>
      <c r="V135" s="189" t="n"/>
      <c r="W135" s="189" t="n"/>
      <c r="X135" s="189" t="n"/>
      <c r="Y135" s="189" t="n"/>
      <c r="Z135" s="189" t="n"/>
      <c r="AA135" s="189" t="n"/>
      <c r="AB135" s="189" t="n"/>
      <c r="AC135" s="189" t="n"/>
      <c r="AD135" s="189" t="n"/>
      <c r="AE135" s="189" t="n"/>
      <c r="AF135" s="189" t="n"/>
      <c r="AG135" s="189" t="n"/>
      <c r="AH135" s="189" t="n"/>
      <c r="AI135" s="51" t="inlineStr">
        <is>
          <t>U3X</t>
        </is>
      </c>
    </row>
    <row r="136">
      <c r="B136" s="189" t="n"/>
      <c r="C136" s="189" t="n"/>
      <c r="D136" s="189" t="n"/>
      <c r="E136" s="189" t="n"/>
      <c r="F136" s="189" t="n"/>
      <c r="G136" s="189" t="n"/>
      <c r="H136" s="76">
        <f>B122</f>
        <v/>
      </c>
      <c r="I136" s="76">
        <f>C122</f>
        <v/>
      </c>
      <c r="J136" s="76">
        <f>D122</f>
        <v/>
      </c>
      <c r="K136" s="76">
        <f>E122</f>
        <v/>
      </c>
      <c r="L136" s="76">
        <f>F122</f>
        <v/>
      </c>
      <c r="M136" s="76">
        <f>G122</f>
        <v/>
      </c>
      <c r="N136" s="189" t="n"/>
      <c r="O136" s="189" t="n"/>
      <c r="P136" s="189" t="n"/>
      <c r="Q136" s="189" t="n"/>
      <c r="R136" s="189" t="n"/>
      <c r="S136" s="189" t="n"/>
      <c r="T136" s="189" t="n"/>
      <c r="U136" s="189" t="n"/>
      <c r="V136" s="189" t="n"/>
      <c r="W136" s="189" t="n"/>
      <c r="X136" s="189" t="n"/>
      <c r="Y136" s="189" t="n"/>
      <c r="Z136" s="189" t="n"/>
      <c r="AA136" s="189" t="n"/>
      <c r="AB136" s="189" t="n"/>
      <c r="AC136" s="189" t="n"/>
      <c r="AD136" s="189" t="n"/>
      <c r="AE136" s="189" t="n"/>
      <c r="AF136" s="189" t="n"/>
      <c r="AG136" s="189" t="n"/>
      <c r="AH136" s="189" t="n"/>
      <c r="AI136" s="51" t="inlineStr">
        <is>
          <t>U3Y</t>
        </is>
      </c>
    </row>
    <row r="137">
      <c r="B137" s="189" t="n"/>
      <c r="C137" s="189" t="n"/>
      <c r="D137" s="189" t="n"/>
      <c r="E137" s="189" t="n"/>
      <c r="F137" s="189" t="n"/>
      <c r="G137" s="189" t="n"/>
      <c r="H137" s="76">
        <f>B123</f>
        <v/>
      </c>
      <c r="I137" s="76">
        <f>C123</f>
        <v/>
      </c>
      <c r="J137" s="76">
        <f>D123</f>
        <v/>
      </c>
      <c r="K137" s="76">
        <f>E123</f>
        <v/>
      </c>
      <c r="L137" s="76">
        <f>F123</f>
        <v/>
      </c>
      <c r="M137" s="76">
        <f>G123</f>
        <v/>
      </c>
      <c r="N137" s="189" t="n"/>
      <c r="O137" s="189" t="n"/>
      <c r="P137" s="189" t="n"/>
      <c r="Q137" s="189" t="n"/>
      <c r="R137" s="189" t="n"/>
      <c r="S137" s="189" t="n"/>
      <c r="T137" s="189" t="n"/>
      <c r="U137" s="189" t="n"/>
      <c r="V137" s="189" t="n"/>
      <c r="W137" s="189" t="n"/>
      <c r="X137" s="189" t="n"/>
      <c r="Y137" s="189" t="n"/>
      <c r="Z137" s="189" t="n"/>
      <c r="AA137" s="189" t="n"/>
      <c r="AB137" s="189" t="n"/>
      <c r="AC137" s="189" t="n"/>
      <c r="AD137" s="189" t="n"/>
      <c r="AE137" s="189" t="n"/>
      <c r="AF137" s="189" t="n"/>
      <c r="AG137" s="189" t="n"/>
      <c r="AH137" s="189" t="n"/>
      <c r="AI137" s="51" t="inlineStr">
        <is>
          <t>U3θ</t>
        </is>
      </c>
    </row>
    <row r="138">
      <c r="B138" s="189" t="n"/>
      <c r="C138" s="189" t="n"/>
      <c r="D138" s="189" t="n"/>
      <c r="E138" s="189" t="n"/>
      <c r="F138" s="189" t="n"/>
      <c r="G138" s="189" t="n"/>
      <c r="H138" s="76">
        <f>B124</f>
        <v/>
      </c>
      <c r="I138" s="76">
        <f>C124</f>
        <v/>
      </c>
      <c r="J138" s="76">
        <f>D124</f>
        <v/>
      </c>
      <c r="K138" s="76">
        <f>E124</f>
        <v/>
      </c>
      <c r="L138" s="76">
        <f>F124</f>
        <v/>
      </c>
      <c r="M138" s="76">
        <f>G124</f>
        <v/>
      </c>
      <c r="N138" s="189" t="n"/>
      <c r="O138" s="189" t="n"/>
      <c r="P138" s="189" t="n"/>
      <c r="Q138" s="189" t="n"/>
      <c r="R138" s="189" t="n"/>
      <c r="S138" s="189" t="n"/>
      <c r="T138" s="189" t="n"/>
      <c r="U138" s="189" t="n"/>
      <c r="V138" s="189" t="n"/>
      <c r="W138" s="189" t="n"/>
      <c r="X138" s="189" t="n"/>
      <c r="Y138" s="189" t="n"/>
      <c r="Z138" s="189" t="n"/>
      <c r="AA138" s="189" t="n"/>
      <c r="AB138" s="189" t="n"/>
      <c r="AC138" s="189" t="n"/>
      <c r="AD138" s="189" t="n"/>
      <c r="AE138" s="189" t="n"/>
      <c r="AF138" s="189" t="n"/>
      <c r="AG138" s="189" t="n"/>
      <c r="AH138" s="189" t="n"/>
      <c r="AI138" s="51" t="inlineStr">
        <is>
          <t>U4X</t>
        </is>
      </c>
    </row>
    <row r="139">
      <c r="B139" s="189" t="n"/>
      <c r="C139" s="189" t="n"/>
      <c r="D139" s="189" t="n"/>
      <c r="E139" s="189" t="n"/>
      <c r="F139" s="189" t="n"/>
      <c r="G139" s="189" t="n"/>
      <c r="H139" s="76">
        <f>B125</f>
        <v/>
      </c>
      <c r="I139" s="76">
        <f>C125</f>
        <v/>
      </c>
      <c r="J139" s="76">
        <f>D125</f>
        <v/>
      </c>
      <c r="K139" s="76">
        <f>E125</f>
        <v/>
      </c>
      <c r="L139" s="76">
        <f>F125</f>
        <v/>
      </c>
      <c r="M139" s="76">
        <f>G125</f>
        <v/>
      </c>
      <c r="N139" s="189" t="n"/>
      <c r="O139" s="189" t="n"/>
      <c r="P139" s="189" t="n"/>
      <c r="Q139" s="189" t="n"/>
      <c r="R139" s="189" t="n"/>
      <c r="S139" s="189" t="n"/>
      <c r="T139" s="189" t="n"/>
      <c r="U139" s="189" t="n"/>
      <c r="V139" s="189" t="n"/>
      <c r="W139" s="189" t="n"/>
      <c r="X139" s="189" t="n"/>
      <c r="Y139" s="189" t="n"/>
      <c r="Z139" s="189" t="n"/>
      <c r="AA139" s="189" t="n"/>
      <c r="AB139" s="189" t="n"/>
      <c r="AC139" s="189" t="n"/>
      <c r="AD139" s="189" t="n"/>
      <c r="AE139" s="189" t="n"/>
      <c r="AF139" s="189" t="n"/>
      <c r="AG139" s="189" t="n"/>
      <c r="AH139" s="189" t="n"/>
      <c r="AI139" s="51" t="inlineStr">
        <is>
          <t>U4Y</t>
        </is>
      </c>
    </row>
    <row r="140">
      <c r="B140" s="189" t="n"/>
      <c r="C140" s="189" t="n"/>
      <c r="D140" s="189" t="n"/>
      <c r="E140" s="189" t="n"/>
      <c r="F140" s="189" t="n"/>
      <c r="G140" s="189" t="n"/>
      <c r="H140" s="76">
        <f>B126</f>
        <v/>
      </c>
      <c r="I140" s="76">
        <f>C126</f>
        <v/>
      </c>
      <c r="J140" s="76">
        <f>D126</f>
        <v/>
      </c>
      <c r="K140" s="76">
        <f>E126</f>
        <v/>
      </c>
      <c r="L140" s="76">
        <f>F126</f>
        <v/>
      </c>
      <c r="M140" s="76">
        <f>G126</f>
        <v/>
      </c>
      <c r="N140" s="189" t="n"/>
      <c r="O140" s="189" t="n"/>
      <c r="P140" s="189" t="n"/>
      <c r="Q140" s="189" t="n"/>
      <c r="R140" s="189" t="n"/>
      <c r="S140" s="189" t="n"/>
      <c r="T140" s="189" t="n"/>
      <c r="U140" s="189" t="n"/>
      <c r="V140" s="189" t="n"/>
      <c r="W140" s="189" t="n"/>
      <c r="X140" s="189" t="n"/>
      <c r="Y140" s="189" t="n"/>
      <c r="Z140" s="189" t="n"/>
      <c r="AA140" s="189" t="n"/>
      <c r="AB140" s="189" t="n"/>
      <c r="AC140" s="189" t="n"/>
      <c r="AD140" s="189" t="n"/>
      <c r="AE140" s="189" t="n"/>
      <c r="AF140" s="189" t="n"/>
      <c r="AG140" s="189" t="n"/>
      <c r="AH140" s="189" t="n"/>
      <c r="AI140" s="51" t="inlineStr">
        <is>
          <t>U4θ</t>
        </is>
      </c>
    </row>
    <row r="141">
      <c r="B141" s="189" t="n"/>
      <c r="C141" s="189" t="n"/>
      <c r="D141" s="189" t="n"/>
      <c r="E141" s="189" t="n"/>
      <c r="F141" s="189" t="n"/>
      <c r="G141" s="189" t="n"/>
      <c r="H141" s="189" t="n"/>
      <c r="I141" s="189" t="n"/>
      <c r="J141" s="189" t="n"/>
      <c r="K141" s="189" t="n"/>
      <c r="L141" s="189" t="n"/>
      <c r="M141" s="189" t="n"/>
      <c r="N141" s="189" t="n"/>
      <c r="O141" s="189" t="n"/>
      <c r="P141" s="189" t="n"/>
      <c r="Q141" s="189" t="n"/>
      <c r="R141" s="189" t="n"/>
      <c r="S141" s="189" t="n"/>
      <c r="T141" s="189" t="n"/>
      <c r="U141" s="189" t="n"/>
      <c r="V141" s="189" t="n"/>
      <c r="W141" s="189" t="n"/>
      <c r="X141" s="189" t="n"/>
      <c r="Y141" s="189" t="n"/>
      <c r="Z141" s="189" t="n"/>
      <c r="AA141" s="189" t="n"/>
      <c r="AB141" s="189" t="n"/>
      <c r="AC141" s="189" t="n"/>
      <c r="AD141" s="189" t="n"/>
      <c r="AE141" s="189" t="n"/>
      <c r="AF141" s="189" t="n"/>
      <c r="AG141" s="189" t="n"/>
      <c r="AH141" s="189" t="n"/>
      <c r="AI141" s="51" t="inlineStr">
        <is>
          <t>U5X</t>
        </is>
      </c>
    </row>
    <row r="142">
      <c r="B142" s="189" t="n"/>
      <c r="C142" s="189" t="n"/>
      <c r="D142" s="189" t="n"/>
      <c r="E142" s="189" t="n"/>
      <c r="F142" s="189" t="n"/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51" t="inlineStr">
        <is>
          <t>U5Y</t>
        </is>
      </c>
    </row>
    <row r="143">
      <c r="B143" s="189" t="n"/>
      <c r="C143" s="189" t="n"/>
      <c r="D143" s="189" t="n"/>
      <c r="E143" s="189" t="n"/>
      <c r="F143" s="189" t="n"/>
      <c r="G143" s="189" t="n"/>
      <c r="H143" s="189" t="n"/>
      <c r="I143" s="189" t="n"/>
      <c r="J143" s="189" t="n"/>
      <c r="K143" s="189" t="n"/>
      <c r="L143" s="189" t="n"/>
      <c r="M143" s="189" t="n"/>
      <c r="N143" s="189" t="n"/>
      <c r="O143" s="189" t="n"/>
      <c r="P143" s="189" t="n"/>
      <c r="Q143" s="189" t="n"/>
      <c r="R143" s="189" t="n"/>
      <c r="S143" s="189" t="n"/>
      <c r="T143" s="189" t="n"/>
      <c r="U143" s="189" t="n"/>
      <c r="V143" s="189" t="n"/>
      <c r="W143" s="189" t="n"/>
      <c r="X143" s="189" t="n"/>
      <c r="Y143" s="189" t="n"/>
      <c r="Z143" s="189" t="n"/>
      <c r="AA143" s="189" t="n"/>
      <c r="AB143" s="189" t="n"/>
      <c r="AC143" s="189" t="n"/>
      <c r="AD143" s="189" t="n"/>
      <c r="AE143" s="189" t="n"/>
      <c r="AF143" s="189" t="n"/>
      <c r="AG143" s="189" t="n"/>
      <c r="AH143" s="189" t="n"/>
      <c r="AI143" s="51" t="inlineStr">
        <is>
          <t>U5θ</t>
        </is>
      </c>
    </row>
    <row r="144">
      <c r="A144" s="118" t="inlineStr">
        <is>
          <t>K3 =</t>
        </is>
      </c>
      <c r="B144" s="189" t="n"/>
      <c r="C144" s="189" t="n"/>
      <c r="D144" s="189" t="n"/>
      <c r="E144" s="189" t="n"/>
      <c r="F144" s="189" t="n"/>
      <c r="G144" s="189" t="n"/>
      <c r="H144" s="189" t="n"/>
      <c r="I144" s="189" t="n"/>
      <c r="J144" s="189" t="n"/>
      <c r="K144" s="189" t="n"/>
      <c r="L144" s="189" t="n"/>
      <c r="M144" s="189" t="n"/>
      <c r="N144" s="189" t="n"/>
      <c r="O144" s="189" t="n"/>
      <c r="P144" s="189" t="n"/>
      <c r="Q144" s="189" t="n"/>
      <c r="R144" s="189" t="n"/>
      <c r="S144" s="189" t="n"/>
      <c r="T144" s="189" t="n"/>
      <c r="U144" s="189" t="n"/>
      <c r="V144" s="189" t="n"/>
      <c r="W144" s="189" t="n"/>
      <c r="X144" s="189" t="n"/>
      <c r="Y144" s="189" t="n"/>
      <c r="Z144" s="189" t="n"/>
      <c r="AA144" s="189" t="n"/>
      <c r="AB144" s="189" t="n"/>
      <c r="AC144" s="189" t="n"/>
      <c r="AD144" s="189" t="n"/>
      <c r="AE144" s="189" t="n"/>
      <c r="AF144" s="189" t="n"/>
      <c r="AG144" s="189" t="n"/>
      <c r="AH144" s="189" t="n"/>
      <c r="AI144" s="51" t="inlineStr">
        <is>
          <t>U6X</t>
        </is>
      </c>
    </row>
    <row r="145">
      <c r="B145" s="189" t="n"/>
      <c r="C145" s="189" t="n"/>
      <c r="D145" s="189" t="n"/>
      <c r="E145" s="189" t="n"/>
      <c r="F145" s="189" t="n"/>
      <c r="G145" s="189" t="n"/>
      <c r="H145" s="189" t="n"/>
      <c r="I145" s="189" t="n"/>
      <c r="J145" s="189" t="n"/>
      <c r="K145" s="189" t="n"/>
      <c r="L145" s="189" t="n"/>
      <c r="M145" s="189" t="n"/>
      <c r="N145" s="189" t="n"/>
      <c r="O145" s="189" t="n"/>
      <c r="P145" s="189" t="n"/>
      <c r="Q145" s="189" t="n"/>
      <c r="R145" s="189" t="n"/>
      <c r="S145" s="189" t="n"/>
      <c r="T145" s="189" t="n"/>
      <c r="U145" s="189" t="n"/>
      <c r="V145" s="189" t="n"/>
      <c r="W145" s="189" t="n"/>
      <c r="X145" s="189" t="n"/>
      <c r="Y145" s="189" t="n"/>
      <c r="Z145" s="189" t="n"/>
      <c r="AA145" s="189" t="n"/>
      <c r="AB145" s="189" t="n"/>
      <c r="AC145" s="189" t="n"/>
      <c r="AD145" s="189" t="n"/>
      <c r="AE145" s="189" t="n"/>
      <c r="AF145" s="189" t="n"/>
      <c r="AG145" s="189" t="n"/>
      <c r="AH145" s="189" t="n"/>
      <c r="AI145" s="51" t="inlineStr">
        <is>
          <t>U6Y</t>
        </is>
      </c>
    </row>
    <row r="146">
      <c r="B146" s="189" t="n"/>
      <c r="C146" s="189" t="n"/>
      <c r="D146" s="189" t="n"/>
      <c r="E146" s="189" t="n"/>
      <c r="F146" s="189" t="n"/>
      <c r="G146" s="189" t="n"/>
      <c r="H146" s="189" t="n"/>
      <c r="I146" s="189" t="n"/>
      <c r="J146" s="189" t="n"/>
      <c r="K146" s="189" t="n"/>
      <c r="L146" s="189" t="n"/>
      <c r="M146" s="189" t="n"/>
      <c r="N146" s="189" t="n"/>
      <c r="O146" s="189" t="n"/>
      <c r="P146" s="189" t="n"/>
      <c r="Q146" s="189" t="n"/>
      <c r="R146" s="189" t="n"/>
      <c r="S146" s="189" t="n"/>
      <c r="T146" s="189" t="n"/>
      <c r="U146" s="189" t="n"/>
      <c r="V146" s="189" t="n"/>
      <c r="W146" s="189" t="n"/>
      <c r="X146" s="189" t="n"/>
      <c r="Y146" s="189" t="n"/>
      <c r="Z146" s="189" t="n"/>
      <c r="AA146" s="189" t="n"/>
      <c r="AB146" s="189" t="n"/>
      <c r="AC146" s="189" t="n"/>
      <c r="AD146" s="189" t="n"/>
      <c r="AE146" s="189" t="n"/>
      <c r="AF146" s="189" t="n"/>
      <c r="AG146" s="189" t="n"/>
      <c r="AH146" s="189" t="n"/>
      <c r="AI146" s="51" t="inlineStr">
        <is>
          <t>U6θ</t>
        </is>
      </c>
    </row>
    <row r="147">
      <c r="B147" s="189" t="n"/>
      <c r="C147" s="189" t="n"/>
      <c r="D147" s="189" t="n"/>
      <c r="E147" s="189" t="n"/>
      <c r="F147" s="189" t="n"/>
      <c r="G147" s="189" t="n"/>
      <c r="H147" s="189" t="n"/>
      <c r="I147" s="189" t="n"/>
      <c r="J147" s="189" t="n"/>
      <c r="K147" s="189" t="n"/>
      <c r="L147" s="189" t="n"/>
      <c r="M147" s="189" t="n"/>
      <c r="N147" s="189" t="n"/>
      <c r="O147" s="189" t="n"/>
      <c r="P147" s="189" t="n"/>
      <c r="Q147" s="189" t="n"/>
      <c r="R147" s="189" t="n"/>
      <c r="S147" s="189" t="n"/>
      <c r="T147" s="189" t="n"/>
      <c r="U147" s="189" t="n"/>
      <c r="V147" s="189" t="n"/>
      <c r="W147" s="189" t="n"/>
      <c r="X147" s="189" t="n"/>
      <c r="Y147" s="189" t="n"/>
      <c r="Z147" s="189" t="n"/>
      <c r="AA147" s="189" t="n"/>
      <c r="AB147" s="189" t="n"/>
      <c r="AC147" s="189" t="n"/>
      <c r="AD147" s="189" t="n"/>
      <c r="AE147" s="189" t="n"/>
      <c r="AF147" s="189" t="n"/>
      <c r="AG147" s="189" t="n"/>
      <c r="AH147" s="189" t="n"/>
      <c r="AI147" s="51" t="inlineStr">
        <is>
          <t>U7X</t>
        </is>
      </c>
    </row>
    <row r="148">
      <c r="B148" s="189" t="n"/>
      <c r="C148" s="189" t="n"/>
      <c r="D148" s="189" t="n"/>
      <c r="E148" s="189" t="n"/>
      <c r="F148" s="189" t="n"/>
      <c r="G148" s="189" t="n"/>
      <c r="H148" s="189" t="n"/>
      <c r="I148" s="189" t="n"/>
      <c r="J148" s="189" t="n"/>
      <c r="K148" s="189" t="n"/>
      <c r="L148" s="189" t="n"/>
      <c r="M148" s="189" t="n"/>
      <c r="N148" s="189" t="n"/>
      <c r="O148" s="189" t="n"/>
      <c r="P148" s="189" t="n"/>
      <c r="Q148" s="189" t="n"/>
      <c r="R148" s="189" t="n"/>
      <c r="S148" s="189" t="n"/>
      <c r="T148" s="189" t="n"/>
      <c r="U148" s="189" t="n"/>
      <c r="V148" s="189" t="n"/>
      <c r="W148" s="189" t="n"/>
      <c r="X148" s="189" t="n"/>
      <c r="Y148" s="189" t="n"/>
      <c r="Z148" s="189" t="n"/>
      <c r="AA148" s="189" t="n"/>
      <c r="AB148" s="189" t="n"/>
      <c r="AC148" s="189" t="n"/>
      <c r="AD148" s="189" t="n"/>
      <c r="AE148" s="189" t="n"/>
      <c r="AF148" s="189" t="n"/>
      <c r="AG148" s="189" t="n"/>
      <c r="AH148" s="189" t="n"/>
      <c r="AI148" s="51" t="inlineStr">
        <is>
          <t>U7Y</t>
        </is>
      </c>
    </row>
    <row r="149">
      <c r="B149" s="189" t="n"/>
      <c r="C149" s="189" t="n"/>
      <c r="D149" s="189" t="n"/>
      <c r="E149" s="189" t="n"/>
      <c r="F149" s="189" t="n"/>
      <c r="G149" s="189" t="n"/>
      <c r="H149" s="189" t="n"/>
      <c r="I149" s="189" t="n"/>
      <c r="J149" s="189" t="n"/>
      <c r="K149" s="189" t="n"/>
      <c r="L149" s="189" t="n"/>
      <c r="M149" s="189" t="n"/>
      <c r="N149" s="189" t="n"/>
      <c r="O149" s="189" t="n"/>
      <c r="P149" s="189" t="n"/>
      <c r="Q149" s="189" t="n"/>
      <c r="R149" s="189" t="n"/>
      <c r="S149" s="189" t="n"/>
      <c r="T149" s="189" t="n"/>
      <c r="U149" s="189" t="n"/>
      <c r="V149" s="189" t="n"/>
      <c r="W149" s="189" t="n"/>
      <c r="X149" s="189" t="n"/>
      <c r="Y149" s="189" t="n"/>
      <c r="Z149" s="189" t="n"/>
      <c r="AA149" s="189" t="n"/>
      <c r="AB149" s="189" t="n"/>
      <c r="AC149" s="189" t="n"/>
      <c r="AD149" s="189" t="n"/>
      <c r="AE149" s="189" t="n"/>
      <c r="AF149" s="189" t="n"/>
      <c r="AG149" s="189" t="n"/>
      <c r="AH149" s="189" t="n"/>
      <c r="AI149" s="51" t="inlineStr">
        <is>
          <t>U7θ</t>
        </is>
      </c>
    </row>
    <row r="150">
      <c r="B150" s="189" t="n"/>
      <c r="C150" s="189" t="n"/>
      <c r="D150" s="189" t="n"/>
      <c r="E150" s="189" t="n"/>
      <c r="F150" s="189" t="n"/>
      <c r="G150" s="189" t="n"/>
      <c r="H150" s="189" t="n"/>
      <c r="I150" s="189" t="n"/>
      <c r="J150" s="189" t="n"/>
      <c r="K150" s="189" t="n"/>
      <c r="L150" s="189" t="n"/>
      <c r="M150" s="189" t="n"/>
      <c r="N150" s="189" t="n"/>
      <c r="O150" s="189" t="n"/>
      <c r="P150" s="189" t="n"/>
      <c r="Q150" s="189" t="n"/>
      <c r="R150" s="189" t="n"/>
      <c r="S150" s="189" t="n"/>
      <c r="T150" s="189" t="n"/>
      <c r="U150" s="189" t="n"/>
      <c r="V150" s="189" t="n"/>
      <c r="W150" s="189" t="n"/>
      <c r="X150" s="189" t="n"/>
      <c r="Y150" s="189" t="n"/>
      <c r="Z150" s="189" t="n"/>
      <c r="AA150" s="189" t="n"/>
      <c r="AB150" s="189" t="n"/>
      <c r="AC150" s="189" t="n"/>
      <c r="AD150" s="189" t="n"/>
      <c r="AE150" s="189" t="n"/>
      <c r="AF150" s="189" t="n"/>
      <c r="AG150" s="189" t="n"/>
      <c r="AH150" s="189" t="n"/>
      <c r="AI150" s="51" t="inlineStr">
        <is>
          <t>U8X</t>
        </is>
      </c>
    </row>
    <row r="151">
      <c r="B151" s="189" t="n"/>
      <c r="C151" s="189" t="n"/>
      <c r="D151" s="189" t="n"/>
      <c r="E151" s="189" t="n"/>
      <c r="F151" s="189" t="n"/>
      <c r="G151" s="189" t="n"/>
      <c r="H151" s="189" t="n"/>
      <c r="I151" s="189" t="n"/>
      <c r="J151" s="189" t="n"/>
      <c r="K151" s="189" t="n"/>
      <c r="L151" s="189" t="n"/>
      <c r="M151" s="189" t="n"/>
      <c r="N151" s="189" t="n"/>
      <c r="O151" s="189" t="n"/>
      <c r="P151" s="189" t="n"/>
      <c r="Q151" s="189" t="n"/>
      <c r="R151" s="189" t="n"/>
      <c r="S151" s="189" t="n"/>
      <c r="T151" s="189" t="n"/>
      <c r="U151" s="189" t="n"/>
      <c r="V151" s="189" t="n"/>
      <c r="W151" s="189" t="n"/>
      <c r="X151" s="189" t="n"/>
      <c r="Y151" s="189" t="n"/>
      <c r="Z151" s="189" t="n"/>
      <c r="AA151" s="189" t="n"/>
      <c r="AB151" s="189" t="n"/>
      <c r="AC151" s="189" t="n"/>
      <c r="AD151" s="189" t="n"/>
      <c r="AE151" s="189" t="n"/>
      <c r="AF151" s="189" t="n"/>
      <c r="AG151" s="189" t="n"/>
      <c r="AH151" s="189" t="n"/>
      <c r="AI151" s="51" t="inlineStr">
        <is>
          <t>U8Y</t>
        </is>
      </c>
    </row>
    <row r="152">
      <c r="B152" s="189" t="n"/>
      <c r="C152" s="189" t="n"/>
      <c r="D152" s="189" t="n"/>
      <c r="E152" s="189" t="n"/>
      <c r="F152" s="189" t="n"/>
      <c r="G152" s="189" t="n"/>
      <c r="H152" s="189" t="n"/>
      <c r="I152" s="189" t="n"/>
      <c r="J152" s="189" t="n"/>
      <c r="K152" s="189" t="n"/>
      <c r="L152" s="189" t="n"/>
      <c r="M152" s="189" t="n"/>
      <c r="N152" s="189" t="n"/>
      <c r="O152" s="189" t="n"/>
      <c r="P152" s="189" t="n"/>
      <c r="Q152" s="189" t="n"/>
      <c r="R152" s="189" t="n"/>
      <c r="S152" s="189" t="n"/>
      <c r="T152" s="189" t="n"/>
      <c r="U152" s="189" t="n"/>
      <c r="V152" s="189" t="n"/>
      <c r="W152" s="189" t="n"/>
      <c r="X152" s="189" t="n"/>
      <c r="Y152" s="189" t="n"/>
      <c r="Z152" s="189" t="n"/>
      <c r="AA152" s="189" t="n"/>
      <c r="AB152" s="189" t="n"/>
      <c r="AC152" s="189" t="n"/>
      <c r="AD152" s="189" t="n"/>
      <c r="AE152" s="189" t="n"/>
      <c r="AF152" s="189" t="n"/>
      <c r="AG152" s="189" t="n"/>
      <c r="AH152" s="189" t="n"/>
      <c r="AI152" s="51" t="inlineStr">
        <is>
          <t>U8θ</t>
        </is>
      </c>
    </row>
    <row r="153">
      <c r="B153" s="189" t="n"/>
      <c r="C153" s="189" t="n"/>
      <c r="D153" s="189" t="n"/>
      <c r="E153" s="189" t="n"/>
      <c r="F153" s="189" t="n"/>
      <c r="G153" s="189" t="n"/>
      <c r="H153" s="189" t="n"/>
      <c r="I153" s="189" t="n"/>
      <c r="J153" s="189" t="n"/>
      <c r="K153" s="189" t="n"/>
      <c r="L153" s="189" t="n"/>
      <c r="M153" s="189" t="n"/>
      <c r="N153" s="189" t="n"/>
      <c r="O153" s="189" t="n"/>
      <c r="P153" s="189" t="n"/>
      <c r="Q153" s="189" t="n"/>
      <c r="R153" s="189" t="n"/>
      <c r="S153" s="189" t="n"/>
      <c r="T153" s="189" t="n"/>
      <c r="U153" s="189" t="n"/>
      <c r="V153" s="189" t="n"/>
      <c r="W153" s="189" t="n"/>
      <c r="X153" s="189" t="n"/>
      <c r="Y153" s="189" t="n"/>
      <c r="Z153" s="189" t="n"/>
      <c r="AA153" s="189" t="n"/>
      <c r="AB153" s="189" t="n"/>
      <c r="AC153" s="189" t="n"/>
      <c r="AD153" s="189" t="n"/>
      <c r="AE153" s="189" t="n"/>
      <c r="AF153" s="189" t="n"/>
      <c r="AG153" s="189" t="n"/>
      <c r="AH153" s="189" t="n"/>
      <c r="AI153" s="51" t="inlineStr">
        <is>
          <t>U9X</t>
        </is>
      </c>
    </row>
    <row r="154">
      <c r="B154" s="189" t="n"/>
      <c r="C154" s="189" t="n"/>
      <c r="D154" s="189" t="n"/>
      <c r="E154" s="189" t="n"/>
      <c r="F154" s="189" t="n"/>
      <c r="G154" s="189" t="n"/>
      <c r="H154" s="189" t="n"/>
      <c r="I154" s="189" t="n"/>
      <c r="J154" s="189" t="n"/>
      <c r="K154" s="189" t="n"/>
      <c r="L154" s="189" t="n"/>
      <c r="M154" s="189" t="n"/>
      <c r="N154" s="189" t="n"/>
      <c r="O154" s="189" t="n"/>
      <c r="P154" s="189" t="n"/>
      <c r="Q154" s="189" t="n"/>
      <c r="R154" s="189" t="n"/>
      <c r="S154" s="189" t="n"/>
      <c r="T154" s="189" t="n"/>
      <c r="U154" s="189" t="n"/>
      <c r="V154" s="189" t="n"/>
      <c r="W154" s="189" t="n"/>
      <c r="X154" s="189" t="n"/>
      <c r="Y154" s="189" t="n"/>
      <c r="Z154" s="189" t="n"/>
      <c r="AA154" s="189" t="n"/>
      <c r="AB154" s="189" t="n"/>
      <c r="AC154" s="189" t="n"/>
      <c r="AD154" s="189" t="n"/>
      <c r="AE154" s="189" t="n"/>
      <c r="AF154" s="189" t="n"/>
      <c r="AG154" s="189" t="n"/>
      <c r="AH154" s="189" t="n"/>
      <c r="AI154" s="51" t="inlineStr">
        <is>
          <t>U9Y</t>
        </is>
      </c>
    </row>
    <row r="155">
      <c r="B155" s="189" t="n"/>
      <c r="C155" s="189" t="n"/>
      <c r="D155" s="189" t="n"/>
      <c r="E155" s="189" t="n"/>
      <c r="F155" s="189" t="n"/>
      <c r="G155" s="189" t="n"/>
      <c r="H155" s="189" t="n"/>
      <c r="I155" s="189" t="n"/>
      <c r="J155" s="189" t="n"/>
      <c r="K155" s="189" t="n"/>
      <c r="L155" s="189" t="n"/>
      <c r="M155" s="189" t="n"/>
      <c r="N155" s="189" t="n"/>
      <c r="O155" s="189" t="n"/>
      <c r="P155" s="189" t="n"/>
      <c r="Q155" s="189" t="n"/>
      <c r="R155" s="189" t="n"/>
      <c r="S155" s="189" t="n"/>
      <c r="T155" s="189" t="n"/>
      <c r="U155" s="189" t="n"/>
      <c r="V155" s="189" t="n"/>
      <c r="W155" s="189" t="n"/>
      <c r="X155" s="189" t="n"/>
      <c r="Y155" s="189" t="n"/>
      <c r="Z155" s="189" t="n"/>
      <c r="AA155" s="189" t="n"/>
      <c r="AB155" s="189" t="n"/>
      <c r="AC155" s="189" t="n"/>
      <c r="AD155" s="189" t="n"/>
      <c r="AE155" s="189" t="n"/>
      <c r="AF155" s="189" t="n"/>
      <c r="AG155" s="189" t="n"/>
      <c r="AH155" s="189" t="n"/>
      <c r="AI155" s="51" t="inlineStr">
        <is>
          <t>U9θ</t>
        </is>
      </c>
    </row>
    <row r="156">
      <c r="B156" s="189" t="n"/>
      <c r="C156" s="189" t="n"/>
      <c r="D156" s="189" t="n"/>
      <c r="E156" s="189" t="n"/>
      <c r="F156" s="189" t="n"/>
      <c r="G156" s="189" t="n"/>
      <c r="H156" s="189" t="n"/>
      <c r="I156" s="189" t="n"/>
      <c r="J156" s="189" t="n"/>
      <c r="K156" s="189" t="n"/>
      <c r="L156" s="189" t="n"/>
      <c r="M156" s="189" t="n"/>
      <c r="N156" s="189" t="n"/>
      <c r="O156" s="189" t="n"/>
      <c r="P156" s="189" t="n"/>
      <c r="Q156" s="189" t="n"/>
      <c r="R156" s="189" t="n"/>
      <c r="S156" s="189" t="n"/>
      <c r="T156" s="189" t="n"/>
      <c r="U156" s="189" t="n"/>
      <c r="V156" s="189" t="n"/>
      <c r="W156" s="189" t="n"/>
      <c r="X156" s="189" t="n"/>
      <c r="Y156" s="189" t="n"/>
      <c r="Z156" s="189" t="n"/>
      <c r="AA156" s="189" t="n"/>
      <c r="AB156" s="189" t="n"/>
      <c r="AC156" s="189" t="n"/>
      <c r="AD156" s="189" t="n"/>
      <c r="AE156" s="189" t="n"/>
      <c r="AF156" s="189" t="n"/>
      <c r="AG156" s="189" t="n"/>
      <c r="AH156" s="189" t="n"/>
      <c r="AI156" s="51" t="inlineStr">
        <is>
          <t>U10X</t>
        </is>
      </c>
    </row>
    <row r="157">
      <c r="B157" s="189" t="n"/>
      <c r="C157" s="189" t="n"/>
      <c r="D157" s="189" t="n"/>
      <c r="E157" s="189" t="n"/>
      <c r="F157" s="189" t="n"/>
      <c r="G157" s="189" t="n"/>
      <c r="H157" s="189" t="n"/>
      <c r="I157" s="189" t="n"/>
      <c r="J157" s="189" t="n"/>
      <c r="K157" s="189" t="n"/>
      <c r="L157" s="189" t="n"/>
      <c r="M157" s="189" t="n"/>
      <c r="N157" s="189" t="n"/>
      <c r="O157" s="189" t="n"/>
      <c r="P157" s="189" t="n"/>
      <c r="Q157" s="189" t="n"/>
      <c r="R157" s="189" t="n"/>
      <c r="S157" s="189" t="n"/>
      <c r="T157" s="189" t="n"/>
      <c r="U157" s="189" t="n"/>
      <c r="V157" s="189" t="n"/>
      <c r="W157" s="189" t="n"/>
      <c r="X157" s="189" t="n"/>
      <c r="Y157" s="189" t="n"/>
      <c r="Z157" s="189" t="n"/>
      <c r="AA157" s="189" t="n"/>
      <c r="AB157" s="189" t="n"/>
      <c r="AC157" s="189" t="n"/>
      <c r="AD157" s="189" t="n"/>
      <c r="AE157" s="189" t="n"/>
      <c r="AF157" s="189" t="n"/>
      <c r="AG157" s="189" t="n"/>
      <c r="AH157" s="189" t="n"/>
      <c r="AI157" s="51" t="inlineStr">
        <is>
          <t>U10Y</t>
        </is>
      </c>
    </row>
    <row r="158">
      <c r="B158" s="189" t="n"/>
      <c r="C158" s="189" t="n"/>
      <c r="D158" s="189" t="n"/>
      <c r="E158" s="189" t="n"/>
      <c r="F158" s="189" t="n"/>
      <c r="G158" s="189" t="n"/>
      <c r="H158" s="189" t="n"/>
      <c r="I158" s="189" t="n"/>
      <c r="J158" s="189" t="n"/>
      <c r="K158" s="189" t="n"/>
      <c r="L158" s="189" t="n"/>
      <c r="M158" s="189" t="n"/>
      <c r="N158" s="189" t="n"/>
      <c r="O158" s="189" t="n"/>
      <c r="P158" s="189" t="n"/>
      <c r="Q158" s="189" t="n"/>
      <c r="R158" s="189" t="n"/>
      <c r="S158" s="189" t="n"/>
      <c r="T158" s="189" t="n"/>
      <c r="U158" s="189" t="n"/>
      <c r="V158" s="189" t="n"/>
      <c r="W158" s="189" t="n"/>
      <c r="X158" s="189" t="n"/>
      <c r="Y158" s="189" t="n"/>
      <c r="Z158" s="189" t="n"/>
      <c r="AA158" s="189" t="n"/>
      <c r="AB158" s="189" t="n"/>
      <c r="AC158" s="189" t="n"/>
      <c r="AD158" s="189" t="n"/>
      <c r="AE158" s="189" t="n"/>
      <c r="AF158" s="189" t="n"/>
      <c r="AG158" s="189" t="n"/>
      <c r="AH158" s="189" t="n"/>
      <c r="AI158" s="51" t="inlineStr">
        <is>
          <t>U10θ</t>
        </is>
      </c>
    </row>
    <row r="159">
      <c r="B159" s="189" t="n"/>
      <c r="C159" s="189" t="n"/>
      <c r="D159" s="189" t="n"/>
      <c r="E159" s="189" t="n"/>
      <c r="F159" s="189" t="n"/>
      <c r="G159" s="189" t="n"/>
      <c r="H159" s="189" t="n"/>
      <c r="I159" s="189" t="n"/>
      <c r="J159" s="189" t="n"/>
      <c r="K159" s="189" t="n"/>
      <c r="L159" s="189" t="n"/>
      <c r="M159" s="189" t="n"/>
      <c r="N159" s="189" t="n"/>
      <c r="O159" s="189" t="n"/>
      <c r="P159" s="189" t="n"/>
      <c r="Q159" s="189" t="n"/>
      <c r="R159" s="189" t="n"/>
      <c r="S159" s="189" t="n"/>
      <c r="T159" s="189" t="n"/>
      <c r="U159" s="189" t="n"/>
      <c r="V159" s="189" t="n"/>
      <c r="W159" s="189" t="n"/>
      <c r="X159" s="189" t="n"/>
      <c r="Y159" s="189" t="n"/>
      <c r="Z159" s="189" t="n"/>
      <c r="AA159" s="189" t="n"/>
      <c r="AB159" s="189" t="n"/>
      <c r="AC159" s="189" t="n"/>
      <c r="AD159" s="189" t="n"/>
      <c r="AE159" s="189" t="n"/>
      <c r="AF159" s="189" t="n"/>
      <c r="AG159" s="189" t="n"/>
      <c r="AH159" s="189" t="n"/>
      <c r="AI159" s="51" t="inlineStr">
        <is>
          <t>U11X</t>
        </is>
      </c>
    </row>
    <row r="160">
      <c r="B160" s="189" t="n"/>
      <c r="C160" s="189" t="n"/>
      <c r="D160" s="189" t="n"/>
      <c r="E160" s="189" t="n"/>
      <c r="F160" s="189" t="n"/>
      <c r="G160" s="189" t="n"/>
      <c r="H160" s="189" t="n"/>
      <c r="I160" s="189" t="n"/>
      <c r="J160" s="189" t="n"/>
      <c r="K160" s="189" t="n"/>
      <c r="L160" s="189" t="n"/>
      <c r="M160" s="189" t="n"/>
      <c r="N160" s="189" t="n"/>
      <c r="O160" s="189" t="n"/>
      <c r="P160" s="189" t="n"/>
      <c r="Q160" s="189" t="n"/>
      <c r="R160" s="189" t="n"/>
      <c r="S160" s="189" t="n"/>
      <c r="T160" s="189" t="n"/>
      <c r="U160" s="189" t="n"/>
      <c r="V160" s="189" t="n"/>
      <c r="W160" s="189" t="n"/>
      <c r="X160" s="189" t="n"/>
      <c r="Y160" s="189" t="n"/>
      <c r="Z160" s="189" t="n"/>
      <c r="AA160" s="189" t="n"/>
      <c r="AB160" s="189" t="n"/>
      <c r="AC160" s="189" t="n"/>
      <c r="AD160" s="189" t="n"/>
      <c r="AE160" s="189" t="n"/>
      <c r="AF160" s="189" t="n"/>
      <c r="AG160" s="189" t="n"/>
      <c r="AH160" s="189" t="n"/>
      <c r="AI160" s="51" t="inlineStr">
        <is>
          <t>U11Y</t>
        </is>
      </c>
    </row>
    <row r="161">
      <c r="B161" s="189" t="n"/>
      <c r="C161" s="189" t="n"/>
      <c r="D161" s="189" t="n"/>
      <c r="E161" s="189" t="n"/>
      <c r="F161" s="189" t="n"/>
      <c r="G161" s="189" t="n"/>
      <c r="H161" s="189" t="n"/>
      <c r="I161" s="189" t="n"/>
      <c r="J161" s="189" t="n"/>
      <c r="K161" s="189" t="n"/>
      <c r="L161" s="189" t="n"/>
      <c r="M161" s="189" t="n"/>
      <c r="N161" s="189" t="n"/>
      <c r="O161" s="189" t="n"/>
      <c r="P161" s="189" t="n"/>
      <c r="Q161" s="189" t="n"/>
      <c r="R161" s="189" t="n"/>
      <c r="S161" s="189" t="n"/>
      <c r="T161" s="189" t="n"/>
      <c r="U161" s="189" t="n"/>
      <c r="V161" s="189" t="n"/>
      <c r="W161" s="189" t="n"/>
      <c r="X161" s="189" t="n"/>
      <c r="Y161" s="189" t="n"/>
      <c r="Z161" s="189" t="n"/>
      <c r="AA161" s="189" t="n"/>
      <c r="AB161" s="189" t="n"/>
      <c r="AC161" s="189" t="n"/>
      <c r="AD161" s="189" t="n"/>
      <c r="AE161" s="189" t="n"/>
      <c r="AF161" s="189" t="n"/>
      <c r="AG161" s="189" t="n"/>
      <c r="AH161" s="189" t="n"/>
      <c r="AI161" s="51" t="inlineStr">
        <is>
          <t>U11θ</t>
        </is>
      </c>
    </row>
    <row r="163">
      <c r="B163" s="51">
        <f>IF(C25="","", CONCATENATE("U",C25,C$21))</f>
        <v/>
      </c>
      <c r="C163" s="51">
        <f>IF(D25="","", CONCATENATE("U",D25,D$21))</f>
        <v/>
      </c>
      <c r="D163" s="51">
        <f>IF(E25="","", CONCATENATE("U",E25,E$21))</f>
        <v/>
      </c>
      <c r="E163" s="51">
        <f>IF(F25="","", CONCATENATE("U",F25,F$21))</f>
        <v/>
      </c>
      <c r="F163" s="51">
        <f>IF(G25="","", CONCATENATE("U",G25,G$21))</f>
        <v/>
      </c>
      <c r="G163" s="51">
        <f>IF(H25="","", CONCATENATE("U",H25,H$21))</f>
        <v/>
      </c>
    </row>
    <row r="164">
      <c r="B164" s="8">
        <f>IF(I12="", 0, O12*J12*J12+P12*K12*K12)</f>
        <v/>
      </c>
      <c r="C164" s="189">
        <f>IF(I12="", 0, (O12-P12)*(J12*K12))</f>
        <v/>
      </c>
      <c r="D164" s="189">
        <f>IF(I12="", 0, -Q12*K12)</f>
        <v/>
      </c>
      <c r="E164" s="189">
        <f>-B164</f>
        <v/>
      </c>
      <c r="F164" s="189">
        <f>-C164</f>
        <v/>
      </c>
      <c r="G164" s="189">
        <f>D164</f>
        <v/>
      </c>
      <c r="H164" s="51">
        <f>B163</f>
        <v/>
      </c>
    </row>
    <row r="165">
      <c r="B165" s="189">
        <f>C164</f>
        <v/>
      </c>
      <c r="C165" s="8">
        <f>IF(I12="", 0, O12*K12*K12+P12*J12*J12)</f>
        <v/>
      </c>
      <c r="D165" s="189">
        <f>IF(I12="", 0, Q12*J12)</f>
        <v/>
      </c>
      <c r="E165" s="189">
        <f>-B165</f>
        <v/>
      </c>
      <c r="F165" s="189">
        <f>-C165</f>
        <v/>
      </c>
      <c r="G165" s="189">
        <f>D165</f>
        <v/>
      </c>
      <c r="H165" s="51">
        <f>C163</f>
        <v/>
      </c>
    </row>
    <row r="166">
      <c r="A166" s="118" t="inlineStr">
        <is>
          <t>K4 =</t>
        </is>
      </c>
      <c r="B166" s="189">
        <f>D164</f>
        <v/>
      </c>
      <c r="C166" s="189">
        <f>D165</f>
        <v/>
      </c>
      <c r="D166" s="8">
        <f>IF(I12="", 0, R12)</f>
        <v/>
      </c>
      <c r="E166" s="189">
        <f>-B166</f>
        <v/>
      </c>
      <c r="F166" s="189">
        <f>-C166</f>
        <v/>
      </c>
      <c r="G166" s="189">
        <f>IF(I12="", 0, S12)</f>
        <v/>
      </c>
      <c r="H166" s="51">
        <f>D163</f>
        <v/>
      </c>
    </row>
    <row r="167">
      <c r="B167" s="189">
        <f>E164</f>
        <v/>
      </c>
      <c r="C167" s="189">
        <f>E165</f>
        <v/>
      </c>
      <c r="D167" s="189">
        <f>E166</f>
        <v/>
      </c>
      <c r="E167" s="8">
        <f>B164</f>
        <v/>
      </c>
      <c r="F167" s="189">
        <f>C164</f>
        <v/>
      </c>
      <c r="G167" s="189">
        <f>-D164</f>
        <v/>
      </c>
      <c r="H167" s="51">
        <f>E163</f>
        <v/>
      </c>
    </row>
    <row r="168">
      <c r="B168" s="189">
        <f>F164</f>
        <v/>
      </c>
      <c r="C168" s="189">
        <f>F165</f>
        <v/>
      </c>
      <c r="D168" s="189">
        <f>F166</f>
        <v/>
      </c>
      <c r="E168" s="189">
        <f>F167</f>
        <v/>
      </c>
      <c r="F168" s="8">
        <f>C165</f>
        <v/>
      </c>
      <c r="G168" s="189">
        <f>-D165</f>
        <v/>
      </c>
      <c r="H168" s="51">
        <f>F163</f>
        <v/>
      </c>
    </row>
    <row r="169">
      <c r="B169" s="189">
        <f>G164</f>
        <v/>
      </c>
      <c r="C169" s="189">
        <f>G165</f>
        <v/>
      </c>
      <c r="D169" s="189">
        <f>G166</f>
        <v/>
      </c>
      <c r="E169" s="189">
        <f>G167</f>
        <v/>
      </c>
      <c r="F169" s="189">
        <f>G168</f>
        <v/>
      </c>
      <c r="G169" s="8">
        <f>D166</f>
        <v/>
      </c>
      <c r="H169" s="51">
        <f>G163</f>
        <v/>
      </c>
    </row>
    <row r="171">
      <c r="B171" s="51" t="inlineStr">
        <is>
          <t>U1X</t>
        </is>
      </c>
      <c r="C171" s="51" t="inlineStr">
        <is>
          <t>U1Y</t>
        </is>
      </c>
      <c r="D171" s="51" t="inlineStr">
        <is>
          <t>U1θ</t>
        </is>
      </c>
      <c r="E171" s="51" t="inlineStr">
        <is>
          <t>U2X</t>
        </is>
      </c>
      <c r="F171" s="51" t="inlineStr">
        <is>
          <t>U2Y</t>
        </is>
      </c>
      <c r="G171" s="51" t="inlineStr">
        <is>
          <t>U2θ</t>
        </is>
      </c>
      <c r="H171" s="51" t="inlineStr">
        <is>
          <t>U3X</t>
        </is>
      </c>
      <c r="I171" s="51" t="inlineStr">
        <is>
          <t>U3Y</t>
        </is>
      </c>
      <c r="J171" s="51" t="inlineStr">
        <is>
          <t>U3θ</t>
        </is>
      </c>
      <c r="K171" s="51" t="inlineStr">
        <is>
          <t>U4X</t>
        </is>
      </c>
      <c r="L171" s="51" t="inlineStr">
        <is>
          <t>U4Y</t>
        </is>
      </c>
      <c r="M171" s="51" t="inlineStr">
        <is>
          <t>U4θ</t>
        </is>
      </c>
      <c r="N171" s="51" t="inlineStr">
        <is>
          <t>U5X</t>
        </is>
      </c>
      <c r="O171" s="51" t="inlineStr">
        <is>
          <t>U5Y</t>
        </is>
      </c>
      <c r="P171" s="51" t="inlineStr">
        <is>
          <t>U5θ</t>
        </is>
      </c>
      <c r="Q171" s="51" t="inlineStr">
        <is>
          <t>U6X</t>
        </is>
      </c>
      <c r="R171" s="51" t="inlineStr">
        <is>
          <t>U6Y</t>
        </is>
      </c>
      <c r="S171" s="51" t="inlineStr">
        <is>
          <t>U6θ</t>
        </is>
      </c>
      <c r="T171" s="51" t="inlineStr">
        <is>
          <t>U7X</t>
        </is>
      </c>
      <c r="U171" s="51" t="inlineStr">
        <is>
          <t>U7Y</t>
        </is>
      </c>
      <c r="V171" s="51" t="inlineStr">
        <is>
          <t>U7θ</t>
        </is>
      </c>
      <c r="W171" s="51" t="inlineStr">
        <is>
          <t>U8X</t>
        </is>
      </c>
      <c r="X171" s="51" t="inlineStr">
        <is>
          <t>U8Y</t>
        </is>
      </c>
      <c r="Y171" s="51" t="inlineStr">
        <is>
          <t>U8θ</t>
        </is>
      </c>
      <c r="Z171" s="51" t="inlineStr">
        <is>
          <t>U9X</t>
        </is>
      </c>
      <c r="AA171" s="51" t="inlineStr">
        <is>
          <t>U9Y</t>
        </is>
      </c>
      <c r="AB171" s="51" t="inlineStr">
        <is>
          <t>U9θ</t>
        </is>
      </c>
      <c r="AC171" s="51" t="inlineStr">
        <is>
          <t>U10X</t>
        </is>
      </c>
      <c r="AD171" s="51" t="inlineStr">
        <is>
          <t>U10Y</t>
        </is>
      </c>
      <c r="AE171" s="51" t="inlineStr">
        <is>
          <t>U10θ</t>
        </is>
      </c>
      <c r="AF171" s="51" t="inlineStr">
        <is>
          <t>U11X</t>
        </is>
      </c>
      <c r="AG171" s="51" t="inlineStr">
        <is>
          <t>U11Y</t>
        </is>
      </c>
      <c r="AH171" s="51" t="inlineStr">
        <is>
          <t>U11θ</t>
        </is>
      </c>
    </row>
    <row r="172">
      <c r="B172" s="189" t="n"/>
      <c r="C172" s="189" t="n"/>
      <c r="D172" s="189" t="n"/>
      <c r="E172" s="189" t="n"/>
      <c r="F172" s="189" t="n"/>
      <c r="G172" s="189" t="n"/>
      <c r="H172" s="189" t="n"/>
      <c r="I172" s="189" t="n"/>
      <c r="J172" s="189" t="n"/>
      <c r="K172" s="189" t="n"/>
      <c r="L172" s="189" t="n"/>
      <c r="M172" s="189" t="n"/>
      <c r="N172" s="189" t="n"/>
      <c r="O172" s="189" t="n"/>
      <c r="P172" s="189" t="n"/>
      <c r="Q172" s="189" t="n"/>
      <c r="R172" s="189" t="n"/>
      <c r="S172" s="189" t="n"/>
      <c r="T172" s="189" t="n"/>
      <c r="U172" s="189" t="n"/>
      <c r="V172" s="189" t="n"/>
      <c r="W172" s="189" t="n"/>
      <c r="X172" s="189" t="n"/>
      <c r="Y172" s="189" t="n"/>
      <c r="Z172" s="189" t="n"/>
      <c r="AA172" s="189" t="n"/>
      <c r="AB172" s="189" t="n"/>
      <c r="AC172" s="189" t="n"/>
      <c r="AD172" s="189" t="n"/>
      <c r="AE172" s="189" t="n"/>
      <c r="AF172" s="189" t="n"/>
      <c r="AG172" s="189" t="n"/>
      <c r="AH172" s="189" t="n"/>
      <c r="AI172" s="51" t="inlineStr">
        <is>
          <t>U1X</t>
        </is>
      </c>
    </row>
    <row r="173">
      <c r="B173" s="189" t="n"/>
      <c r="C173" s="189" t="n"/>
      <c r="D173" s="189" t="n"/>
      <c r="E173" s="189" t="n"/>
      <c r="F173" s="189" t="n"/>
      <c r="G173" s="189" t="n"/>
      <c r="H173" s="189" t="n"/>
      <c r="I173" s="189" t="n"/>
      <c r="J173" s="189" t="n"/>
      <c r="K173" s="189" t="n"/>
      <c r="L173" s="189" t="n"/>
      <c r="M173" s="189" t="n"/>
      <c r="N173" s="189" t="n"/>
      <c r="O173" s="189" t="n"/>
      <c r="P173" s="189" t="n"/>
      <c r="Q173" s="189" t="n"/>
      <c r="R173" s="189" t="n"/>
      <c r="S173" s="189" t="n"/>
      <c r="T173" s="189" t="n"/>
      <c r="U173" s="189" t="n"/>
      <c r="V173" s="189" t="n"/>
      <c r="W173" s="189" t="n"/>
      <c r="X173" s="189" t="n"/>
      <c r="Y173" s="189" t="n"/>
      <c r="Z173" s="189" t="n"/>
      <c r="AA173" s="189" t="n"/>
      <c r="AB173" s="189" t="n"/>
      <c r="AC173" s="189" t="n"/>
      <c r="AD173" s="189" t="n"/>
      <c r="AE173" s="189" t="n"/>
      <c r="AF173" s="189" t="n"/>
      <c r="AG173" s="189" t="n"/>
      <c r="AH173" s="189" t="n"/>
      <c r="AI173" s="51" t="inlineStr">
        <is>
          <t>U1Y</t>
        </is>
      </c>
    </row>
    <row r="174">
      <c r="B174" s="189" t="n"/>
      <c r="C174" s="189" t="n"/>
      <c r="D174" s="189" t="n"/>
      <c r="E174" s="189" t="n"/>
      <c r="F174" s="189" t="n"/>
      <c r="G174" s="189" t="n"/>
      <c r="H174" s="189" t="n"/>
      <c r="I174" s="189" t="n"/>
      <c r="J174" s="189" t="n"/>
      <c r="K174" s="189" t="n"/>
      <c r="L174" s="189" t="n"/>
      <c r="M174" s="189" t="n"/>
      <c r="N174" s="189" t="n"/>
      <c r="O174" s="189" t="n"/>
      <c r="P174" s="189" t="n"/>
      <c r="Q174" s="189" t="n"/>
      <c r="R174" s="189" t="n"/>
      <c r="S174" s="189" t="n"/>
      <c r="T174" s="189" t="n"/>
      <c r="U174" s="189" t="n"/>
      <c r="V174" s="189" t="n"/>
      <c r="W174" s="189" t="n"/>
      <c r="X174" s="189" t="n"/>
      <c r="Y174" s="189" t="n"/>
      <c r="Z174" s="189" t="n"/>
      <c r="AA174" s="189" t="n"/>
      <c r="AB174" s="189" t="n"/>
      <c r="AC174" s="189" t="n"/>
      <c r="AD174" s="189" t="n"/>
      <c r="AE174" s="189" t="n"/>
      <c r="AF174" s="189" t="n"/>
      <c r="AG174" s="189" t="n"/>
      <c r="AH174" s="189" t="n"/>
      <c r="AI174" s="51" t="inlineStr">
        <is>
          <t>U1θ</t>
        </is>
      </c>
    </row>
    <row r="175">
      <c r="B175" s="189" t="n"/>
      <c r="C175" s="189" t="n"/>
      <c r="D175" s="189" t="n"/>
      <c r="E175" s="189" t="n"/>
      <c r="F175" s="189" t="n"/>
      <c r="G175" s="189" t="n"/>
      <c r="H175" s="189" t="n"/>
      <c r="I175" s="189" t="n"/>
      <c r="J175" s="189" t="n"/>
      <c r="K175" s="189" t="n"/>
      <c r="L175" s="189" t="n"/>
      <c r="M175" s="189" t="n"/>
      <c r="N175" s="189" t="n"/>
      <c r="O175" s="189" t="n"/>
      <c r="P175" s="189" t="n"/>
      <c r="Q175" s="189" t="n"/>
      <c r="R175" s="189" t="n"/>
      <c r="S175" s="189" t="n"/>
      <c r="T175" s="189" t="n"/>
      <c r="U175" s="189" t="n"/>
      <c r="V175" s="189" t="n"/>
      <c r="W175" s="189" t="n"/>
      <c r="X175" s="189" t="n"/>
      <c r="Y175" s="189" t="n"/>
      <c r="Z175" s="189" t="n"/>
      <c r="AA175" s="189" t="n"/>
      <c r="AB175" s="189" t="n"/>
      <c r="AC175" s="189" t="n"/>
      <c r="AD175" s="189" t="n"/>
      <c r="AE175" s="189" t="n"/>
      <c r="AF175" s="189" t="n"/>
      <c r="AG175" s="189" t="n"/>
      <c r="AH175" s="189" t="n"/>
      <c r="AI175" s="51" t="inlineStr">
        <is>
          <t>U2X</t>
        </is>
      </c>
    </row>
    <row r="176">
      <c r="B176" s="189" t="n"/>
      <c r="C176" s="189" t="n"/>
      <c r="D176" s="189" t="n"/>
      <c r="E176" s="189" t="n"/>
      <c r="F176" s="189" t="n"/>
      <c r="G176" s="189" t="n"/>
      <c r="H176" s="189" t="n"/>
      <c r="I176" s="189" t="n"/>
      <c r="J176" s="189" t="n"/>
      <c r="K176" s="189" t="n"/>
      <c r="L176" s="189" t="n"/>
      <c r="M176" s="189" t="n"/>
      <c r="N176" s="189" t="n"/>
      <c r="O176" s="189" t="n"/>
      <c r="P176" s="189" t="n"/>
      <c r="Q176" s="189" t="n"/>
      <c r="R176" s="189" t="n"/>
      <c r="S176" s="189" t="n"/>
      <c r="T176" s="189" t="n"/>
      <c r="U176" s="189" t="n"/>
      <c r="V176" s="189" t="n"/>
      <c r="W176" s="189" t="n"/>
      <c r="X176" s="189" t="n"/>
      <c r="Y176" s="189" t="n"/>
      <c r="Z176" s="189" t="n"/>
      <c r="AA176" s="189" t="n"/>
      <c r="AB176" s="189" t="n"/>
      <c r="AC176" s="189" t="n"/>
      <c r="AD176" s="189" t="n"/>
      <c r="AE176" s="189" t="n"/>
      <c r="AF176" s="189" t="n"/>
      <c r="AG176" s="189" t="n"/>
      <c r="AH176" s="189" t="n"/>
      <c r="AI176" s="51" t="inlineStr">
        <is>
          <t>U2Y</t>
        </is>
      </c>
    </row>
    <row r="177">
      <c r="B177" s="189" t="n"/>
      <c r="C177" s="189" t="n"/>
      <c r="D177" s="189" t="n"/>
      <c r="E177" s="189" t="n"/>
      <c r="F177" s="189" t="n"/>
      <c r="G177" s="189" t="n"/>
      <c r="H177" s="189" t="n"/>
      <c r="I177" s="189" t="n"/>
      <c r="J177" s="189" t="n"/>
      <c r="K177" s="189" t="n"/>
      <c r="L177" s="189" t="n"/>
      <c r="M177" s="189" t="n"/>
      <c r="N177" s="189" t="n"/>
      <c r="O177" s="189" t="n"/>
      <c r="P177" s="189" t="n"/>
      <c r="Q177" s="189" t="n"/>
      <c r="R177" s="189" t="n"/>
      <c r="S177" s="189" t="n"/>
      <c r="T177" s="189" t="n"/>
      <c r="U177" s="189" t="n"/>
      <c r="V177" s="189" t="n"/>
      <c r="W177" s="189" t="n"/>
      <c r="X177" s="189" t="n"/>
      <c r="Y177" s="189" t="n"/>
      <c r="Z177" s="189" t="n"/>
      <c r="AA177" s="189" t="n"/>
      <c r="AB177" s="189" t="n"/>
      <c r="AC177" s="189" t="n"/>
      <c r="AD177" s="189" t="n"/>
      <c r="AE177" s="189" t="n"/>
      <c r="AF177" s="189" t="n"/>
      <c r="AG177" s="189" t="n"/>
      <c r="AH177" s="189" t="n"/>
      <c r="AI177" s="51" t="inlineStr">
        <is>
          <t>U2θ</t>
        </is>
      </c>
    </row>
    <row r="178">
      <c r="B178" s="189" t="n"/>
      <c r="C178" s="189" t="n"/>
      <c r="D178" s="189" t="n"/>
      <c r="E178" s="189" t="n"/>
      <c r="F178" s="189" t="n"/>
      <c r="G178" s="189" t="n"/>
      <c r="H178" s="189" t="n"/>
      <c r="I178" s="189" t="n"/>
      <c r="J178" s="189" t="n"/>
      <c r="K178" s="189" t="n"/>
      <c r="L178" s="189" t="n"/>
      <c r="M178" s="189" t="n"/>
      <c r="N178" s="189" t="n"/>
      <c r="O178" s="189" t="n"/>
      <c r="P178" s="189" t="n"/>
      <c r="Q178" s="189" t="n"/>
      <c r="R178" s="189" t="n"/>
      <c r="S178" s="189" t="n"/>
      <c r="T178" s="189" t="n"/>
      <c r="U178" s="189" t="n"/>
      <c r="V178" s="189" t="n"/>
      <c r="W178" s="189" t="n"/>
      <c r="X178" s="189" t="n"/>
      <c r="Y178" s="189" t="n"/>
      <c r="Z178" s="189" t="n"/>
      <c r="AA178" s="189" t="n"/>
      <c r="AB178" s="189" t="n"/>
      <c r="AC178" s="189" t="n"/>
      <c r="AD178" s="189" t="n"/>
      <c r="AE178" s="189" t="n"/>
      <c r="AF178" s="189" t="n"/>
      <c r="AG178" s="189" t="n"/>
      <c r="AH178" s="189" t="n"/>
      <c r="AI178" s="51" t="inlineStr">
        <is>
          <t>U3X</t>
        </is>
      </c>
    </row>
    <row r="179">
      <c r="B179" s="189" t="n"/>
      <c r="C179" s="189" t="n"/>
      <c r="D179" s="189" t="n"/>
      <c r="E179" s="189" t="n"/>
      <c r="F179" s="189" t="n"/>
      <c r="G179" s="189" t="n"/>
      <c r="H179" s="189" t="n"/>
      <c r="I179" s="189" t="n"/>
      <c r="J179" s="189" t="n"/>
      <c r="K179" s="189" t="n"/>
      <c r="L179" s="189" t="n"/>
      <c r="M179" s="189" t="n"/>
      <c r="N179" s="189" t="n"/>
      <c r="O179" s="189" t="n"/>
      <c r="P179" s="189" t="n"/>
      <c r="Q179" s="189" t="n"/>
      <c r="R179" s="189" t="n"/>
      <c r="S179" s="189" t="n"/>
      <c r="T179" s="189" t="n"/>
      <c r="U179" s="189" t="n"/>
      <c r="V179" s="189" t="n"/>
      <c r="W179" s="189" t="n"/>
      <c r="X179" s="189" t="n"/>
      <c r="Y179" s="189" t="n"/>
      <c r="Z179" s="189" t="n"/>
      <c r="AA179" s="189" t="n"/>
      <c r="AB179" s="189" t="n"/>
      <c r="AC179" s="189" t="n"/>
      <c r="AD179" s="189" t="n"/>
      <c r="AE179" s="189" t="n"/>
      <c r="AF179" s="189" t="n"/>
      <c r="AG179" s="189" t="n"/>
      <c r="AH179" s="189" t="n"/>
      <c r="AI179" s="51" t="inlineStr">
        <is>
          <t>U3Y</t>
        </is>
      </c>
    </row>
    <row r="180">
      <c r="B180" s="189" t="n"/>
      <c r="C180" s="189" t="n"/>
      <c r="D180" s="189" t="n"/>
      <c r="E180" s="189" t="n"/>
      <c r="F180" s="189" t="n"/>
      <c r="G180" s="189" t="n"/>
      <c r="H180" s="189" t="n"/>
      <c r="I180" s="189" t="n"/>
      <c r="J180" s="189" t="n"/>
      <c r="K180" s="189" t="n"/>
      <c r="L180" s="189" t="n"/>
      <c r="M180" s="189" t="n"/>
      <c r="N180" s="189" t="n"/>
      <c r="O180" s="189" t="n"/>
      <c r="P180" s="189" t="n"/>
      <c r="Q180" s="189" t="n"/>
      <c r="R180" s="189" t="n"/>
      <c r="S180" s="189" t="n"/>
      <c r="T180" s="189" t="n"/>
      <c r="U180" s="189" t="n"/>
      <c r="V180" s="189" t="n"/>
      <c r="W180" s="189" t="n"/>
      <c r="X180" s="189" t="n"/>
      <c r="Y180" s="189" t="n"/>
      <c r="Z180" s="189" t="n"/>
      <c r="AA180" s="189" t="n"/>
      <c r="AB180" s="189" t="n"/>
      <c r="AC180" s="189" t="n"/>
      <c r="AD180" s="189" t="n"/>
      <c r="AE180" s="189" t="n"/>
      <c r="AF180" s="189" t="n"/>
      <c r="AG180" s="189" t="n"/>
      <c r="AH180" s="189" t="n"/>
      <c r="AI180" s="51" t="inlineStr">
        <is>
          <t>U3θ</t>
        </is>
      </c>
    </row>
    <row r="181">
      <c r="B181" s="189" t="n"/>
      <c r="C181" s="189" t="n"/>
      <c r="D181" s="189" t="n"/>
      <c r="E181" s="189" t="n"/>
      <c r="F181" s="189" t="n"/>
      <c r="G181" s="189" t="n"/>
      <c r="H181" s="189" t="n"/>
      <c r="I181" s="189" t="n"/>
      <c r="J181" s="189" t="n"/>
      <c r="K181" s="76">
        <f>B164</f>
        <v/>
      </c>
      <c r="L181" s="76">
        <f>C164</f>
        <v/>
      </c>
      <c r="M181" s="76">
        <f>D164</f>
        <v/>
      </c>
      <c r="N181" s="76">
        <f>E164</f>
        <v/>
      </c>
      <c r="O181" s="76">
        <f>F164</f>
        <v/>
      </c>
      <c r="P181" s="76">
        <f>G164</f>
        <v/>
      </c>
      <c r="Q181" s="189" t="n"/>
      <c r="R181" s="189" t="n"/>
      <c r="S181" s="189" t="n"/>
      <c r="T181" s="189" t="n"/>
      <c r="U181" s="189" t="n"/>
      <c r="V181" s="189" t="n"/>
      <c r="W181" s="189" t="n"/>
      <c r="X181" s="189" t="n"/>
      <c r="Y181" s="189" t="n"/>
      <c r="Z181" s="189" t="n"/>
      <c r="AA181" s="189" t="n"/>
      <c r="AB181" s="189" t="n"/>
      <c r="AC181" s="189" t="n"/>
      <c r="AD181" s="189" t="n"/>
      <c r="AE181" s="189" t="n"/>
      <c r="AF181" s="189" t="n"/>
      <c r="AG181" s="189" t="n"/>
      <c r="AH181" s="189" t="n"/>
      <c r="AI181" s="51" t="inlineStr">
        <is>
          <t>U4X</t>
        </is>
      </c>
    </row>
    <row r="182">
      <c r="B182" s="189" t="n"/>
      <c r="C182" s="189" t="n"/>
      <c r="D182" s="189" t="n"/>
      <c r="E182" s="189" t="n"/>
      <c r="F182" s="189" t="n"/>
      <c r="G182" s="189" t="n"/>
      <c r="H182" s="189" t="n"/>
      <c r="I182" s="189" t="n"/>
      <c r="J182" s="189" t="n"/>
      <c r="K182" s="76">
        <f>B165</f>
        <v/>
      </c>
      <c r="L182" s="76">
        <f>C165</f>
        <v/>
      </c>
      <c r="M182" s="76">
        <f>D165</f>
        <v/>
      </c>
      <c r="N182" s="76">
        <f>E165</f>
        <v/>
      </c>
      <c r="O182" s="76">
        <f>F165</f>
        <v/>
      </c>
      <c r="P182" s="76">
        <f>G165</f>
        <v/>
      </c>
      <c r="Q182" s="189" t="n"/>
      <c r="R182" s="189" t="n"/>
      <c r="S182" s="189" t="n"/>
      <c r="T182" s="189" t="n"/>
      <c r="U182" s="189" t="n"/>
      <c r="V182" s="189" t="n"/>
      <c r="W182" s="189" t="n"/>
      <c r="X182" s="189" t="n"/>
      <c r="Y182" s="189" t="n"/>
      <c r="Z182" s="189" t="n"/>
      <c r="AA182" s="189" t="n"/>
      <c r="AB182" s="189" t="n"/>
      <c r="AC182" s="189" t="n"/>
      <c r="AD182" s="189" t="n"/>
      <c r="AE182" s="189" t="n"/>
      <c r="AF182" s="189" t="n"/>
      <c r="AG182" s="189" t="n"/>
      <c r="AH182" s="189" t="n"/>
      <c r="AI182" s="51" t="inlineStr">
        <is>
          <t>U4Y</t>
        </is>
      </c>
    </row>
    <row r="183">
      <c r="B183" s="189" t="n"/>
      <c r="C183" s="189" t="n"/>
      <c r="D183" s="189" t="n"/>
      <c r="E183" s="189" t="n"/>
      <c r="F183" s="189" t="n"/>
      <c r="G183" s="189" t="n"/>
      <c r="H183" s="189" t="n"/>
      <c r="I183" s="189" t="n"/>
      <c r="J183" s="189" t="n"/>
      <c r="K183" s="76">
        <f>B166</f>
        <v/>
      </c>
      <c r="L183" s="76">
        <f>C166</f>
        <v/>
      </c>
      <c r="M183" s="76">
        <f>D166</f>
        <v/>
      </c>
      <c r="N183" s="76">
        <f>E166</f>
        <v/>
      </c>
      <c r="O183" s="76">
        <f>F166</f>
        <v/>
      </c>
      <c r="P183" s="76">
        <f>G166</f>
        <v/>
      </c>
      <c r="Q183" s="189" t="n"/>
      <c r="R183" s="189" t="n"/>
      <c r="S183" s="189" t="n"/>
      <c r="T183" s="189" t="n"/>
      <c r="U183" s="189" t="n"/>
      <c r="V183" s="189" t="n"/>
      <c r="W183" s="189" t="n"/>
      <c r="X183" s="189" t="n"/>
      <c r="Y183" s="189" t="n"/>
      <c r="Z183" s="189" t="n"/>
      <c r="AA183" s="189" t="n"/>
      <c r="AB183" s="189" t="n"/>
      <c r="AC183" s="189" t="n"/>
      <c r="AD183" s="189" t="n"/>
      <c r="AE183" s="189" t="n"/>
      <c r="AF183" s="189" t="n"/>
      <c r="AG183" s="189" t="n"/>
      <c r="AH183" s="189" t="n"/>
      <c r="AI183" s="51" t="inlineStr">
        <is>
          <t>U4θ</t>
        </is>
      </c>
    </row>
    <row r="184">
      <c r="B184" s="189" t="n"/>
      <c r="C184" s="189" t="n"/>
      <c r="D184" s="189" t="n"/>
      <c r="E184" s="189" t="n"/>
      <c r="F184" s="189" t="n"/>
      <c r="G184" s="189" t="n"/>
      <c r="H184" s="189" t="n"/>
      <c r="I184" s="189" t="n"/>
      <c r="J184" s="189" t="n"/>
      <c r="K184" s="76">
        <f>B167</f>
        <v/>
      </c>
      <c r="L184" s="76">
        <f>C167</f>
        <v/>
      </c>
      <c r="M184" s="76">
        <f>D167</f>
        <v/>
      </c>
      <c r="N184" s="76">
        <f>E167</f>
        <v/>
      </c>
      <c r="O184" s="76">
        <f>F167</f>
        <v/>
      </c>
      <c r="P184" s="76">
        <f>G167</f>
        <v/>
      </c>
      <c r="Q184" s="189" t="n"/>
      <c r="R184" s="189" t="n"/>
      <c r="S184" s="189" t="n"/>
      <c r="T184" s="189" t="n"/>
      <c r="U184" s="189" t="n"/>
      <c r="V184" s="189" t="n"/>
      <c r="W184" s="189" t="n"/>
      <c r="X184" s="189" t="n"/>
      <c r="Y184" s="189" t="n"/>
      <c r="Z184" s="189" t="n"/>
      <c r="AA184" s="189" t="n"/>
      <c r="AB184" s="189" t="n"/>
      <c r="AC184" s="189" t="n"/>
      <c r="AD184" s="189" t="n"/>
      <c r="AE184" s="189" t="n"/>
      <c r="AF184" s="189" t="n"/>
      <c r="AG184" s="189" t="n"/>
      <c r="AH184" s="189" t="n"/>
      <c r="AI184" s="51" t="inlineStr">
        <is>
          <t>U5X</t>
        </is>
      </c>
    </row>
    <row r="185">
      <c r="B185" s="189" t="n"/>
      <c r="C185" s="189" t="n"/>
      <c r="D185" s="189" t="n"/>
      <c r="E185" s="189" t="n"/>
      <c r="F185" s="189" t="n"/>
      <c r="G185" s="189" t="n"/>
      <c r="H185" s="189" t="n"/>
      <c r="I185" s="189" t="n"/>
      <c r="J185" s="189" t="n"/>
      <c r="K185" s="76">
        <f>B168</f>
        <v/>
      </c>
      <c r="L185" s="76">
        <f>C168</f>
        <v/>
      </c>
      <c r="M185" s="76">
        <f>D168</f>
        <v/>
      </c>
      <c r="N185" s="76">
        <f>E168</f>
        <v/>
      </c>
      <c r="O185" s="76">
        <f>F168</f>
        <v/>
      </c>
      <c r="P185" s="76">
        <f>G168</f>
        <v/>
      </c>
      <c r="Q185" s="189" t="n"/>
      <c r="R185" s="189" t="n"/>
      <c r="S185" s="189" t="n"/>
      <c r="T185" s="189" t="n"/>
      <c r="U185" s="189" t="n"/>
      <c r="V185" s="189" t="n"/>
      <c r="W185" s="189" t="n"/>
      <c r="X185" s="189" t="n"/>
      <c r="Y185" s="189" t="n"/>
      <c r="Z185" s="189" t="n"/>
      <c r="AA185" s="189" t="n"/>
      <c r="AB185" s="189" t="n"/>
      <c r="AC185" s="189" t="n"/>
      <c r="AD185" s="189" t="n"/>
      <c r="AE185" s="189" t="n"/>
      <c r="AF185" s="189" t="n"/>
      <c r="AG185" s="189" t="n"/>
      <c r="AH185" s="189" t="n"/>
      <c r="AI185" s="51" t="inlineStr">
        <is>
          <t>U5Y</t>
        </is>
      </c>
    </row>
    <row r="186">
      <c r="B186" s="189" t="n"/>
      <c r="C186" s="189" t="n"/>
      <c r="D186" s="189" t="n"/>
      <c r="E186" s="189" t="n"/>
      <c r="F186" s="189" t="n"/>
      <c r="G186" s="189" t="n"/>
      <c r="H186" s="189" t="n"/>
      <c r="I186" s="189" t="n"/>
      <c r="J186" s="189" t="n"/>
      <c r="K186" s="76">
        <f>B169</f>
        <v/>
      </c>
      <c r="L186" s="76">
        <f>C169</f>
        <v/>
      </c>
      <c r="M186" s="76">
        <f>D169</f>
        <v/>
      </c>
      <c r="N186" s="76">
        <f>E169</f>
        <v/>
      </c>
      <c r="O186" s="76">
        <f>F169</f>
        <v/>
      </c>
      <c r="P186" s="76">
        <f>G169</f>
        <v/>
      </c>
      <c r="Q186" s="189" t="n"/>
      <c r="R186" s="189" t="n"/>
      <c r="S186" s="189" t="n"/>
      <c r="T186" s="189" t="n"/>
      <c r="U186" s="189" t="n"/>
      <c r="V186" s="189" t="n"/>
      <c r="W186" s="189" t="n"/>
      <c r="X186" s="189" t="n"/>
      <c r="Y186" s="189" t="n"/>
      <c r="Z186" s="189" t="n"/>
      <c r="AA186" s="189" t="n"/>
      <c r="AB186" s="189" t="n"/>
      <c r="AC186" s="189" t="n"/>
      <c r="AD186" s="189" t="n"/>
      <c r="AE186" s="189" t="n"/>
      <c r="AF186" s="189" t="n"/>
      <c r="AG186" s="189" t="n"/>
      <c r="AH186" s="189" t="n"/>
      <c r="AI186" s="51" t="inlineStr">
        <is>
          <t>U5θ</t>
        </is>
      </c>
    </row>
    <row r="187">
      <c r="A187" s="118" t="inlineStr">
        <is>
          <t>K4 =</t>
        </is>
      </c>
      <c r="B187" s="189" t="n"/>
      <c r="C187" s="189" t="n"/>
      <c r="D187" s="189" t="n"/>
      <c r="E187" s="189" t="n"/>
      <c r="F187" s="189" t="n"/>
      <c r="G187" s="189" t="n"/>
      <c r="H187" s="189" t="n"/>
      <c r="I187" s="189" t="n"/>
      <c r="J187" s="189" t="n"/>
      <c r="K187" s="189" t="n"/>
      <c r="L187" s="189" t="n"/>
      <c r="M187" s="189" t="n"/>
      <c r="N187" s="189" t="n"/>
      <c r="O187" s="189" t="n"/>
      <c r="P187" s="189" t="n"/>
      <c r="Q187" s="189" t="n"/>
      <c r="R187" s="189" t="n"/>
      <c r="S187" s="189" t="n"/>
      <c r="T187" s="189" t="n"/>
      <c r="U187" s="189" t="n"/>
      <c r="V187" s="189" t="n"/>
      <c r="W187" s="189" t="n"/>
      <c r="X187" s="189" t="n"/>
      <c r="Y187" s="189" t="n"/>
      <c r="Z187" s="189" t="n"/>
      <c r="AA187" s="189" t="n"/>
      <c r="AB187" s="189" t="n"/>
      <c r="AC187" s="189" t="n"/>
      <c r="AD187" s="189" t="n"/>
      <c r="AE187" s="189" t="n"/>
      <c r="AF187" s="189" t="n"/>
      <c r="AG187" s="189" t="n"/>
      <c r="AH187" s="189" t="n"/>
      <c r="AI187" s="51" t="inlineStr">
        <is>
          <t>U6X</t>
        </is>
      </c>
    </row>
    <row r="188">
      <c r="B188" s="189" t="n"/>
      <c r="C188" s="189" t="n"/>
      <c r="D188" s="189" t="n"/>
      <c r="E188" s="189" t="n"/>
      <c r="F188" s="189" t="n"/>
      <c r="G188" s="189" t="n"/>
      <c r="H188" s="189" t="n"/>
      <c r="I188" s="189" t="n"/>
      <c r="J188" s="189" t="n"/>
      <c r="K188" s="189" t="n"/>
      <c r="L188" s="189" t="n"/>
      <c r="M188" s="189" t="n"/>
      <c r="N188" s="189" t="n"/>
      <c r="O188" s="189" t="n"/>
      <c r="P188" s="189" t="n"/>
      <c r="Q188" s="189" t="n"/>
      <c r="R188" s="189" t="n"/>
      <c r="S188" s="189" t="n"/>
      <c r="T188" s="189" t="n"/>
      <c r="U188" s="189" t="n"/>
      <c r="V188" s="189" t="n"/>
      <c r="W188" s="189" t="n"/>
      <c r="X188" s="189" t="n"/>
      <c r="Y188" s="189" t="n"/>
      <c r="Z188" s="189" t="n"/>
      <c r="AA188" s="189" t="n"/>
      <c r="AB188" s="189" t="n"/>
      <c r="AC188" s="189" t="n"/>
      <c r="AD188" s="189" t="n"/>
      <c r="AE188" s="189" t="n"/>
      <c r="AF188" s="189" t="n"/>
      <c r="AG188" s="189" t="n"/>
      <c r="AH188" s="189" t="n"/>
      <c r="AI188" s="51" t="inlineStr">
        <is>
          <t>U6Y</t>
        </is>
      </c>
    </row>
    <row r="189">
      <c r="B189" s="189" t="n"/>
      <c r="C189" s="189" t="n"/>
      <c r="D189" s="189" t="n"/>
      <c r="E189" s="189" t="n"/>
      <c r="F189" s="189" t="n"/>
      <c r="G189" s="189" t="n"/>
      <c r="H189" s="189" t="n"/>
      <c r="I189" s="189" t="n"/>
      <c r="J189" s="189" t="n"/>
      <c r="K189" s="189" t="n"/>
      <c r="L189" s="189" t="n"/>
      <c r="M189" s="189" t="n"/>
      <c r="N189" s="189" t="n"/>
      <c r="O189" s="189" t="n"/>
      <c r="P189" s="189" t="n"/>
      <c r="Q189" s="189" t="n"/>
      <c r="R189" s="189" t="n"/>
      <c r="S189" s="189" t="n"/>
      <c r="T189" s="189" t="n"/>
      <c r="U189" s="189" t="n"/>
      <c r="V189" s="189" t="n"/>
      <c r="W189" s="189" t="n"/>
      <c r="X189" s="189" t="n"/>
      <c r="Y189" s="189" t="n"/>
      <c r="Z189" s="189" t="n"/>
      <c r="AA189" s="189" t="n"/>
      <c r="AB189" s="189" t="n"/>
      <c r="AC189" s="189" t="n"/>
      <c r="AD189" s="189" t="n"/>
      <c r="AE189" s="189" t="n"/>
      <c r="AF189" s="189" t="n"/>
      <c r="AG189" s="189" t="n"/>
      <c r="AH189" s="189" t="n"/>
      <c r="AI189" s="51" t="inlineStr">
        <is>
          <t>U6θ</t>
        </is>
      </c>
    </row>
    <row r="190">
      <c r="B190" s="189" t="n"/>
      <c r="C190" s="189" t="n"/>
      <c r="D190" s="189" t="n"/>
      <c r="E190" s="189" t="n"/>
      <c r="F190" s="189" t="n"/>
      <c r="G190" s="189" t="n"/>
      <c r="H190" s="189" t="n"/>
      <c r="I190" s="189" t="n"/>
      <c r="J190" s="189" t="n"/>
      <c r="K190" s="189" t="n"/>
      <c r="L190" s="189" t="n"/>
      <c r="M190" s="189" t="n"/>
      <c r="N190" s="189" t="n"/>
      <c r="O190" s="189" t="n"/>
      <c r="P190" s="189" t="n"/>
      <c r="Q190" s="189" t="n"/>
      <c r="R190" s="189" t="n"/>
      <c r="S190" s="189" t="n"/>
      <c r="T190" s="189" t="n"/>
      <c r="U190" s="189" t="n"/>
      <c r="V190" s="189" t="n"/>
      <c r="W190" s="189" t="n"/>
      <c r="X190" s="189" t="n"/>
      <c r="Y190" s="189" t="n"/>
      <c r="Z190" s="189" t="n"/>
      <c r="AA190" s="189" t="n"/>
      <c r="AB190" s="189" t="n"/>
      <c r="AC190" s="189" t="n"/>
      <c r="AD190" s="189" t="n"/>
      <c r="AE190" s="189" t="n"/>
      <c r="AF190" s="189" t="n"/>
      <c r="AG190" s="189" t="n"/>
      <c r="AH190" s="189" t="n"/>
      <c r="AI190" s="51" t="inlineStr">
        <is>
          <t>U7X</t>
        </is>
      </c>
    </row>
    <row r="191">
      <c r="B191" s="189" t="n"/>
      <c r="C191" s="189" t="n"/>
      <c r="D191" s="189" t="n"/>
      <c r="E191" s="189" t="n"/>
      <c r="F191" s="189" t="n"/>
      <c r="G191" s="189" t="n"/>
      <c r="H191" s="189" t="n"/>
      <c r="I191" s="189" t="n"/>
      <c r="J191" s="189" t="n"/>
      <c r="K191" s="189" t="n"/>
      <c r="L191" s="189" t="n"/>
      <c r="M191" s="189" t="n"/>
      <c r="N191" s="189" t="n"/>
      <c r="O191" s="189" t="n"/>
      <c r="P191" s="189" t="n"/>
      <c r="Q191" s="189" t="n"/>
      <c r="R191" s="189" t="n"/>
      <c r="S191" s="189" t="n"/>
      <c r="T191" s="189" t="n"/>
      <c r="U191" s="189" t="n"/>
      <c r="V191" s="189" t="n"/>
      <c r="W191" s="189" t="n"/>
      <c r="X191" s="189" t="n"/>
      <c r="Y191" s="189" t="n"/>
      <c r="Z191" s="189" t="n"/>
      <c r="AA191" s="189" t="n"/>
      <c r="AB191" s="189" t="n"/>
      <c r="AC191" s="189" t="n"/>
      <c r="AD191" s="189" t="n"/>
      <c r="AE191" s="189" t="n"/>
      <c r="AF191" s="189" t="n"/>
      <c r="AG191" s="189" t="n"/>
      <c r="AH191" s="189" t="n"/>
      <c r="AI191" s="51" t="inlineStr">
        <is>
          <t>U7Y</t>
        </is>
      </c>
    </row>
    <row r="192">
      <c r="B192" s="189" t="n"/>
      <c r="C192" s="189" t="n"/>
      <c r="D192" s="189" t="n"/>
      <c r="E192" s="189" t="n"/>
      <c r="F192" s="189" t="n"/>
      <c r="G192" s="189" t="n"/>
      <c r="H192" s="189" t="n"/>
      <c r="I192" s="189" t="n"/>
      <c r="J192" s="189" t="n"/>
      <c r="K192" s="189" t="n"/>
      <c r="L192" s="189" t="n"/>
      <c r="M192" s="189" t="n"/>
      <c r="N192" s="189" t="n"/>
      <c r="O192" s="189" t="n"/>
      <c r="P192" s="189" t="n"/>
      <c r="Q192" s="189" t="n"/>
      <c r="R192" s="189" t="n"/>
      <c r="S192" s="189" t="n"/>
      <c r="T192" s="189" t="n"/>
      <c r="U192" s="189" t="n"/>
      <c r="V192" s="189" t="n"/>
      <c r="W192" s="189" t="n"/>
      <c r="X192" s="189" t="n"/>
      <c r="Y192" s="189" t="n"/>
      <c r="Z192" s="189" t="n"/>
      <c r="AA192" s="189" t="n"/>
      <c r="AB192" s="189" t="n"/>
      <c r="AC192" s="189" t="n"/>
      <c r="AD192" s="189" t="n"/>
      <c r="AE192" s="189" t="n"/>
      <c r="AF192" s="189" t="n"/>
      <c r="AG192" s="189" t="n"/>
      <c r="AH192" s="189" t="n"/>
      <c r="AI192" s="51" t="inlineStr">
        <is>
          <t>U7θ</t>
        </is>
      </c>
    </row>
    <row r="193">
      <c r="B193" s="189" t="n"/>
      <c r="C193" s="189" t="n"/>
      <c r="D193" s="189" t="n"/>
      <c r="E193" s="189" t="n"/>
      <c r="F193" s="189" t="n"/>
      <c r="G193" s="189" t="n"/>
      <c r="H193" s="189" t="n"/>
      <c r="I193" s="189" t="n"/>
      <c r="J193" s="189" t="n"/>
      <c r="K193" s="189" t="n"/>
      <c r="L193" s="189" t="n"/>
      <c r="M193" s="189" t="n"/>
      <c r="N193" s="189" t="n"/>
      <c r="O193" s="189" t="n"/>
      <c r="P193" s="189" t="n"/>
      <c r="Q193" s="189" t="n"/>
      <c r="R193" s="189" t="n"/>
      <c r="S193" s="189" t="n"/>
      <c r="T193" s="189" t="n"/>
      <c r="U193" s="189" t="n"/>
      <c r="V193" s="189" t="n"/>
      <c r="W193" s="189" t="n"/>
      <c r="X193" s="189" t="n"/>
      <c r="Y193" s="189" t="n"/>
      <c r="Z193" s="189" t="n"/>
      <c r="AA193" s="189" t="n"/>
      <c r="AB193" s="189" t="n"/>
      <c r="AC193" s="189" t="n"/>
      <c r="AD193" s="189" t="n"/>
      <c r="AE193" s="189" t="n"/>
      <c r="AF193" s="189" t="n"/>
      <c r="AG193" s="189" t="n"/>
      <c r="AH193" s="189" t="n"/>
      <c r="AI193" s="51" t="inlineStr">
        <is>
          <t>U8X</t>
        </is>
      </c>
    </row>
    <row r="194">
      <c r="B194" s="189" t="n"/>
      <c r="C194" s="189" t="n"/>
      <c r="D194" s="189" t="n"/>
      <c r="E194" s="189" t="n"/>
      <c r="F194" s="189" t="n"/>
      <c r="G194" s="189" t="n"/>
      <c r="H194" s="189" t="n"/>
      <c r="I194" s="189" t="n"/>
      <c r="J194" s="189" t="n"/>
      <c r="K194" s="189" t="n"/>
      <c r="L194" s="189" t="n"/>
      <c r="M194" s="189" t="n"/>
      <c r="N194" s="189" t="n"/>
      <c r="O194" s="189" t="n"/>
      <c r="P194" s="189" t="n"/>
      <c r="Q194" s="189" t="n"/>
      <c r="R194" s="189" t="n"/>
      <c r="S194" s="189" t="n"/>
      <c r="T194" s="189" t="n"/>
      <c r="U194" s="189" t="n"/>
      <c r="V194" s="189" t="n"/>
      <c r="W194" s="189" t="n"/>
      <c r="X194" s="189" t="n"/>
      <c r="Y194" s="189" t="n"/>
      <c r="Z194" s="189" t="n"/>
      <c r="AA194" s="189" t="n"/>
      <c r="AB194" s="189" t="n"/>
      <c r="AC194" s="189" t="n"/>
      <c r="AD194" s="189" t="n"/>
      <c r="AE194" s="189" t="n"/>
      <c r="AF194" s="189" t="n"/>
      <c r="AG194" s="189" t="n"/>
      <c r="AH194" s="189" t="n"/>
      <c r="AI194" s="51" t="inlineStr">
        <is>
          <t>U8Y</t>
        </is>
      </c>
    </row>
    <row r="195">
      <c r="B195" s="189" t="n"/>
      <c r="C195" s="189" t="n"/>
      <c r="D195" s="189" t="n"/>
      <c r="E195" s="189" t="n"/>
      <c r="F195" s="189" t="n"/>
      <c r="G195" s="189" t="n"/>
      <c r="H195" s="189" t="n"/>
      <c r="I195" s="189" t="n"/>
      <c r="J195" s="189" t="n"/>
      <c r="K195" s="189" t="n"/>
      <c r="L195" s="189" t="n"/>
      <c r="M195" s="189" t="n"/>
      <c r="N195" s="189" t="n"/>
      <c r="O195" s="189" t="n"/>
      <c r="P195" s="189" t="n"/>
      <c r="Q195" s="189" t="n"/>
      <c r="R195" s="189" t="n"/>
      <c r="S195" s="189" t="n"/>
      <c r="T195" s="189" t="n"/>
      <c r="U195" s="189" t="n"/>
      <c r="V195" s="189" t="n"/>
      <c r="W195" s="189" t="n"/>
      <c r="X195" s="189" t="n"/>
      <c r="Y195" s="189" t="n"/>
      <c r="Z195" s="189" t="n"/>
      <c r="AA195" s="189" t="n"/>
      <c r="AB195" s="189" t="n"/>
      <c r="AC195" s="189" t="n"/>
      <c r="AD195" s="189" t="n"/>
      <c r="AE195" s="189" t="n"/>
      <c r="AF195" s="189" t="n"/>
      <c r="AG195" s="189" t="n"/>
      <c r="AH195" s="189" t="n"/>
      <c r="AI195" s="51" t="inlineStr">
        <is>
          <t>U8θ</t>
        </is>
      </c>
    </row>
    <row r="196">
      <c r="B196" s="189" t="n"/>
      <c r="C196" s="189" t="n"/>
      <c r="D196" s="189" t="n"/>
      <c r="E196" s="189" t="n"/>
      <c r="F196" s="189" t="n"/>
      <c r="G196" s="189" t="n"/>
      <c r="H196" s="189" t="n"/>
      <c r="I196" s="189" t="n"/>
      <c r="J196" s="189" t="n"/>
      <c r="K196" s="189" t="n"/>
      <c r="L196" s="189" t="n"/>
      <c r="M196" s="189" t="n"/>
      <c r="N196" s="189" t="n"/>
      <c r="O196" s="189" t="n"/>
      <c r="P196" s="189" t="n"/>
      <c r="Q196" s="189" t="n"/>
      <c r="R196" s="189" t="n"/>
      <c r="S196" s="189" t="n"/>
      <c r="T196" s="189" t="n"/>
      <c r="U196" s="189" t="n"/>
      <c r="V196" s="189" t="n"/>
      <c r="W196" s="189" t="n"/>
      <c r="X196" s="189" t="n"/>
      <c r="Y196" s="189" t="n"/>
      <c r="Z196" s="189" t="n"/>
      <c r="AA196" s="189" t="n"/>
      <c r="AB196" s="189" t="n"/>
      <c r="AC196" s="189" t="n"/>
      <c r="AD196" s="189" t="n"/>
      <c r="AE196" s="189" t="n"/>
      <c r="AF196" s="189" t="n"/>
      <c r="AG196" s="189" t="n"/>
      <c r="AH196" s="189" t="n"/>
      <c r="AI196" s="51" t="inlineStr">
        <is>
          <t>U9X</t>
        </is>
      </c>
    </row>
    <row r="197">
      <c r="B197" s="189" t="n"/>
      <c r="C197" s="189" t="n"/>
      <c r="D197" s="189" t="n"/>
      <c r="E197" s="189" t="n"/>
      <c r="F197" s="189" t="n"/>
      <c r="G197" s="189" t="n"/>
      <c r="H197" s="189" t="n"/>
      <c r="I197" s="189" t="n"/>
      <c r="J197" s="189" t="n"/>
      <c r="K197" s="189" t="n"/>
      <c r="L197" s="189" t="n"/>
      <c r="M197" s="189" t="n"/>
      <c r="N197" s="189" t="n"/>
      <c r="O197" s="189" t="n"/>
      <c r="P197" s="189" t="n"/>
      <c r="Q197" s="189" t="n"/>
      <c r="R197" s="189" t="n"/>
      <c r="S197" s="189" t="n"/>
      <c r="T197" s="189" t="n"/>
      <c r="U197" s="189" t="n"/>
      <c r="V197" s="189" t="n"/>
      <c r="W197" s="189" t="n"/>
      <c r="X197" s="189" t="n"/>
      <c r="Y197" s="189" t="n"/>
      <c r="Z197" s="189" t="n"/>
      <c r="AA197" s="189" t="n"/>
      <c r="AB197" s="189" t="n"/>
      <c r="AC197" s="189" t="n"/>
      <c r="AD197" s="189" t="n"/>
      <c r="AE197" s="189" t="n"/>
      <c r="AF197" s="189" t="n"/>
      <c r="AG197" s="189" t="n"/>
      <c r="AH197" s="189" t="n"/>
      <c r="AI197" s="51" t="inlineStr">
        <is>
          <t>U9Y</t>
        </is>
      </c>
    </row>
    <row r="198">
      <c r="B198" s="189" t="n"/>
      <c r="C198" s="189" t="n"/>
      <c r="D198" s="189" t="n"/>
      <c r="E198" s="189" t="n"/>
      <c r="F198" s="189" t="n"/>
      <c r="G198" s="189" t="n"/>
      <c r="H198" s="189" t="n"/>
      <c r="I198" s="189" t="n"/>
      <c r="J198" s="189" t="n"/>
      <c r="K198" s="189" t="n"/>
      <c r="L198" s="189" t="n"/>
      <c r="M198" s="189" t="n"/>
      <c r="N198" s="189" t="n"/>
      <c r="O198" s="189" t="n"/>
      <c r="P198" s="189" t="n"/>
      <c r="Q198" s="189" t="n"/>
      <c r="R198" s="189" t="n"/>
      <c r="S198" s="189" t="n"/>
      <c r="T198" s="189" t="n"/>
      <c r="U198" s="189" t="n"/>
      <c r="V198" s="189" t="n"/>
      <c r="W198" s="189" t="n"/>
      <c r="X198" s="189" t="n"/>
      <c r="Y198" s="189" t="n"/>
      <c r="Z198" s="189" t="n"/>
      <c r="AA198" s="189" t="n"/>
      <c r="AB198" s="189" t="n"/>
      <c r="AC198" s="189" t="n"/>
      <c r="AD198" s="189" t="n"/>
      <c r="AE198" s="189" t="n"/>
      <c r="AF198" s="189" t="n"/>
      <c r="AG198" s="189" t="n"/>
      <c r="AH198" s="189" t="n"/>
      <c r="AI198" s="51" t="inlineStr">
        <is>
          <t>U9θ</t>
        </is>
      </c>
    </row>
    <row r="199">
      <c r="B199" s="189" t="n"/>
      <c r="C199" s="189" t="n"/>
      <c r="D199" s="189" t="n"/>
      <c r="E199" s="189" t="n"/>
      <c r="F199" s="189" t="n"/>
      <c r="G199" s="189" t="n"/>
      <c r="H199" s="189" t="n"/>
      <c r="I199" s="189" t="n"/>
      <c r="J199" s="189" t="n"/>
      <c r="K199" s="189" t="n"/>
      <c r="L199" s="189" t="n"/>
      <c r="M199" s="189" t="n"/>
      <c r="N199" s="189" t="n"/>
      <c r="O199" s="189" t="n"/>
      <c r="P199" s="189" t="n"/>
      <c r="Q199" s="189" t="n"/>
      <c r="R199" s="189" t="n"/>
      <c r="S199" s="189" t="n"/>
      <c r="T199" s="189" t="n"/>
      <c r="U199" s="189" t="n"/>
      <c r="V199" s="189" t="n"/>
      <c r="W199" s="189" t="n"/>
      <c r="X199" s="189" t="n"/>
      <c r="Y199" s="189" t="n"/>
      <c r="Z199" s="189" t="n"/>
      <c r="AA199" s="189" t="n"/>
      <c r="AB199" s="189" t="n"/>
      <c r="AC199" s="189" t="n"/>
      <c r="AD199" s="189" t="n"/>
      <c r="AE199" s="189" t="n"/>
      <c r="AF199" s="189" t="n"/>
      <c r="AG199" s="189" t="n"/>
      <c r="AH199" s="189" t="n"/>
      <c r="AI199" s="51" t="inlineStr">
        <is>
          <t>U10X</t>
        </is>
      </c>
    </row>
    <row r="200">
      <c r="B200" s="189" t="n"/>
      <c r="C200" s="189" t="n"/>
      <c r="D200" s="189" t="n"/>
      <c r="E200" s="189" t="n"/>
      <c r="F200" s="189" t="n"/>
      <c r="G200" s="189" t="n"/>
      <c r="H200" s="189" t="n"/>
      <c r="I200" s="189" t="n"/>
      <c r="J200" s="189" t="n"/>
      <c r="K200" s="189" t="n"/>
      <c r="L200" s="189" t="n"/>
      <c r="M200" s="189" t="n"/>
      <c r="N200" s="189" t="n"/>
      <c r="O200" s="189" t="n"/>
      <c r="P200" s="189" t="n"/>
      <c r="Q200" s="189" t="n"/>
      <c r="R200" s="189" t="n"/>
      <c r="S200" s="189" t="n"/>
      <c r="T200" s="189" t="n"/>
      <c r="U200" s="189" t="n"/>
      <c r="V200" s="189" t="n"/>
      <c r="W200" s="189" t="n"/>
      <c r="X200" s="189" t="n"/>
      <c r="Y200" s="189" t="n"/>
      <c r="Z200" s="189" t="n"/>
      <c r="AA200" s="189" t="n"/>
      <c r="AB200" s="189" t="n"/>
      <c r="AC200" s="189" t="n"/>
      <c r="AD200" s="189" t="n"/>
      <c r="AE200" s="189" t="n"/>
      <c r="AF200" s="189" t="n"/>
      <c r="AG200" s="189" t="n"/>
      <c r="AH200" s="189" t="n"/>
      <c r="AI200" s="51" t="inlineStr">
        <is>
          <t>U10Y</t>
        </is>
      </c>
    </row>
    <row r="201">
      <c r="B201" s="189" t="n"/>
      <c r="C201" s="189" t="n"/>
      <c r="D201" s="189" t="n"/>
      <c r="E201" s="189" t="n"/>
      <c r="F201" s="189" t="n"/>
      <c r="G201" s="189" t="n"/>
      <c r="H201" s="189" t="n"/>
      <c r="I201" s="189" t="n"/>
      <c r="J201" s="189" t="n"/>
      <c r="K201" s="189" t="n"/>
      <c r="L201" s="189" t="n"/>
      <c r="M201" s="189" t="n"/>
      <c r="N201" s="189" t="n"/>
      <c r="O201" s="189" t="n"/>
      <c r="P201" s="189" t="n"/>
      <c r="Q201" s="189" t="n"/>
      <c r="R201" s="189" t="n"/>
      <c r="S201" s="189" t="n"/>
      <c r="T201" s="189" t="n"/>
      <c r="U201" s="189" t="n"/>
      <c r="V201" s="189" t="n"/>
      <c r="W201" s="189" t="n"/>
      <c r="X201" s="189" t="n"/>
      <c r="Y201" s="189" t="n"/>
      <c r="Z201" s="189" t="n"/>
      <c r="AA201" s="189" t="n"/>
      <c r="AB201" s="189" t="n"/>
      <c r="AC201" s="189" t="n"/>
      <c r="AD201" s="189" t="n"/>
      <c r="AE201" s="189" t="n"/>
      <c r="AF201" s="189" t="n"/>
      <c r="AG201" s="189" t="n"/>
      <c r="AH201" s="189" t="n"/>
      <c r="AI201" s="51" t="inlineStr">
        <is>
          <t>U10θ</t>
        </is>
      </c>
    </row>
    <row r="202">
      <c r="B202" s="189" t="n"/>
      <c r="C202" s="189" t="n"/>
      <c r="D202" s="189" t="n"/>
      <c r="E202" s="189" t="n"/>
      <c r="F202" s="189" t="n"/>
      <c r="G202" s="189" t="n"/>
      <c r="H202" s="189" t="n"/>
      <c r="I202" s="189" t="n"/>
      <c r="J202" s="189" t="n"/>
      <c r="K202" s="189" t="n"/>
      <c r="L202" s="189" t="n"/>
      <c r="M202" s="189" t="n"/>
      <c r="N202" s="189" t="n"/>
      <c r="O202" s="189" t="n"/>
      <c r="P202" s="189" t="n"/>
      <c r="Q202" s="189" t="n"/>
      <c r="R202" s="189" t="n"/>
      <c r="S202" s="189" t="n"/>
      <c r="T202" s="189" t="n"/>
      <c r="U202" s="189" t="n"/>
      <c r="V202" s="189" t="n"/>
      <c r="W202" s="189" t="n"/>
      <c r="X202" s="189" t="n"/>
      <c r="Y202" s="189" t="n"/>
      <c r="Z202" s="189" t="n"/>
      <c r="AA202" s="189" t="n"/>
      <c r="AB202" s="189" t="n"/>
      <c r="AC202" s="189" t="n"/>
      <c r="AD202" s="189" t="n"/>
      <c r="AE202" s="189" t="n"/>
      <c r="AF202" s="189" t="n"/>
      <c r="AG202" s="189" t="n"/>
      <c r="AH202" s="189" t="n"/>
      <c r="AI202" s="51" t="inlineStr">
        <is>
          <t>U11X</t>
        </is>
      </c>
    </row>
    <row r="203">
      <c r="B203" s="189" t="n"/>
      <c r="C203" s="189" t="n"/>
      <c r="D203" s="189" t="n"/>
      <c r="E203" s="189" t="n"/>
      <c r="F203" s="189" t="n"/>
      <c r="G203" s="189" t="n"/>
      <c r="H203" s="189" t="n"/>
      <c r="I203" s="189" t="n"/>
      <c r="J203" s="189" t="n"/>
      <c r="K203" s="189" t="n"/>
      <c r="L203" s="189" t="n"/>
      <c r="M203" s="189" t="n"/>
      <c r="N203" s="189" t="n"/>
      <c r="O203" s="189" t="n"/>
      <c r="P203" s="189" t="n"/>
      <c r="Q203" s="189" t="n"/>
      <c r="R203" s="189" t="n"/>
      <c r="S203" s="189" t="n"/>
      <c r="T203" s="189" t="n"/>
      <c r="U203" s="189" t="n"/>
      <c r="V203" s="189" t="n"/>
      <c r="W203" s="189" t="n"/>
      <c r="X203" s="189" t="n"/>
      <c r="Y203" s="189" t="n"/>
      <c r="Z203" s="189" t="n"/>
      <c r="AA203" s="189" t="n"/>
      <c r="AB203" s="189" t="n"/>
      <c r="AC203" s="189" t="n"/>
      <c r="AD203" s="189" t="n"/>
      <c r="AE203" s="189" t="n"/>
      <c r="AF203" s="189" t="n"/>
      <c r="AG203" s="189" t="n"/>
      <c r="AH203" s="189" t="n"/>
      <c r="AI203" s="51" t="inlineStr">
        <is>
          <t>U11Y</t>
        </is>
      </c>
    </row>
    <row r="204">
      <c r="B204" s="189" t="n"/>
      <c r="C204" s="189" t="n"/>
      <c r="D204" s="189" t="n"/>
      <c r="E204" s="189" t="n"/>
      <c r="F204" s="189" t="n"/>
      <c r="G204" s="189" t="n"/>
      <c r="H204" s="189" t="n"/>
      <c r="I204" s="189" t="n"/>
      <c r="J204" s="189" t="n"/>
      <c r="K204" s="189" t="n"/>
      <c r="L204" s="189" t="n"/>
      <c r="M204" s="189" t="n"/>
      <c r="N204" s="189" t="n"/>
      <c r="O204" s="189" t="n"/>
      <c r="P204" s="189" t="n"/>
      <c r="Q204" s="189" t="n"/>
      <c r="R204" s="189" t="n"/>
      <c r="S204" s="189" t="n"/>
      <c r="T204" s="189" t="n"/>
      <c r="U204" s="189" t="n"/>
      <c r="V204" s="189" t="n"/>
      <c r="W204" s="189" t="n"/>
      <c r="X204" s="189" t="n"/>
      <c r="Y204" s="189" t="n"/>
      <c r="Z204" s="189" t="n"/>
      <c r="AA204" s="189" t="n"/>
      <c r="AB204" s="189" t="n"/>
      <c r="AC204" s="189" t="n"/>
      <c r="AD204" s="189" t="n"/>
      <c r="AE204" s="189" t="n"/>
      <c r="AF204" s="189" t="n"/>
      <c r="AG204" s="189" t="n"/>
      <c r="AH204" s="189" t="n"/>
      <c r="AI204" s="51" t="inlineStr">
        <is>
          <t>U11θ</t>
        </is>
      </c>
    </row>
    <row r="206">
      <c r="B206" s="51">
        <f>IF(C26="","", CONCATENATE("U",C26,C$21))</f>
        <v/>
      </c>
      <c r="C206" s="51">
        <f>IF(D26="","", CONCATENATE("U",D26,D$21))</f>
        <v/>
      </c>
      <c r="D206" s="51">
        <f>IF(E26="","", CONCATENATE("U",E26,E$21))</f>
        <v/>
      </c>
      <c r="E206" s="51">
        <f>IF(F26="","", CONCATENATE("U",F26,F$21))</f>
        <v/>
      </c>
      <c r="F206" s="51">
        <f>IF(G26="","", CONCATENATE("U",G26,G$21))</f>
        <v/>
      </c>
      <c r="G206" s="51">
        <f>IF(H26="","", CONCATENATE("U",H26,H$21))</f>
        <v/>
      </c>
    </row>
    <row r="207">
      <c r="B207" s="8">
        <f>IF(I13="", 0, O13*J13*J13+P13*K13*K13)</f>
        <v/>
      </c>
      <c r="C207" s="189">
        <f>IF(I13="", 0, (O13-P13)*(J13*K13))</f>
        <v/>
      </c>
      <c r="D207" s="189">
        <f>IF(I13="", 0, -Q13*K13)</f>
        <v/>
      </c>
      <c r="E207" s="189">
        <f>-B207</f>
        <v/>
      </c>
      <c r="F207" s="189">
        <f>-C207</f>
        <v/>
      </c>
      <c r="G207" s="189">
        <f>D207</f>
        <v/>
      </c>
      <c r="H207" s="51">
        <f>B206</f>
        <v/>
      </c>
    </row>
    <row r="208">
      <c r="B208" s="189">
        <f>C207</f>
        <v/>
      </c>
      <c r="C208" s="8">
        <f>IF(I13="", 0, O13*K13*K13+P13*J13*J13)</f>
        <v/>
      </c>
      <c r="D208" s="189">
        <f>IF(I13="", 0, Q13*J13)</f>
        <v/>
      </c>
      <c r="E208" s="189">
        <f>-B208</f>
        <v/>
      </c>
      <c r="F208" s="189">
        <f>-C208</f>
        <v/>
      </c>
      <c r="G208" s="189">
        <f>D208</f>
        <v/>
      </c>
      <c r="H208" s="51">
        <f>C206</f>
        <v/>
      </c>
    </row>
    <row r="209">
      <c r="A209" s="118" t="inlineStr">
        <is>
          <t>K5 =</t>
        </is>
      </c>
      <c r="B209" s="189">
        <f>D207</f>
        <v/>
      </c>
      <c r="C209" s="189">
        <f>D208</f>
        <v/>
      </c>
      <c r="D209" s="8">
        <f>IF(I13="", 0, R13)</f>
        <v/>
      </c>
      <c r="E209" s="189">
        <f>-B209</f>
        <v/>
      </c>
      <c r="F209" s="189">
        <f>-C209</f>
        <v/>
      </c>
      <c r="G209" s="189">
        <f>IF(I13="", 0, S13)</f>
        <v/>
      </c>
      <c r="H209" s="51">
        <f>D206</f>
        <v/>
      </c>
    </row>
    <row r="210">
      <c r="B210" s="189">
        <f>E207</f>
        <v/>
      </c>
      <c r="C210" s="189">
        <f>E208</f>
        <v/>
      </c>
      <c r="D210" s="189">
        <f>E209</f>
        <v/>
      </c>
      <c r="E210" s="8">
        <f>B207</f>
        <v/>
      </c>
      <c r="F210" s="189">
        <f>C207</f>
        <v/>
      </c>
      <c r="G210" s="189">
        <f>-D207</f>
        <v/>
      </c>
      <c r="H210" s="51">
        <f>E206</f>
        <v/>
      </c>
    </row>
    <row r="211">
      <c r="B211" s="189">
        <f>F207</f>
        <v/>
      </c>
      <c r="C211" s="189">
        <f>F208</f>
        <v/>
      </c>
      <c r="D211" s="189">
        <f>F209</f>
        <v/>
      </c>
      <c r="E211" s="189">
        <f>F210</f>
        <v/>
      </c>
      <c r="F211" s="8">
        <f>C208</f>
        <v/>
      </c>
      <c r="G211" s="189">
        <f>-D208</f>
        <v/>
      </c>
      <c r="H211" s="51">
        <f>F206</f>
        <v/>
      </c>
    </row>
    <row r="212">
      <c r="B212" s="189">
        <f>G207</f>
        <v/>
      </c>
      <c r="C212" s="189">
        <f>G208</f>
        <v/>
      </c>
      <c r="D212" s="189">
        <f>G209</f>
        <v/>
      </c>
      <c r="E212" s="189">
        <f>G210</f>
        <v/>
      </c>
      <c r="F212" s="189">
        <f>G211</f>
        <v/>
      </c>
      <c r="G212" s="8">
        <f>D209</f>
        <v/>
      </c>
      <c r="H212" s="51">
        <f>G206</f>
        <v/>
      </c>
    </row>
    <row r="214">
      <c r="B214" s="51" t="inlineStr">
        <is>
          <t>U1X</t>
        </is>
      </c>
      <c r="C214" s="51" t="inlineStr">
        <is>
          <t>U1Y</t>
        </is>
      </c>
      <c r="D214" s="51" t="inlineStr">
        <is>
          <t>U1θ</t>
        </is>
      </c>
      <c r="E214" s="51" t="inlineStr">
        <is>
          <t>U2X</t>
        </is>
      </c>
      <c r="F214" s="51" t="inlineStr">
        <is>
          <t>U2Y</t>
        </is>
      </c>
      <c r="G214" s="51" t="inlineStr">
        <is>
          <t>U2θ</t>
        </is>
      </c>
      <c r="H214" s="51" t="inlineStr">
        <is>
          <t>U3X</t>
        </is>
      </c>
      <c r="I214" s="51" t="inlineStr">
        <is>
          <t>U3Y</t>
        </is>
      </c>
      <c r="J214" s="51" t="inlineStr">
        <is>
          <t>U3θ</t>
        </is>
      </c>
      <c r="K214" s="51" t="inlineStr">
        <is>
          <t>U4X</t>
        </is>
      </c>
      <c r="L214" s="51" t="inlineStr">
        <is>
          <t>U4Y</t>
        </is>
      </c>
      <c r="M214" s="51" t="inlineStr">
        <is>
          <t>U4θ</t>
        </is>
      </c>
      <c r="N214" s="51" t="inlineStr">
        <is>
          <t>U5X</t>
        </is>
      </c>
      <c r="O214" s="51" t="inlineStr">
        <is>
          <t>U5Y</t>
        </is>
      </c>
      <c r="P214" s="51" t="inlineStr">
        <is>
          <t>U5θ</t>
        </is>
      </c>
      <c r="Q214" s="51" t="inlineStr">
        <is>
          <t>U6X</t>
        </is>
      </c>
      <c r="R214" s="51" t="inlineStr">
        <is>
          <t>U6Y</t>
        </is>
      </c>
      <c r="S214" s="51" t="inlineStr">
        <is>
          <t>U6θ</t>
        </is>
      </c>
      <c r="T214" s="51" t="inlineStr">
        <is>
          <t>U7X</t>
        </is>
      </c>
      <c r="U214" s="51" t="inlineStr">
        <is>
          <t>U7Y</t>
        </is>
      </c>
      <c r="V214" s="51" t="inlineStr">
        <is>
          <t>U7θ</t>
        </is>
      </c>
      <c r="W214" s="51" t="inlineStr">
        <is>
          <t>U8X</t>
        </is>
      </c>
      <c r="X214" s="51" t="inlineStr">
        <is>
          <t>U8Y</t>
        </is>
      </c>
      <c r="Y214" s="51" t="inlineStr">
        <is>
          <t>U8θ</t>
        </is>
      </c>
      <c r="Z214" s="51" t="inlineStr">
        <is>
          <t>U9X</t>
        </is>
      </c>
      <c r="AA214" s="51" t="inlineStr">
        <is>
          <t>U9Y</t>
        </is>
      </c>
      <c r="AB214" s="51" t="inlineStr">
        <is>
          <t>U9θ</t>
        </is>
      </c>
      <c r="AC214" s="51" t="inlineStr">
        <is>
          <t>U10X</t>
        </is>
      </c>
      <c r="AD214" s="51" t="inlineStr">
        <is>
          <t>U10Y</t>
        </is>
      </c>
      <c r="AE214" s="51" t="inlineStr">
        <is>
          <t>U10θ</t>
        </is>
      </c>
      <c r="AF214" s="51" t="inlineStr">
        <is>
          <t>U11X</t>
        </is>
      </c>
      <c r="AG214" s="51" t="inlineStr">
        <is>
          <t>U11Y</t>
        </is>
      </c>
      <c r="AH214" s="51" t="inlineStr">
        <is>
          <t>U11θ</t>
        </is>
      </c>
    </row>
    <row r="215">
      <c r="B215" s="189" t="n"/>
      <c r="C215" s="189" t="n"/>
      <c r="D215" s="189" t="n"/>
      <c r="E215" s="189" t="n"/>
      <c r="F215" s="189" t="n"/>
      <c r="G215" s="189" t="n"/>
      <c r="H215" s="189" t="n"/>
      <c r="I215" s="189" t="n"/>
      <c r="J215" s="189" t="n"/>
      <c r="K215" s="189" t="n"/>
      <c r="L215" s="189" t="n"/>
      <c r="M215" s="189" t="n"/>
      <c r="N215" s="189" t="n"/>
      <c r="O215" s="189" t="n"/>
      <c r="P215" s="189" t="n"/>
      <c r="Q215" s="189" t="n"/>
      <c r="R215" s="189" t="n"/>
      <c r="S215" s="189" t="n"/>
      <c r="T215" s="189" t="n"/>
      <c r="U215" s="189" t="n"/>
      <c r="V215" s="189" t="n"/>
      <c r="W215" s="189" t="n"/>
      <c r="X215" s="189" t="n"/>
      <c r="Y215" s="189" t="n"/>
      <c r="Z215" s="189" t="n"/>
      <c r="AA215" s="189" t="n"/>
      <c r="AB215" s="189" t="n"/>
      <c r="AC215" s="189" t="n"/>
      <c r="AD215" s="189" t="n"/>
      <c r="AE215" s="189" t="n"/>
      <c r="AF215" s="189" t="n"/>
      <c r="AG215" s="189" t="n"/>
      <c r="AH215" s="189" t="n"/>
      <c r="AI215" s="51" t="inlineStr">
        <is>
          <t>U1X</t>
        </is>
      </c>
    </row>
    <row r="216">
      <c r="B216" s="189" t="n"/>
      <c r="C216" s="189" t="n"/>
      <c r="D216" s="189" t="n"/>
      <c r="E216" s="189" t="n"/>
      <c r="F216" s="189" t="n"/>
      <c r="G216" s="189" t="n"/>
      <c r="H216" s="189" t="n"/>
      <c r="I216" s="189" t="n"/>
      <c r="J216" s="189" t="n"/>
      <c r="K216" s="189" t="n"/>
      <c r="L216" s="189" t="n"/>
      <c r="M216" s="189" t="n"/>
      <c r="N216" s="189" t="n"/>
      <c r="O216" s="189" t="n"/>
      <c r="P216" s="189" t="n"/>
      <c r="Q216" s="189" t="n"/>
      <c r="R216" s="189" t="n"/>
      <c r="S216" s="189" t="n"/>
      <c r="T216" s="189" t="n"/>
      <c r="U216" s="189" t="n"/>
      <c r="V216" s="189" t="n"/>
      <c r="W216" s="189" t="n"/>
      <c r="X216" s="189" t="n"/>
      <c r="Y216" s="189" t="n"/>
      <c r="Z216" s="189" t="n"/>
      <c r="AA216" s="189" t="n"/>
      <c r="AB216" s="189" t="n"/>
      <c r="AC216" s="189" t="n"/>
      <c r="AD216" s="189" t="n"/>
      <c r="AE216" s="189" t="n"/>
      <c r="AF216" s="189" t="n"/>
      <c r="AG216" s="189" t="n"/>
      <c r="AH216" s="189" t="n"/>
      <c r="AI216" s="51" t="inlineStr">
        <is>
          <t>U1Y</t>
        </is>
      </c>
    </row>
    <row r="217">
      <c r="B217" s="189" t="n"/>
      <c r="C217" s="189" t="n"/>
      <c r="D217" s="189" t="n"/>
      <c r="E217" s="189" t="n"/>
      <c r="F217" s="189" t="n"/>
      <c r="G217" s="189" t="n"/>
      <c r="H217" s="189" t="n"/>
      <c r="I217" s="189" t="n"/>
      <c r="J217" s="189" t="n"/>
      <c r="K217" s="189" t="n"/>
      <c r="L217" s="189" t="n"/>
      <c r="M217" s="189" t="n"/>
      <c r="N217" s="189" t="n"/>
      <c r="O217" s="189" t="n"/>
      <c r="P217" s="189" t="n"/>
      <c r="Q217" s="189" t="n"/>
      <c r="R217" s="189" t="n"/>
      <c r="S217" s="189" t="n"/>
      <c r="T217" s="189" t="n"/>
      <c r="U217" s="189" t="n"/>
      <c r="V217" s="189" t="n"/>
      <c r="W217" s="189" t="n"/>
      <c r="X217" s="189" t="n"/>
      <c r="Y217" s="189" t="n"/>
      <c r="Z217" s="189" t="n"/>
      <c r="AA217" s="189" t="n"/>
      <c r="AB217" s="189" t="n"/>
      <c r="AC217" s="189" t="n"/>
      <c r="AD217" s="189" t="n"/>
      <c r="AE217" s="189" t="n"/>
      <c r="AF217" s="189" t="n"/>
      <c r="AG217" s="189" t="n"/>
      <c r="AH217" s="189" t="n"/>
      <c r="AI217" s="51" t="inlineStr">
        <is>
          <t>U1θ</t>
        </is>
      </c>
    </row>
    <row r="218">
      <c r="B218" s="189" t="n"/>
      <c r="C218" s="189" t="n"/>
      <c r="D218" s="189" t="n"/>
      <c r="E218" s="189" t="n"/>
      <c r="F218" s="189" t="n"/>
      <c r="G218" s="189" t="n"/>
      <c r="H218" s="189" t="n"/>
      <c r="I218" s="189" t="n"/>
      <c r="J218" s="189" t="n"/>
      <c r="K218" s="189" t="n"/>
      <c r="L218" s="189" t="n"/>
      <c r="M218" s="189" t="n"/>
      <c r="N218" s="189" t="n"/>
      <c r="O218" s="189" t="n"/>
      <c r="P218" s="189" t="n"/>
      <c r="Q218" s="189" t="n"/>
      <c r="R218" s="189" t="n"/>
      <c r="S218" s="189" t="n"/>
      <c r="T218" s="189" t="n"/>
      <c r="U218" s="189" t="n"/>
      <c r="V218" s="189" t="n"/>
      <c r="W218" s="189" t="n"/>
      <c r="X218" s="189" t="n"/>
      <c r="Y218" s="189" t="n"/>
      <c r="Z218" s="189" t="n"/>
      <c r="AA218" s="189" t="n"/>
      <c r="AB218" s="189" t="n"/>
      <c r="AC218" s="189" t="n"/>
      <c r="AD218" s="189" t="n"/>
      <c r="AE218" s="189" t="n"/>
      <c r="AF218" s="189" t="n"/>
      <c r="AG218" s="189" t="n"/>
      <c r="AH218" s="189" t="n"/>
      <c r="AI218" s="51" t="inlineStr">
        <is>
          <t>U2X</t>
        </is>
      </c>
    </row>
    <row r="219">
      <c r="B219" s="189" t="n"/>
      <c r="C219" s="189" t="n"/>
      <c r="D219" s="189" t="n"/>
      <c r="E219" s="189" t="n"/>
      <c r="F219" s="189" t="n"/>
      <c r="G219" s="189" t="n"/>
      <c r="H219" s="189" t="n"/>
      <c r="I219" s="189" t="n"/>
      <c r="J219" s="189" t="n"/>
      <c r="K219" s="189" t="n"/>
      <c r="L219" s="189" t="n"/>
      <c r="M219" s="189" t="n"/>
      <c r="N219" s="189" t="n"/>
      <c r="O219" s="189" t="n"/>
      <c r="P219" s="189" t="n"/>
      <c r="Q219" s="189" t="n"/>
      <c r="R219" s="189" t="n"/>
      <c r="S219" s="189" t="n"/>
      <c r="T219" s="189" t="n"/>
      <c r="U219" s="189" t="n"/>
      <c r="V219" s="189" t="n"/>
      <c r="W219" s="189" t="n"/>
      <c r="X219" s="189" t="n"/>
      <c r="Y219" s="189" t="n"/>
      <c r="Z219" s="189" t="n"/>
      <c r="AA219" s="189" t="n"/>
      <c r="AB219" s="189" t="n"/>
      <c r="AC219" s="189" t="n"/>
      <c r="AD219" s="189" t="n"/>
      <c r="AE219" s="189" t="n"/>
      <c r="AF219" s="189" t="n"/>
      <c r="AG219" s="189" t="n"/>
      <c r="AH219" s="189" t="n"/>
      <c r="AI219" s="51" t="inlineStr">
        <is>
          <t>U2Y</t>
        </is>
      </c>
    </row>
    <row r="220">
      <c r="B220" s="189" t="n"/>
      <c r="C220" s="189" t="n"/>
      <c r="D220" s="189" t="n"/>
      <c r="E220" s="189" t="n"/>
      <c r="F220" s="189" t="n"/>
      <c r="G220" s="189" t="n"/>
      <c r="H220" s="189" t="n"/>
      <c r="I220" s="189" t="n"/>
      <c r="J220" s="189" t="n"/>
      <c r="K220" s="189" t="n"/>
      <c r="L220" s="189" t="n"/>
      <c r="M220" s="189" t="n"/>
      <c r="N220" s="189" t="n"/>
      <c r="O220" s="189" t="n"/>
      <c r="P220" s="189" t="n"/>
      <c r="Q220" s="189" t="n"/>
      <c r="R220" s="189" t="n"/>
      <c r="S220" s="189" t="n"/>
      <c r="T220" s="189" t="n"/>
      <c r="U220" s="189" t="n"/>
      <c r="V220" s="189" t="n"/>
      <c r="W220" s="189" t="n"/>
      <c r="X220" s="189" t="n"/>
      <c r="Y220" s="189" t="n"/>
      <c r="Z220" s="189" t="n"/>
      <c r="AA220" s="189" t="n"/>
      <c r="AB220" s="189" t="n"/>
      <c r="AC220" s="189" t="n"/>
      <c r="AD220" s="189" t="n"/>
      <c r="AE220" s="189" t="n"/>
      <c r="AF220" s="189" t="n"/>
      <c r="AG220" s="189" t="n"/>
      <c r="AH220" s="189" t="n"/>
      <c r="AI220" s="51" t="inlineStr">
        <is>
          <t>U2θ</t>
        </is>
      </c>
    </row>
    <row r="221">
      <c r="B221" s="189" t="n"/>
      <c r="C221" s="189" t="n"/>
      <c r="D221" s="189" t="n"/>
      <c r="E221" s="189" t="n"/>
      <c r="F221" s="189" t="n"/>
      <c r="G221" s="189" t="n"/>
      <c r="H221" s="189" t="n"/>
      <c r="I221" s="189" t="n"/>
      <c r="J221" s="189" t="n"/>
      <c r="K221" s="189" t="n"/>
      <c r="L221" s="189" t="n"/>
      <c r="M221" s="189" t="n"/>
      <c r="N221" s="189" t="n"/>
      <c r="O221" s="189" t="n"/>
      <c r="P221" s="189" t="n"/>
      <c r="Q221" s="189" t="n"/>
      <c r="R221" s="189" t="n"/>
      <c r="S221" s="189" t="n"/>
      <c r="T221" s="189" t="n"/>
      <c r="U221" s="189" t="n"/>
      <c r="V221" s="189" t="n"/>
      <c r="W221" s="189" t="n"/>
      <c r="X221" s="189" t="n"/>
      <c r="Y221" s="189" t="n"/>
      <c r="Z221" s="189" t="n"/>
      <c r="AA221" s="189" t="n"/>
      <c r="AB221" s="189" t="n"/>
      <c r="AC221" s="189" t="n"/>
      <c r="AD221" s="189" t="n"/>
      <c r="AE221" s="189" t="n"/>
      <c r="AF221" s="189" t="n"/>
      <c r="AG221" s="189" t="n"/>
      <c r="AH221" s="189" t="n"/>
      <c r="AI221" s="51" t="inlineStr">
        <is>
          <t>U3X</t>
        </is>
      </c>
    </row>
    <row r="222">
      <c r="B222" s="189" t="n"/>
      <c r="C222" s="189" t="n"/>
      <c r="D222" s="189" t="n"/>
      <c r="E222" s="189" t="n"/>
      <c r="F222" s="189" t="n"/>
      <c r="G222" s="189" t="n"/>
      <c r="H222" s="189" t="n"/>
      <c r="I222" s="189" t="n"/>
      <c r="J222" s="189" t="n"/>
      <c r="K222" s="189" t="n"/>
      <c r="L222" s="189" t="n"/>
      <c r="M222" s="189" t="n"/>
      <c r="N222" s="189" t="n"/>
      <c r="O222" s="189" t="n"/>
      <c r="P222" s="189" t="n"/>
      <c r="Q222" s="189" t="n"/>
      <c r="R222" s="189" t="n"/>
      <c r="S222" s="189" t="n"/>
      <c r="T222" s="189" t="n"/>
      <c r="U222" s="189" t="n"/>
      <c r="V222" s="189" t="n"/>
      <c r="W222" s="189" t="n"/>
      <c r="X222" s="189" t="n"/>
      <c r="Y222" s="189" t="n"/>
      <c r="Z222" s="189" t="n"/>
      <c r="AA222" s="189" t="n"/>
      <c r="AB222" s="189" t="n"/>
      <c r="AC222" s="189" t="n"/>
      <c r="AD222" s="189" t="n"/>
      <c r="AE222" s="189" t="n"/>
      <c r="AF222" s="189" t="n"/>
      <c r="AG222" s="189" t="n"/>
      <c r="AH222" s="189" t="n"/>
      <c r="AI222" s="51" t="inlineStr">
        <is>
          <t>U3Y</t>
        </is>
      </c>
    </row>
    <row r="223">
      <c r="B223" s="189" t="n"/>
      <c r="C223" s="189" t="n"/>
      <c r="D223" s="189" t="n"/>
      <c r="E223" s="189" t="n"/>
      <c r="F223" s="189" t="n"/>
      <c r="G223" s="189" t="n"/>
      <c r="H223" s="189" t="n"/>
      <c r="I223" s="189" t="n"/>
      <c r="J223" s="189" t="n"/>
      <c r="K223" s="189" t="n"/>
      <c r="L223" s="189" t="n"/>
      <c r="M223" s="189" t="n"/>
      <c r="N223" s="189" t="n"/>
      <c r="O223" s="189" t="n"/>
      <c r="P223" s="189" t="n"/>
      <c r="Q223" s="189" t="n"/>
      <c r="R223" s="189" t="n"/>
      <c r="S223" s="189" t="n"/>
      <c r="T223" s="189" t="n"/>
      <c r="U223" s="189" t="n"/>
      <c r="V223" s="189" t="n"/>
      <c r="W223" s="189" t="n"/>
      <c r="X223" s="189" t="n"/>
      <c r="Y223" s="189" t="n"/>
      <c r="Z223" s="189" t="n"/>
      <c r="AA223" s="189" t="n"/>
      <c r="AB223" s="189" t="n"/>
      <c r="AC223" s="189" t="n"/>
      <c r="AD223" s="189" t="n"/>
      <c r="AE223" s="189" t="n"/>
      <c r="AF223" s="189" t="n"/>
      <c r="AG223" s="189" t="n"/>
      <c r="AH223" s="189" t="n"/>
      <c r="AI223" s="51" t="inlineStr">
        <is>
          <t>U3θ</t>
        </is>
      </c>
    </row>
    <row r="224">
      <c r="B224" s="189" t="n"/>
      <c r="C224" s="189" t="n"/>
      <c r="D224" s="189" t="n"/>
      <c r="E224" s="189" t="n"/>
      <c r="F224" s="189" t="n"/>
      <c r="G224" s="189" t="n"/>
      <c r="H224" s="189" t="n"/>
      <c r="I224" s="189" t="n"/>
      <c r="J224" s="189" t="n"/>
      <c r="K224" s="189" t="n"/>
      <c r="L224" s="189" t="n"/>
      <c r="M224" s="189" t="n"/>
      <c r="N224" s="189" t="n"/>
      <c r="O224" s="189" t="n"/>
      <c r="P224" s="189" t="n"/>
      <c r="Q224" s="189" t="n"/>
      <c r="R224" s="189" t="n"/>
      <c r="S224" s="189" t="n"/>
      <c r="T224" s="189" t="n"/>
      <c r="U224" s="189" t="n"/>
      <c r="V224" s="189" t="n"/>
      <c r="W224" s="189" t="n"/>
      <c r="X224" s="189" t="n"/>
      <c r="Y224" s="189" t="n"/>
      <c r="Z224" s="189" t="n"/>
      <c r="AA224" s="189" t="n"/>
      <c r="AB224" s="189" t="n"/>
      <c r="AC224" s="189" t="n"/>
      <c r="AD224" s="189" t="n"/>
      <c r="AE224" s="189" t="n"/>
      <c r="AF224" s="189" t="n"/>
      <c r="AG224" s="189" t="n"/>
      <c r="AH224" s="189" t="n"/>
      <c r="AI224" s="51" t="inlineStr">
        <is>
          <t>U4X</t>
        </is>
      </c>
    </row>
    <row r="225">
      <c r="B225" s="189" t="n"/>
      <c r="C225" s="189" t="n"/>
      <c r="D225" s="189" t="n"/>
      <c r="E225" s="189" t="n"/>
      <c r="F225" s="189" t="n"/>
      <c r="G225" s="189" t="n"/>
      <c r="H225" s="189" t="n"/>
      <c r="I225" s="189" t="n"/>
      <c r="J225" s="189" t="n"/>
      <c r="K225" s="189" t="n"/>
      <c r="L225" s="189" t="n"/>
      <c r="M225" s="189" t="n"/>
      <c r="N225" s="189" t="n"/>
      <c r="O225" s="189" t="n"/>
      <c r="P225" s="189" t="n"/>
      <c r="Q225" s="189" t="n"/>
      <c r="R225" s="189" t="n"/>
      <c r="S225" s="189" t="n"/>
      <c r="T225" s="189" t="n"/>
      <c r="U225" s="189" t="n"/>
      <c r="V225" s="189" t="n"/>
      <c r="W225" s="189" t="n"/>
      <c r="X225" s="189" t="n"/>
      <c r="Y225" s="189" t="n"/>
      <c r="Z225" s="189" t="n"/>
      <c r="AA225" s="189" t="n"/>
      <c r="AB225" s="189" t="n"/>
      <c r="AC225" s="189" t="n"/>
      <c r="AD225" s="189" t="n"/>
      <c r="AE225" s="189" t="n"/>
      <c r="AF225" s="189" t="n"/>
      <c r="AG225" s="189" t="n"/>
      <c r="AH225" s="189" t="n"/>
      <c r="AI225" s="51" t="inlineStr">
        <is>
          <t>U4Y</t>
        </is>
      </c>
    </row>
    <row r="226">
      <c r="B226" s="189" t="n"/>
      <c r="C226" s="189" t="n"/>
      <c r="D226" s="189" t="n"/>
      <c r="E226" s="189" t="n"/>
      <c r="F226" s="189" t="n"/>
      <c r="G226" s="189" t="n"/>
      <c r="H226" s="189" t="n"/>
      <c r="I226" s="189" t="n"/>
      <c r="J226" s="189" t="n"/>
      <c r="K226" s="189" t="n"/>
      <c r="L226" s="189" t="n"/>
      <c r="M226" s="189" t="n"/>
      <c r="N226" s="189" t="n"/>
      <c r="O226" s="189" t="n"/>
      <c r="P226" s="189" t="n"/>
      <c r="Q226" s="189" t="n"/>
      <c r="R226" s="189" t="n"/>
      <c r="S226" s="189" t="n"/>
      <c r="T226" s="189" t="n"/>
      <c r="U226" s="189" t="n"/>
      <c r="V226" s="189" t="n"/>
      <c r="W226" s="189" t="n"/>
      <c r="X226" s="189" t="n"/>
      <c r="Y226" s="189" t="n"/>
      <c r="Z226" s="189" t="n"/>
      <c r="AA226" s="189" t="n"/>
      <c r="AB226" s="189" t="n"/>
      <c r="AC226" s="189" t="n"/>
      <c r="AD226" s="189" t="n"/>
      <c r="AE226" s="189" t="n"/>
      <c r="AF226" s="189" t="n"/>
      <c r="AG226" s="189" t="n"/>
      <c r="AH226" s="189" t="n"/>
      <c r="AI226" s="51" t="inlineStr">
        <is>
          <t>U4θ</t>
        </is>
      </c>
    </row>
    <row r="227">
      <c r="B227" s="189" t="n"/>
      <c r="C227" s="189" t="n"/>
      <c r="D227" s="189" t="n"/>
      <c r="E227" s="189" t="n"/>
      <c r="F227" s="189" t="n"/>
      <c r="G227" s="189" t="n"/>
      <c r="H227" s="189" t="n"/>
      <c r="I227" s="189" t="n"/>
      <c r="J227" s="189" t="n"/>
      <c r="K227" s="189" t="n"/>
      <c r="L227" s="189" t="n"/>
      <c r="M227" s="189" t="n"/>
      <c r="N227" s="76">
        <f>B207</f>
        <v/>
      </c>
      <c r="O227" s="76">
        <f>C207</f>
        <v/>
      </c>
      <c r="P227" s="76">
        <f>D207</f>
        <v/>
      </c>
      <c r="Q227" s="76">
        <f>E207</f>
        <v/>
      </c>
      <c r="R227" s="76">
        <f>F207</f>
        <v/>
      </c>
      <c r="S227" s="76">
        <f>G207</f>
        <v/>
      </c>
      <c r="T227" s="189" t="n"/>
      <c r="U227" s="189" t="n"/>
      <c r="V227" s="189" t="n"/>
      <c r="W227" s="189" t="n"/>
      <c r="X227" s="189" t="n"/>
      <c r="Y227" s="189" t="n"/>
      <c r="Z227" s="189" t="n"/>
      <c r="AA227" s="189" t="n"/>
      <c r="AB227" s="189" t="n"/>
      <c r="AC227" s="189" t="n"/>
      <c r="AD227" s="189" t="n"/>
      <c r="AE227" s="189" t="n"/>
      <c r="AF227" s="189" t="n"/>
      <c r="AG227" s="189" t="n"/>
      <c r="AH227" s="189" t="n"/>
      <c r="AI227" s="51" t="inlineStr">
        <is>
          <t>U5X</t>
        </is>
      </c>
    </row>
    <row r="228">
      <c r="B228" s="189" t="n"/>
      <c r="C228" s="189" t="n"/>
      <c r="D228" s="189" t="n"/>
      <c r="E228" s="189" t="n"/>
      <c r="F228" s="189" t="n"/>
      <c r="G228" s="189" t="n"/>
      <c r="H228" s="189" t="n"/>
      <c r="I228" s="189" t="n"/>
      <c r="J228" s="189" t="n"/>
      <c r="K228" s="189" t="n"/>
      <c r="L228" s="189" t="n"/>
      <c r="M228" s="189" t="n"/>
      <c r="N228" s="76">
        <f>B208</f>
        <v/>
      </c>
      <c r="O228" s="76">
        <f>C208</f>
        <v/>
      </c>
      <c r="P228" s="76">
        <f>D208</f>
        <v/>
      </c>
      <c r="Q228" s="76">
        <f>E208</f>
        <v/>
      </c>
      <c r="R228" s="76">
        <f>F208</f>
        <v/>
      </c>
      <c r="S228" s="76">
        <f>G208</f>
        <v/>
      </c>
      <c r="T228" s="189" t="n"/>
      <c r="U228" s="189" t="n"/>
      <c r="V228" s="189" t="n"/>
      <c r="W228" s="189" t="n"/>
      <c r="X228" s="189" t="n"/>
      <c r="Y228" s="189" t="n"/>
      <c r="Z228" s="189" t="n"/>
      <c r="AA228" s="189" t="n"/>
      <c r="AB228" s="189" t="n"/>
      <c r="AC228" s="189" t="n"/>
      <c r="AD228" s="189" t="n"/>
      <c r="AE228" s="189" t="n"/>
      <c r="AF228" s="189" t="n"/>
      <c r="AG228" s="189" t="n"/>
      <c r="AH228" s="189" t="n"/>
      <c r="AI228" s="51" t="inlineStr">
        <is>
          <t>U5Y</t>
        </is>
      </c>
    </row>
    <row r="229">
      <c r="B229" s="189" t="n"/>
      <c r="C229" s="189" t="n"/>
      <c r="D229" s="189" t="n"/>
      <c r="E229" s="189" t="n"/>
      <c r="F229" s="189" t="n"/>
      <c r="G229" s="189" t="n"/>
      <c r="H229" s="189" t="n"/>
      <c r="I229" s="189" t="n"/>
      <c r="J229" s="189" t="n"/>
      <c r="K229" s="189" t="n"/>
      <c r="L229" s="189" t="n"/>
      <c r="M229" s="189" t="n"/>
      <c r="N229" s="76">
        <f>B209</f>
        <v/>
      </c>
      <c r="O229" s="76">
        <f>C209</f>
        <v/>
      </c>
      <c r="P229" s="76">
        <f>D209</f>
        <v/>
      </c>
      <c r="Q229" s="76">
        <f>E209</f>
        <v/>
      </c>
      <c r="R229" s="76">
        <f>F209</f>
        <v/>
      </c>
      <c r="S229" s="76">
        <f>G209</f>
        <v/>
      </c>
      <c r="T229" s="189" t="n"/>
      <c r="U229" s="189" t="n"/>
      <c r="V229" s="189" t="n"/>
      <c r="W229" s="189" t="n"/>
      <c r="X229" s="189" t="n"/>
      <c r="Y229" s="189" t="n"/>
      <c r="Z229" s="189" t="n"/>
      <c r="AA229" s="189" t="n"/>
      <c r="AB229" s="189" t="n"/>
      <c r="AC229" s="189" t="n"/>
      <c r="AD229" s="189" t="n"/>
      <c r="AE229" s="189" t="n"/>
      <c r="AF229" s="189" t="n"/>
      <c r="AG229" s="189" t="n"/>
      <c r="AH229" s="189" t="n"/>
      <c r="AI229" s="51" t="inlineStr">
        <is>
          <t>U5θ</t>
        </is>
      </c>
    </row>
    <row r="230">
      <c r="A230" s="118" t="inlineStr">
        <is>
          <t>K5 =</t>
        </is>
      </c>
      <c r="B230" s="189" t="n"/>
      <c r="C230" s="189" t="n"/>
      <c r="D230" s="189" t="n"/>
      <c r="E230" s="189" t="n"/>
      <c r="F230" s="189" t="n"/>
      <c r="G230" s="189" t="n"/>
      <c r="H230" s="189" t="n"/>
      <c r="I230" s="189" t="n"/>
      <c r="J230" s="189" t="n"/>
      <c r="K230" s="189" t="n"/>
      <c r="L230" s="189" t="n"/>
      <c r="M230" s="189" t="n"/>
      <c r="N230" s="76">
        <f>B210</f>
        <v/>
      </c>
      <c r="O230" s="76">
        <f>C210</f>
        <v/>
      </c>
      <c r="P230" s="76">
        <f>D210</f>
        <v/>
      </c>
      <c r="Q230" s="76">
        <f>E210</f>
        <v/>
      </c>
      <c r="R230" s="76">
        <f>F210</f>
        <v/>
      </c>
      <c r="S230" s="76">
        <f>G210</f>
        <v/>
      </c>
      <c r="T230" s="189" t="n"/>
      <c r="U230" s="189" t="n"/>
      <c r="V230" s="189" t="n"/>
      <c r="W230" s="189" t="n"/>
      <c r="X230" s="189" t="n"/>
      <c r="Y230" s="189" t="n"/>
      <c r="Z230" s="189" t="n"/>
      <c r="AA230" s="189" t="n"/>
      <c r="AB230" s="189" t="n"/>
      <c r="AC230" s="189" t="n"/>
      <c r="AD230" s="189" t="n"/>
      <c r="AE230" s="189" t="n"/>
      <c r="AF230" s="189" t="n"/>
      <c r="AG230" s="189" t="n"/>
      <c r="AH230" s="189" t="n"/>
      <c r="AI230" s="51" t="inlineStr">
        <is>
          <t>U6X</t>
        </is>
      </c>
    </row>
    <row r="231">
      <c r="B231" s="189" t="n"/>
      <c r="C231" s="189" t="n"/>
      <c r="D231" s="189" t="n"/>
      <c r="E231" s="189" t="n"/>
      <c r="F231" s="189" t="n"/>
      <c r="G231" s="189" t="n"/>
      <c r="H231" s="189" t="n"/>
      <c r="I231" s="189" t="n"/>
      <c r="J231" s="189" t="n"/>
      <c r="K231" s="189" t="n"/>
      <c r="L231" s="189" t="n"/>
      <c r="M231" s="189" t="n"/>
      <c r="N231" s="76">
        <f>B211</f>
        <v/>
      </c>
      <c r="O231" s="76">
        <f>C211</f>
        <v/>
      </c>
      <c r="P231" s="76">
        <f>D211</f>
        <v/>
      </c>
      <c r="Q231" s="76">
        <f>E211</f>
        <v/>
      </c>
      <c r="R231" s="76">
        <f>F211</f>
        <v/>
      </c>
      <c r="S231" s="76">
        <f>G211</f>
        <v/>
      </c>
      <c r="T231" s="189" t="n"/>
      <c r="U231" s="189" t="n"/>
      <c r="V231" s="189" t="n"/>
      <c r="W231" s="189" t="n"/>
      <c r="X231" s="189" t="n"/>
      <c r="Y231" s="189" t="n"/>
      <c r="Z231" s="189" t="n"/>
      <c r="AA231" s="189" t="n"/>
      <c r="AB231" s="189" t="n"/>
      <c r="AC231" s="189" t="n"/>
      <c r="AD231" s="189" t="n"/>
      <c r="AE231" s="189" t="n"/>
      <c r="AF231" s="189" t="n"/>
      <c r="AG231" s="189" t="n"/>
      <c r="AH231" s="189" t="n"/>
      <c r="AI231" s="51" t="inlineStr">
        <is>
          <t>U6Y</t>
        </is>
      </c>
    </row>
    <row r="232">
      <c r="B232" s="189" t="n"/>
      <c r="C232" s="189" t="n"/>
      <c r="D232" s="189" t="n"/>
      <c r="E232" s="189" t="n"/>
      <c r="F232" s="189" t="n"/>
      <c r="G232" s="189" t="n"/>
      <c r="H232" s="189" t="n"/>
      <c r="I232" s="189" t="n"/>
      <c r="J232" s="189" t="n"/>
      <c r="K232" s="189" t="n"/>
      <c r="L232" s="189" t="n"/>
      <c r="M232" s="189" t="n"/>
      <c r="N232" s="76">
        <f>B212</f>
        <v/>
      </c>
      <c r="O232" s="76">
        <f>C212</f>
        <v/>
      </c>
      <c r="P232" s="76">
        <f>D212</f>
        <v/>
      </c>
      <c r="Q232" s="76">
        <f>E212</f>
        <v/>
      </c>
      <c r="R232" s="76">
        <f>F212</f>
        <v/>
      </c>
      <c r="S232" s="76">
        <f>G212</f>
        <v/>
      </c>
      <c r="T232" s="189" t="n"/>
      <c r="U232" s="189" t="n"/>
      <c r="V232" s="189" t="n"/>
      <c r="W232" s="189" t="n"/>
      <c r="X232" s="189" t="n"/>
      <c r="Y232" s="189" t="n"/>
      <c r="Z232" s="189" t="n"/>
      <c r="AA232" s="189" t="n"/>
      <c r="AB232" s="189" t="n"/>
      <c r="AC232" s="189" t="n"/>
      <c r="AD232" s="189" t="n"/>
      <c r="AE232" s="189" t="n"/>
      <c r="AF232" s="189" t="n"/>
      <c r="AG232" s="189" t="n"/>
      <c r="AH232" s="189" t="n"/>
      <c r="AI232" s="51" t="inlineStr">
        <is>
          <t>U6θ</t>
        </is>
      </c>
    </row>
    <row r="233">
      <c r="B233" s="189" t="n"/>
      <c r="C233" s="189" t="n"/>
      <c r="D233" s="189" t="n"/>
      <c r="E233" s="189" t="n"/>
      <c r="F233" s="189" t="n"/>
      <c r="G233" s="189" t="n"/>
      <c r="H233" s="189" t="n"/>
      <c r="I233" s="189" t="n"/>
      <c r="J233" s="189" t="n"/>
      <c r="K233" s="189" t="n"/>
      <c r="L233" s="189" t="n"/>
      <c r="M233" s="189" t="n"/>
      <c r="N233" s="189" t="n"/>
      <c r="O233" s="189" t="n"/>
      <c r="P233" s="189" t="n"/>
      <c r="Q233" s="189" t="n"/>
      <c r="R233" s="189" t="n"/>
      <c r="S233" s="189" t="n"/>
      <c r="T233" s="189" t="n"/>
      <c r="U233" s="189" t="n"/>
      <c r="V233" s="189" t="n"/>
      <c r="W233" s="189" t="n"/>
      <c r="X233" s="189" t="n"/>
      <c r="Y233" s="189" t="n"/>
      <c r="Z233" s="189" t="n"/>
      <c r="AA233" s="189" t="n"/>
      <c r="AB233" s="189" t="n"/>
      <c r="AC233" s="189" t="n"/>
      <c r="AD233" s="189" t="n"/>
      <c r="AE233" s="189" t="n"/>
      <c r="AF233" s="189" t="n"/>
      <c r="AG233" s="189" t="n"/>
      <c r="AH233" s="189" t="n"/>
      <c r="AI233" s="51" t="inlineStr">
        <is>
          <t>U7X</t>
        </is>
      </c>
    </row>
    <row r="234">
      <c r="B234" s="189" t="n"/>
      <c r="C234" s="189" t="n"/>
      <c r="D234" s="189" t="n"/>
      <c r="E234" s="189" t="n"/>
      <c r="F234" s="189" t="n"/>
      <c r="G234" s="189" t="n"/>
      <c r="H234" s="189" t="n"/>
      <c r="I234" s="189" t="n"/>
      <c r="J234" s="189" t="n"/>
      <c r="K234" s="189" t="n"/>
      <c r="L234" s="189" t="n"/>
      <c r="M234" s="189" t="n"/>
      <c r="N234" s="189" t="n"/>
      <c r="O234" s="189" t="n"/>
      <c r="P234" s="189" t="n"/>
      <c r="Q234" s="189" t="n"/>
      <c r="R234" s="189" t="n"/>
      <c r="S234" s="189" t="n"/>
      <c r="T234" s="189" t="n"/>
      <c r="U234" s="189" t="n"/>
      <c r="V234" s="189" t="n"/>
      <c r="W234" s="189" t="n"/>
      <c r="X234" s="189" t="n"/>
      <c r="Y234" s="189" t="n"/>
      <c r="Z234" s="189" t="n"/>
      <c r="AA234" s="189" t="n"/>
      <c r="AB234" s="189" t="n"/>
      <c r="AC234" s="189" t="n"/>
      <c r="AD234" s="189" t="n"/>
      <c r="AE234" s="189" t="n"/>
      <c r="AF234" s="189" t="n"/>
      <c r="AG234" s="189" t="n"/>
      <c r="AH234" s="189" t="n"/>
      <c r="AI234" s="51" t="inlineStr">
        <is>
          <t>U7Y</t>
        </is>
      </c>
    </row>
    <row r="235">
      <c r="B235" s="189" t="n"/>
      <c r="C235" s="189" t="n"/>
      <c r="D235" s="189" t="n"/>
      <c r="E235" s="189" t="n"/>
      <c r="F235" s="189" t="n"/>
      <c r="G235" s="189" t="n"/>
      <c r="H235" s="189" t="n"/>
      <c r="I235" s="189" t="n"/>
      <c r="J235" s="189" t="n"/>
      <c r="K235" s="189" t="n"/>
      <c r="L235" s="189" t="n"/>
      <c r="M235" s="189" t="n"/>
      <c r="N235" s="189" t="n"/>
      <c r="O235" s="189" t="n"/>
      <c r="P235" s="189" t="n"/>
      <c r="Q235" s="189" t="n"/>
      <c r="R235" s="189" t="n"/>
      <c r="S235" s="189" t="n"/>
      <c r="T235" s="189" t="n"/>
      <c r="U235" s="189" t="n"/>
      <c r="V235" s="189" t="n"/>
      <c r="W235" s="189" t="n"/>
      <c r="X235" s="189" t="n"/>
      <c r="Y235" s="189" t="n"/>
      <c r="Z235" s="189" t="n"/>
      <c r="AA235" s="189" t="n"/>
      <c r="AB235" s="189" t="n"/>
      <c r="AC235" s="189" t="n"/>
      <c r="AD235" s="189" t="n"/>
      <c r="AE235" s="189" t="n"/>
      <c r="AF235" s="189" t="n"/>
      <c r="AG235" s="189" t="n"/>
      <c r="AH235" s="189" t="n"/>
      <c r="AI235" s="51" t="inlineStr">
        <is>
          <t>U7θ</t>
        </is>
      </c>
    </row>
    <row r="236">
      <c r="B236" s="189" t="n"/>
      <c r="C236" s="189" t="n"/>
      <c r="D236" s="189" t="n"/>
      <c r="E236" s="189" t="n"/>
      <c r="F236" s="189" t="n"/>
      <c r="G236" s="189" t="n"/>
      <c r="H236" s="189" t="n"/>
      <c r="I236" s="189" t="n"/>
      <c r="J236" s="189" t="n"/>
      <c r="K236" s="189" t="n"/>
      <c r="L236" s="189" t="n"/>
      <c r="M236" s="189" t="n"/>
      <c r="N236" s="189" t="n"/>
      <c r="O236" s="189" t="n"/>
      <c r="P236" s="189" t="n"/>
      <c r="Q236" s="189" t="n"/>
      <c r="R236" s="189" t="n"/>
      <c r="S236" s="189" t="n"/>
      <c r="T236" s="189" t="n"/>
      <c r="U236" s="189" t="n"/>
      <c r="V236" s="189" t="n"/>
      <c r="W236" s="189" t="n"/>
      <c r="X236" s="189" t="n"/>
      <c r="Y236" s="189" t="n"/>
      <c r="Z236" s="189" t="n"/>
      <c r="AA236" s="189" t="n"/>
      <c r="AB236" s="189" t="n"/>
      <c r="AC236" s="189" t="n"/>
      <c r="AD236" s="189" t="n"/>
      <c r="AE236" s="189" t="n"/>
      <c r="AF236" s="189" t="n"/>
      <c r="AG236" s="189" t="n"/>
      <c r="AH236" s="189" t="n"/>
      <c r="AI236" s="51" t="inlineStr">
        <is>
          <t>U8X</t>
        </is>
      </c>
    </row>
    <row r="237">
      <c r="B237" s="189" t="n"/>
      <c r="C237" s="189" t="n"/>
      <c r="D237" s="189" t="n"/>
      <c r="E237" s="189" t="n"/>
      <c r="F237" s="189" t="n"/>
      <c r="G237" s="189" t="n"/>
      <c r="H237" s="189" t="n"/>
      <c r="I237" s="189" t="n"/>
      <c r="J237" s="189" t="n"/>
      <c r="K237" s="189" t="n"/>
      <c r="L237" s="189" t="n"/>
      <c r="M237" s="189" t="n"/>
      <c r="N237" s="189" t="n"/>
      <c r="O237" s="189" t="n"/>
      <c r="P237" s="189" t="n"/>
      <c r="Q237" s="189" t="n"/>
      <c r="R237" s="189" t="n"/>
      <c r="S237" s="189" t="n"/>
      <c r="T237" s="189" t="n"/>
      <c r="U237" s="189" t="n"/>
      <c r="V237" s="189" t="n"/>
      <c r="W237" s="189" t="n"/>
      <c r="X237" s="189" t="n"/>
      <c r="Y237" s="189" t="n"/>
      <c r="Z237" s="189" t="n"/>
      <c r="AA237" s="189" t="n"/>
      <c r="AB237" s="189" t="n"/>
      <c r="AC237" s="189" t="n"/>
      <c r="AD237" s="189" t="n"/>
      <c r="AE237" s="189" t="n"/>
      <c r="AF237" s="189" t="n"/>
      <c r="AG237" s="189" t="n"/>
      <c r="AH237" s="189" t="n"/>
      <c r="AI237" s="51" t="inlineStr">
        <is>
          <t>U8Y</t>
        </is>
      </c>
    </row>
    <row r="238">
      <c r="B238" s="189" t="n"/>
      <c r="C238" s="189" t="n"/>
      <c r="D238" s="189" t="n"/>
      <c r="E238" s="189" t="n"/>
      <c r="F238" s="189" t="n"/>
      <c r="G238" s="189" t="n"/>
      <c r="H238" s="189" t="n"/>
      <c r="I238" s="189" t="n"/>
      <c r="J238" s="189" t="n"/>
      <c r="K238" s="189" t="n"/>
      <c r="L238" s="189" t="n"/>
      <c r="M238" s="189" t="n"/>
      <c r="N238" s="189" t="n"/>
      <c r="O238" s="189" t="n"/>
      <c r="P238" s="189" t="n"/>
      <c r="Q238" s="189" t="n"/>
      <c r="R238" s="189" t="n"/>
      <c r="S238" s="189" t="n"/>
      <c r="T238" s="189" t="n"/>
      <c r="U238" s="189" t="n"/>
      <c r="V238" s="189" t="n"/>
      <c r="W238" s="189" t="n"/>
      <c r="X238" s="189" t="n"/>
      <c r="Y238" s="189" t="n"/>
      <c r="Z238" s="189" t="n"/>
      <c r="AA238" s="189" t="n"/>
      <c r="AB238" s="189" t="n"/>
      <c r="AC238" s="189" t="n"/>
      <c r="AD238" s="189" t="n"/>
      <c r="AE238" s="189" t="n"/>
      <c r="AF238" s="189" t="n"/>
      <c r="AG238" s="189" t="n"/>
      <c r="AH238" s="189" t="n"/>
      <c r="AI238" s="51" t="inlineStr">
        <is>
          <t>U8θ</t>
        </is>
      </c>
    </row>
    <row r="239">
      <c r="B239" s="189" t="n"/>
      <c r="C239" s="189" t="n"/>
      <c r="D239" s="189" t="n"/>
      <c r="E239" s="189" t="n"/>
      <c r="F239" s="189" t="n"/>
      <c r="G239" s="189" t="n"/>
      <c r="H239" s="189" t="n"/>
      <c r="I239" s="189" t="n"/>
      <c r="J239" s="189" t="n"/>
      <c r="K239" s="189" t="n"/>
      <c r="L239" s="189" t="n"/>
      <c r="M239" s="189" t="n"/>
      <c r="N239" s="189" t="n"/>
      <c r="O239" s="189" t="n"/>
      <c r="P239" s="189" t="n"/>
      <c r="Q239" s="189" t="n"/>
      <c r="R239" s="189" t="n"/>
      <c r="S239" s="189" t="n"/>
      <c r="T239" s="189" t="n"/>
      <c r="U239" s="189" t="n"/>
      <c r="V239" s="189" t="n"/>
      <c r="W239" s="189" t="n"/>
      <c r="X239" s="189" t="n"/>
      <c r="Y239" s="189" t="n"/>
      <c r="Z239" s="189" t="n"/>
      <c r="AA239" s="189" t="n"/>
      <c r="AB239" s="189" t="n"/>
      <c r="AC239" s="189" t="n"/>
      <c r="AD239" s="189" t="n"/>
      <c r="AE239" s="189" t="n"/>
      <c r="AF239" s="189" t="n"/>
      <c r="AG239" s="189" t="n"/>
      <c r="AH239" s="189" t="n"/>
      <c r="AI239" s="51" t="inlineStr">
        <is>
          <t>U9X</t>
        </is>
      </c>
    </row>
    <row r="240">
      <c r="B240" s="189" t="n"/>
      <c r="C240" s="189" t="n"/>
      <c r="D240" s="189" t="n"/>
      <c r="E240" s="189" t="n"/>
      <c r="F240" s="189" t="n"/>
      <c r="G240" s="189" t="n"/>
      <c r="H240" s="189" t="n"/>
      <c r="I240" s="189" t="n"/>
      <c r="J240" s="189" t="n"/>
      <c r="K240" s="189" t="n"/>
      <c r="L240" s="189" t="n"/>
      <c r="M240" s="189" t="n"/>
      <c r="N240" s="189" t="n"/>
      <c r="O240" s="189" t="n"/>
      <c r="P240" s="189" t="n"/>
      <c r="Q240" s="189" t="n"/>
      <c r="R240" s="189" t="n"/>
      <c r="S240" s="189" t="n"/>
      <c r="T240" s="189" t="n"/>
      <c r="U240" s="189" t="n"/>
      <c r="V240" s="189" t="n"/>
      <c r="W240" s="189" t="n"/>
      <c r="X240" s="189" t="n"/>
      <c r="Y240" s="189" t="n"/>
      <c r="Z240" s="189" t="n"/>
      <c r="AA240" s="189" t="n"/>
      <c r="AB240" s="189" t="n"/>
      <c r="AC240" s="189" t="n"/>
      <c r="AD240" s="189" t="n"/>
      <c r="AE240" s="189" t="n"/>
      <c r="AF240" s="189" t="n"/>
      <c r="AG240" s="189" t="n"/>
      <c r="AH240" s="189" t="n"/>
      <c r="AI240" s="51" t="inlineStr">
        <is>
          <t>U9Y</t>
        </is>
      </c>
    </row>
    <row r="241">
      <c r="B241" s="189" t="n"/>
      <c r="C241" s="189" t="n"/>
      <c r="D241" s="189" t="n"/>
      <c r="E241" s="189" t="n"/>
      <c r="F241" s="189" t="n"/>
      <c r="G241" s="189" t="n"/>
      <c r="H241" s="189" t="n"/>
      <c r="I241" s="189" t="n"/>
      <c r="J241" s="189" t="n"/>
      <c r="K241" s="189" t="n"/>
      <c r="L241" s="189" t="n"/>
      <c r="M241" s="189" t="n"/>
      <c r="N241" s="189" t="n"/>
      <c r="O241" s="189" t="n"/>
      <c r="P241" s="189" t="n"/>
      <c r="Q241" s="189" t="n"/>
      <c r="R241" s="189" t="n"/>
      <c r="S241" s="189" t="n"/>
      <c r="T241" s="189" t="n"/>
      <c r="U241" s="189" t="n"/>
      <c r="V241" s="189" t="n"/>
      <c r="W241" s="189" t="n"/>
      <c r="X241" s="189" t="n"/>
      <c r="Y241" s="189" t="n"/>
      <c r="Z241" s="189" t="n"/>
      <c r="AA241" s="189" t="n"/>
      <c r="AB241" s="189" t="n"/>
      <c r="AC241" s="189" t="n"/>
      <c r="AD241" s="189" t="n"/>
      <c r="AE241" s="189" t="n"/>
      <c r="AF241" s="189" t="n"/>
      <c r="AG241" s="189" t="n"/>
      <c r="AH241" s="189" t="n"/>
      <c r="AI241" s="51" t="inlineStr">
        <is>
          <t>U9θ</t>
        </is>
      </c>
    </row>
    <row r="242">
      <c r="B242" s="189" t="n"/>
      <c r="C242" s="189" t="n"/>
      <c r="D242" s="189" t="n"/>
      <c r="E242" s="189" t="n"/>
      <c r="F242" s="189" t="n"/>
      <c r="G242" s="189" t="n"/>
      <c r="H242" s="189" t="n"/>
      <c r="I242" s="189" t="n"/>
      <c r="J242" s="189" t="n"/>
      <c r="K242" s="189" t="n"/>
      <c r="L242" s="189" t="n"/>
      <c r="M242" s="189" t="n"/>
      <c r="N242" s="189" t="n"/>
      <c r="O242" s="189" t="n"/>
      <c r="P242" s="189" t="n"/>
      <c r="Q242" s="189" t="n"/>
      <c r="R242" s="189" t="n"/>
      <c r="S242" s="189" t="n"/>
      <c r="T242" s="189" t="n"/>
      <c r="U242" s="189" t="n"/>
      <c r="V242" s="189" t="n"/>
      <c r="W242" s="189" t="n"/>
      <c r="X242" s="189" t="n"/>
      <c r="Y242" s="189" t="n"/>
      <c r="Z242" s="189" t="n"/>
      <c r="AA242" s="189" t="n"/>
      <c r="AB242" s="189" t="n"/>
      <c r="AC242" s="189" t="n"/>
      <c r="AD242" s="189" t="n"/>
      <c r="AE242" s="189" t="n"/>
      <c r="AF242" s="189" t="n"/>
      <c r="AG242" s="189" t="n"/>
      <c r="AH242" s="189" t="n"/>
      <c r="AI242" s="51" t="inlineStr">
        <is>
          <t>U10X</t>
        </is>
      </c>
    </row>
    <row r="243">
      <c r="B243" s="189" t="n"/>
      <c r="C243" s="189" t="n"/>
      <c r="D243" s="189" t="n"/>
      <c r="E243" s="189" t="n"/>
      <c r="F243" s="189" t="n"/>
      <c r="G243" s="189" t="n"/>
      <c r="H243" s="189" t="n"/>
      <c r="I243" s="189" t="n"/>
      <c r="J243" s="189" t="n"/>
      <c r="K243" s="189" t="n"/>
      <c r="L243" s="189" t="n"/>
      <c r="M243" s="189" t="n"/>
      <c r="N243" s="189" t="n"/>
      <c r="O243" s="189" t="n"/>
      <c r="P243" s="189" t="n"/>
      <c r="Q243" s="189" t="n"/>
      <c r="R243" s="189" t="n"/>
      <c r="S243" s="189" t="n"/>
      <c r="T243" s="189" t="n"/>
      <c r="U243" s="189" t="n"/>
      <c r="V243" s="189" t="n"/>
      <c r="W243" s="189" t="n"/>
      <c r="X243" s="189" t="n"/>
      <c r="Y243" s="189" t="n"/>
      <c r="Z243" s="189" t="n"/>
      <c r="AA243" s="189" t="n"/>
      <c r="AB243" s="189" t="n"/>
      <c r="AC243" s="189" t="n"/>
      <c r="AD243" s="189" t="n"/>
      <c r="AE243" s="189" t="n"/>
      <c r="AF243" s="189" t="n"/>
      <c r="AG243" s="189" t="n"/>
      <c r="AH243" s="189" t="n"/>
      <c r="AI243" s="51" t="inlineStr">
        <is>
          <t>U10Y</t>
        </is>
      </c>
    </row>
    <row r="244">
      <c r="B244" s="189" t="n"/>
      <c r="C244" s="189" t="n"/>
      <c r="D244" s="189" t="n"/>
      <c r="E244" s="189" t="n"/>
      <c r="F244" s="189" t="n"/>
      <c r="G244" s="189" t="n"/>
      <c r="H244" s="189" t="n"/>
      <c r="I244" s="189" t="n"/>
      <c r="J244" s="189" t="n"/>
      <c r="K244" s="189" t="n"/>
      <c r="L244" s="189" t="n"/>
      <c r="M244" s="189" t="n"/>
      <c r="N244" s="189" t="n"/>
      <c r="O244" s="189" t="n"/>
      <c r="P244" s="189" t="n"/>
      <c r="Q244" s="189" t="n"/>
      <c r="R244" s="189" t="n"/>
      <c r="S244" s="189" t="n"/>
      <c r="T244" s="189" t="n"/>
      <c r="U244" s="189" t="n"/>
      <c r="V244" s="189" t="n"/>
      <c r="W244" s="189" t="n"/>
      <c r="X244" s="189" t="n"/>
      <c r="Y244" s="189" t="n"/>
      <c r="Z244" s="189" t="n"/>
      <c r="AA244" s="189" t="n"/>
      <c r="AB244" s="189" t="n"/>
      <c r="AC244" s="189" t="n"/>
      <c r="AD244" s="189" t="n"/>
      <c r="AE244" s="189" t="n"/>
      <c r="AF244" s="189" t="n"/>
      <c r="AG244" s="189" t="n"/>
      <c r="AH244" s="189" t="n"/>
      <c r="AI244" s="51" t="inlineStr">
        <is>
          <t>U10θ</t>
        </is>
      </c>
    </row>
    <row r="245">
      <c r="B245" s="189" t="n"/>
      <c r="C245" s="189" t="n"/>
      <c r="D245" s="189" t="n"/>
      <c r="E245" s="189" t="n"/>
      <c r="F245" s="189" t="n"/>
      <c r="G245" s="189" t="n"/>
      <c r="H245" s="189" t="n"/>
      <c r="I245" s="189" t="n"/>
      <c r="J245" s="189" t="n"/>
      <c r="K245" s="189" t="n"/>
      <c r="L245" s="189" t="n"/>
      <c r="M245" s="189" t="n"/>
      <c r="N245" s="189" t="n"/>
      <c r="O245" s="189" t="n"/>
      <c r="P245" s="189" t="n"/>
      <c r="Q245" s="189" t="n"/>
      <c r="R245" s="189" t="n"/>
      <c r="S245" s="189" t="n"/>
      <c r="T245" s="189" t="n"/>
      <c r="U245" s="189" t="n"/>
      <c r="V245" s="189" t="n"/>
      <c r="W245" s="189" t="n"/>
      <c r="X245" s="189" t="n"/>
      <c r="Y245" s="189" t="n"/>
      <c r="Z245" s="189" t="n"/>
      <c r="AA245" s="189" t="n"/>
      <c r="AB245" s="189" t="n"/>
      <c r="AC245" s="189" t="n"/>
      <c r="AD245" s="189" t="n"/>
      <c r="AE245" s="189" t="n"/>
      <c r="AF245" s="189" t="n"/>
      <c r="AG245" s="189" t="n"/>
      <c r="AH245" s="189" t="n"/>
      <c r="AI245" s="51" t="inlineStr">
        <is>
          <t>U11X</t>
        </is>
      </c>
    </row>
    <row r="246">
      <c r="B246" s="189" t="n"/>
      <c r="C246" s="189" t="n"/>
      <c r="D246" s="189" t="n"/>
      <c r="E246" s="189" t="n"/>
      <c r="F246" s="189" t="n"/>
      <c r="G246" s="189" t="n"/>
      <c r="H246" s="189" t="n"/>
      <c r="I246" s="189" t="n"/>
      <c r="J246" s="189" t="n"/>
      <c r="K246" s="189" t="n"/>
      <c r="L246" s="189" t="n"/>
      <c r="M246" s="189" t="n"/>
      <c r="N246" s="189" t="n"/>
      <c r="O246" s="189" t="n"/>
      <c r="P246" s="189" t="n"/>
      <c r="Q246" s="189" t="n"/>
      <c r="R246" s="189" t="n"/>
      <c r="S246" s="189" t="n"/>
      <c r="T246" s="189" t="n"/>
      <c r="U246" s="189" t="n"/>
      <c r="V246" s="189" t="n"/>
      <c r="W246" s="189" t="n"/>
      <c r="X246" s="189" t="n"/>
      <c r="Y246" s="189" t="n"/>
      <c r="Z246" s="189" t="n"/>
      <c r="AA246" s="189" t="n"/>
      <c r="AB246" s="189" t="n"/>
      <c r="AC246" s="189" t="n"/>
      <c r="AD246" s="189" t="n"/>
      <c r="AE246" s="189" t="n"/>
      <c r="AF246" s="189" t="n"/>
      <c r="AG246" s="189" t="n"/>
      <c r="AH246" s="189" t="n"/>
      <c r="AI246" s="51" t="inlineStr">
        <is>
          <t>U11Y</t>
        </is>
      </c>
    </row>
    <row r="247">
      <c r="B247" s="189" t="n"/>
      <c r="C247" s="189" t="n"/>
      <c r="D247" s="189" t="n"/>
      <c r="E247" s="189" t="n"/>
      <c r="F247" s="189" t="n"/>
      <c r="G247" s="189" t="n"/>
      <c r="H247" s="189" t="n"/>
      <c r="I247" s="189" t="n"/>
      <c r="J247" s="189" t="n"/>
      <c r="K247" s="189" t="n"/>
      <c r="L247" s="189" t="n"/>
      <c r="M247" s="189" t="n"/>
      <c r="N247" s="189" t="n"/>
      <c r="O247" s="189" t="n"/>
      <c r="P247" s="189" t="n"/>
      <c r="Q247" s="189" t="n"/>
      <c r="R247" s="189" t="n"/>
      <c r="S247" s="189" t="n"/>
      <c r="T247" s="189" t="n"/>
      <c r="U247" s="189" t="n"/>
      <c r="V247" s="189" t="n"/>
      <c r="W247" s="189" t="n"/>
      <c r="X247" s="189" t="n"/>
      <c r="Y247" s="189" t="n"/>
      <c r="Z247" s="189" t="n"/>
      <c r="AA247" s="189" t="n"/>
      <c r="AB247" s="189" t="n"/>
      <c r="AC247" s="189" t="n"/>
      <c r="AD247" s="189" t="n"/>
      <c r="AE247" s="189" t="n"/>
      <c r="AF247" s="189" t="n"/>
      <c r="AG247" s="189" t="n"/>
      <c r="AH247" s="189" t="n"/>
      <c r="AI247" s="51" t="inlineStr">
        <is>
          <t>U11θ</t>
        </is>
      </c>
    </row>
    <row r="249">
      <c r="B249" s="51">
        <f>IF(C27="","", CONCATENATE("U",C27,C$21))</f>
        <v/>
      </c>
      <c r="C249" s="51">
        <f>IF(D27="","", CONCATENATE("U",D27,D$21))</f>
        <v/>
      </c>
      <c r="D249" s="51">
        <f>IF(E27="","", CONCATENATE("U",E27,E$21))</f>
        <v/>
      </c>
      <c r="E249" s="51">
        <f>IF(F27="","", CONCATENATE("U",F27,F$21))</f>
        <v/>
      </c>
      <c r="F249" s="51">
        <f>IF(G27="","", CONCATENATE("U",G27,G$21))</f>
        <v/>
      </c>
      <c r="G249" s="51">
        <f>IF(H27="","", CONCATENATE("U",H27,H$21))</f>
        <v/>
      </c>
    </row>
    <row r="250">
      <c r="B250" s="8">
        <f>IF(I14="", 0, O14*J14*J14+P14*K14*K14)</f>
        <v/>
      </c>
      <c r="C250" s="189">
        <f>IF(I14="", 0, (O14-P14)*(J14*K14))</f>
        <v/>
      </c>
      <c r="D250" s="189">
        <f>IF(I14="", 0, -Q14*K14)</f>
        <v/>
      </c>
      <c r="E250" s="189">
        <f>-B250</f>
        <v/>
      </c>
      <c r="F250" s="189">
        <f>-C250</f>
        <v/>
      </c>
      <c r="G250" s="189">
        <f>D250</f>
        <v/>
      </c>
      <c r="H250" s="51">
        <f>B249</f>
        <v/>
      </c>
    </row>
    <row r="251">
      <c r="B251" s="189">
        <f>C250</f>
        <v/>
      </c>
      <c r="C251" s="8">
        <f>IF(I14="", 0, O14*K14*K14+P14*J14*J14)</f>
        <v/>
      </c>
      <c r="D251" s="189">
        <f>IF(I14="", 0, Q14*J14)</f>
        <v/>
      </c>
      <c r="E251" s="189">
        <f>-B251</f>
        <v/>
      </c>
      <c r="F251" s="189">
        <f>-C251</f>
        <v/>
      </c>
      <c r="G251" s="189">
        <f>D251</f>
        <v/>
      </c>
      <c r="H251" s="51">
        <f>C249</f>
        <v/>
      </c>
    </row>
    <row r="252">
      <c r="A252" s="118" t="inlineStr">
        <is>
          <t>K6 =</t>
        </is>
      </c>
      <c r="B252" s="189">
        <f>D250</f>
        <v/>
      </c>
      <c r="C252" s="189">
        <f>D251</f>
        <v/>
      </c>
      <c r="D252" s="8">
        <f>IF(I14="", 0, R14)</f>
        <v/>
      </c>
      <c r="E252" s="189">
        <f>-B252</f>
        <v/>
      </c>
      <c r="F252" s="189">
        <f>-C252</f>
        <v/>
      </c>
      <c r="G252" s="189">
        <f>IF(I14="", 0, S14)</f>
        <v/>
      </c>
      <c r="H252" s="51">
        <f>D249</f>
        <v/>
      </c>
    </row>
    <row r="253">
      <c r="B253" s="189">
        <f>E250</f>
        <v/>
      </c>
      <c r="C253" s="189">
        <f>E251</f>
        <v/>
      </c>
      <c r="D253" s="189">
        <f>E252</f>
        <v/>
      </c>
      <c r="E253" s="8">
        <f>B250</f>
        <v/>
      </c>
      <c r="F253" s="189">
        <f>C250</f>
        <v/>
      </c>
      <c r="G253" s="189">
        <f>-D250</f>
        <v/>
      </c>
      <c r="H253" s="51">
        <f>E249</f>
        <v/>
      </c>
    </row>
    <row r="254">
      <c r="B254" s="189">
        <f>F250</f>
        <v/>
      </c>
      <c r="C254" s="189">
        <f>F251</f>
        <v/>
      </c>
      <c r="D254" s="189">
        <f>F252</f>
        <v/>
      </c>
      <c r="E254" s="189">
        <f>F253</f>
        <v/>
      </c>
      <c r="F254" s="8">
        <f>C251</f>
        <v/>
      </c>
      <c r="G254" s="189">
        <f>-D251</f>
        <v/>
      </c>
      <c r="H254" s="51">
        <f>F249</f>
        <v/>
      </c>
    </row>
    <row r="255">
      <c r="B255" s="189">
        <f>G250</f>
        <v/>
      </c>
      <c r="C255" s="189">
        <f>G251</f>
        <v/>
      </c>
      <c r="D255" s="189">
        <f>G252</f>
        <v/>
      </c>
      <c r="E255" s="189">
        <f>G253</f>
        <v/>
      </c>
      <c r="F255" s="189">
        <f>G254</f>
        <v/>
      </c>
      <c r="G255" s="8">
        <f>D252</f>
        <v/>
      </c>
      <c r="H255" s="51">
        <f>G249</f>
        <v/>
      </c>
    </row>
    <row r="257">
      <c r="B257" s="51" t="inlineStr">
        <is>
          <t>U1X</t>
        </is>
      </c>
      <c r="C257" s="51" t="inlineStr">
        <is>
          <t>U1Y</t>
        </is>
      </c>
      <c r="D257" s="51" t="inlineStr">
        <is>
          <t>U1θ</t>
        </is>
      </c>
      <c r="E257" s="51" t="inlineStr">
        <is>
          <t>U2X</t>
        </is>
      </c>
      <c r="F257" s="51" t="inlineStr">
        <is>
          <t>U2Y</t>
        </is>
      </c>
      <c r="G257" s="51" t="inlineStr">
        <is>
          <t>U2θ</t>
        </is>
      </c>
      <c r="H257" s="51" t="inlineStr">
        <is>
          <t>U3X</t>
        </is>
      </c>
      <c r="I257" s="51" t="inlineStr">
        <is>
          <t>U3Y</t>
        </is>
      </c>
      <c r="J257" s="51" t="inlineStr">
        <is>
          <t>U3θ</t>
        </is>
      </c>
      <c r="K257" s="51" t="inlineStr">
        <is>
          <t>U4X</t>
        </is>
      </c>
      <c r="L257" s="51" t="inlineStr">
        <is>
          <t>U4Y</t>
        </is>
      </c>
      <c r="M257" s="51" t="inlineStr">
        <is>
          <t>U4θ</t>
        </is>
      </c>
      <c r="N257" s="51" t="inlineStr">
        <is>
          <t>U5X</t>
        </is>
      </c>
      <c r="O257" s="51" t="inlineStr">
        <is>
          <t>U5Y</t>
        </is>
      </c>
      <c r="P257" s="51" t="inlineStr">
        <is>
          <t>U5θ</t>
        </is>
      </c>
      <c r="Q257" s="51" t="inlineStr">
        <is>
          <t>U6X</t>
        </is>
      </c>
      <c r="R257" s="51" t="inlineStr">
        <is>
          <t>U6Y</t>
        </is>
      </c>
      <c r="S257" s="51" t="inlineStr">
        <is>
          <t>U6θ</t>
        </is>
      </c>
      <c r="T257" s="51" t="inlineStr">
        <is>
          <t>U7X</t>
        </is>
      </c>
      <c r="U257" s="51" t="inlineStr">
        <is>
          <t>U7Y</t>
        </is>
      </c>
      <c r="V257" s="51" t="inlineStr">
        <is>
          <t>U7θ</t>
        </is>
      </c>
      <c r="W257" s="51" t="inlineStr">
        <is>
          <t>U8X</t>
        </is>
      </c>
      <c r="X257" s="51" t="inlineStr">
        <is>
          <t>U8Y</t>
        </is>
      </c>
      <c r="Y257" s="51" t="inlineStr">
        <is>
          <t>U8θ</t>
        </is>
      </c>
      <c r="Z257" s="51" t="inlineStr">
        <is>
          <t>U9X</t>
        </is>
      </c>
      <c r="AA257" s="51" t="inlineStr">
        <is>
          <t>U9Y</t>
        </is>
      </c>
      <c r="AB257" s="51" t="inlineStr">
        <is>
          <t>U9θ</t>
        </is>
      </c>
      <c r="AC257" s="51" t="inlineStr">
        <is>
          <t>U10X</t>
        </is>
      </c>
      <c r="AD257" s="51" t="inlineStr">
        <is>
          <t>U10Y</t>
        </is>
      </c>
      <c r="AE257" s="51" t="inlineStr">
        <is>
          <t>U10θ</t>
        </is>
      </c>
      <c r="AF257" s="51" t="inlineStr">
        <is>
          <t>U11X</t>
        </is>
      </c>
      <c r="AG257" s="51" t="inlineStr">
        <is>
          <t>U11Y</t>
        </is>
      </c>
      <c r="AH257" s="51" t="inlineStr">
        <is>
          <t>U11θ</t>
        </is>
      </c>
    </row>
    <row r="258">
      <c r="B258" s="189" t="n"/>
      <c r="C258" s="189" t="n"/>
      <c r="D258" s="189" t="n"/>
      <c r="E258" s="189" t="n"/>
      <c r="F258" s="189" t="n"/>
      <c r="G258" s="189" t="n"/>
      <c r="H258" s="189" t="n"/>
      <c r="I258" s="189" t="n"/>
      <c r="J258" s="189" t="n"/>
      <c r="K258" s="189" t="n"/>
      <c r="L258" s="189" t="n"/>
      <c r="M258" s="189" t="n"/>
      <c r="N258" s="189" t="n"/>
      <c r="O258" s="189" t="n"/>
      <c r="P258" s="189" t="n"/>
      <c r="Q258" s="189" t="n"/>
      <c r="R258" s="189" t="n"/>
      <c r="S258" s="189" t="n"/>
      <c r="T258" s="189" t="n"/>
      <c r="U258" s="189" t="n"/>
      <c r="V258" s="189" t="n"/>
      <c r="W258" s="189" t="n"/>
      <c r="X258" s="189" t="n"/>
      <c r="Y258" s="189" t="n"/>
      <c r="Z258" s="189" t="n"/>
      <c r="AA258" s="189" t="n"/>
      <c r="AB258" s="189" t="n"/>
      <c r="AC258" s="189" t="n"/>
      <c r="AD258" s="189" t="n"/>
      <c r="AE258" s="189" t="n"/>
      <c r="AF258" s="189" t="n"/>
      <c r="AG258" s="189" t="n"/>
      <c r="AH258" s="189" t="n"/>
      <c r="AI258" s="51" t="inlineStr">
        <is>
          <t>U1X</t>
        </is>
      </c>
    </row>
    <row r="259">
      <c r="B259" s="189" t="n"/>
      <c r="C259" s="189" t="n"/>
      <c r="D259" s="189" t="n"/>
      <c r="E259" s="189" t="n"/>
      <c r="F259" s="189" t="n"/>
      <c r="G259" s="189" t="n"/>
      <c r="H259" s="189" t="n"/>
      <c r="I259" s="189" t="n"/>
      <c r="J259" s="189" t="n"/>
      <c r="K259" s="189" t="n"/>
      <c r="L259" s="189" t="n"/>
      <c r="M259" s="189" t="n"/>
      <c r="N259" s="189" t="n"/>
      <c r="O259" s="189" t="n"/>
      <c r="P259" s="189" t="n"/>
      <c r="Q259" s="189" t="n"/>
      <c r="R259" s="189" t="n"/>
      <c r="S259" s="189" t="n"/>
      <c r="T259" s="189" t="n"/>
      <c r="U259" s="189" t="n"/>
      <c r="V259" s="189" t="n"/>
      <c r="W259" s="189" t="n"/>
      <c r="X259" s="189" t="n"/>
      <c r="Y259" s="189" t="n"/>
      <c r="Z259" s="189" t="n"/>
      <c r="AA259" s="189" t="n"/>
      <c r="AB259" s="189" t="n"/>
      <c r="AC259" s="189" t="n"/>
      <c r="AD259" s="189" t="n"/>
      <c r="AE259" s="189" t="n"/>
      <c r="AF259" s="189" t="n"/>
      <c r="AG259" s="189" t="n"/>
      <c r="AH259" s="189" t="n"/>
      <c r="AI259" s="51" t="inlineStr">
        <is>
          <t>U1Y</t>
        </is>
      </c>
    </row>
    <row r="260">
      <c r="B260" s="189" t="n"/>
      <c r="C260" s="189" t="n"/>
      <c r="D260" s="189" t="n"/>
      <c r="E260" s="189" t="n"/>
      <c r="F260" s="189" t="n"/>
      <c r="G260" s="189" t="n"/>
      <c r="H260" s="189" t="n"/>
      <c r="I260" s="189" t="n"/>
      <c r="J260" s="189" t="n"/>
      <c r="K260" s="189" t="n"/>
      <c r="L260" s="189" t="n"/>
      <c r="M260" s="189" t="n"/>
      <c r="N260" s="189" t="n"/>
      <c r="O260" s="189" t="n"/>
      <c r="P260" s="189" t="n"/>
      <c r="Q260" s="189" t="n"/>
      <c r="R260" s="189" t="n"/>
      <c r="S260" s="189" t="n"/>
      <c r="T260" s="189" t="n"/>
      <c r="U260" s="189" t="n"/>
      <c r="V260" s="189" t="n"/>
      <c r="W260" s="189" t="n"/>
      <c r="X260" s="189" t="n"/>
      <c r="Y260" s="189" t="n"/>
      <c r="Z260" s="189" t="n"/>
      <c r="AA260" s="189" t="n"/>
      <c r="AB260" s="189" t="n"/>
      <c r="AC260" s="189" t="n"/>
      <c r="AD260" s="189" t="n"/>
      <c r="AE260" s="189" t="n"/>
      <c r="AF260" s="189" t="n"/>
      <c r="AG260" s="189" t="n"/>
      <c r="AH260" s="189" t="n"/>
      <c r="AI260" s="51" t="inlineStr">
        <is>
          <t>U1θ</t>
        </is>
      </c>
    </row>
    <row r="261">
      <c r="B261" s="189" t="n"/>
      <c r="C261" s="189" t="n"/>
      <c r="D261" s="189" t="n"/>
      <c r="E261" s="189" t="n"/>
      <c r="F261" s="189" t="n"/>
      <c r="G261" s="189" t="n"/>
      <c r="H261" s="189" t="n"/>
      <c r="I261" s="189" t="n"/>
      <c r="J261" s="189" t="n"/>
      <c r="K261" s="189" t="n"/>
      <c r="L261" s="189" t="n"/>
      <c r="M261" s="189" t="n"/>
      <c r="N261" s="189" t="n"/>
      <c r="O261" s="189" t="n"/>
      <c r="P261" s="189" t="n"/>
      <c r="Q261" s="189" t="n"/>
      <c r="R261" s="189" t="n"/>
      <c r="S261" s="189" t="n"/>
      <c r="T261" s="189" t="n"/>
      <c r="U261" s="189" t="n"/>
      <c r="V261" s="189" t="n"/>
      <c r="W261" s="189" t="n"/>
      <c r="X261" s="189" t="n"/>
      <c r="Y261" s="189" t="n"/>
      <c r="Z261" s="189" t="n"/>
      <c r="AA261" s="189" t="n"/>
      <c r="AB261" s="189" t="n"/>
      <c r="AC261" s="189" t="n"/>
      <c r="AD261" s="189" t="n"/>
      <c r="AE261" s="189" t="n"/>
      <c r="AF261" s="189" t="n"/>
      <c r="AG261" s="189" t="n"/>
      <c r="AH261" s="189" t="n"/>
      <c r="AI261" s="51" t="inlineStr">
        <is>
          <t>U2X</t>
        </is>
      </c>
    </row>
    <row r="262">
      <c r="B262" s="189" t="n"/>
      <c r="C262" s="189" t="n"/>
      <c r="D262" s="189" t="n"/>
      <c r="E262" s="189" t="n"/>
      <c r="F262" s="189" t="n"/>
      <c r="G262" s="189" t="n"/>
      <c r="H262" s="189" t="n"/>
      <c r="I262" s="189" t="n"/>
      <c r="J262" s="189" t="n"/>
      <c r="K262" s="189" t="n"/>
      <c r="L262" s="189" t="n"/>
      <c r="M262" s="189" t="n"/>
      <c r="N262" s="189" t="n"/>
      <c r="O262" s="189" t="n"/>
      <c r="P262" s="189" t="n"/>
      <c r="Q262" s="189" t="n"/>
      <c r="R262" s="189" t="n"/>
      <c r="S262" s="189" t="n"/>
      <c r="T262" s="189" t="n"/>
      <c r="U262" s="189" t="n"/>
      <c r="V262" s="189" t="n"/>
      <c r="W262" s="189" t="n"/>
      <c r="X262" s="189" t="n"/>
      <c r="Y262" s="189" t="n"/>
      <c r="Z262" s="189" t="n"/>
      <c r="AA262" s="189" t="n"/>
      <c r="AB262" s="189" t="n"/>
      <c r="AC262" s="189" t="n"/>
      <c r="AD262" s="189" t="n"/>
      <c r="AE262" s="189" t="n"/>
      <c r="AF262" s="189" t="n"/>
      <c r="AG262" s="189" t="n"/>
      <c r="AH262" s="189" t="n"/>
      <c r="AI262" s="51" t="inlineStr">
        <is>
          <t>U2Y</t>
        </is>
      </c>
    </row>
    <row r="263">
      <c r="B263" s="189" t="n"/>
      <c r="C263" s="189" t="n"/>
      <c r="D263" s="189" t="n"/>
      <c r="E263" s="189" t="n"/>
      <c r="F263" s="189" t="n"/>
      <c r="G263" s="189" t="n"/>
      <c r="H263" s="189" t="n"/>
      <c r="I263" s="189" t="n"/>
      <c r="J263" s="189" t="n"/>
      <c r="K263" s="189" t="n"/>
      <c r="L263" s="189" t="n"/>
      <c r="M263" s="189" t="n"/>
      <c r="N263" s="189" t="n"/>
      <c r="O263" s="189" t="n"/>
      <c r="P263" s="189" t="n"/>
      <c r="Q263" s="189" t="n"/>
      <c r="R263" s="189" t="n"/>
      <c r="S263" s="189" t="n"/>
      <c r="T263" s="189" t="n"/>
      <c r="U263" s="189" t="n"/>
      <c r="V263" s="189" t="n"/>
      <c r="W263" s="189" t="n"/>
      <c r="X263" s="189" t="n"/>
      <c r="Y263" s="189" t="n"/>
      <c r="Z263" s="189" t="n"/>
      <c r="AA263" s="189" t="n"/>
      <c r="AB263" s="189" t="n"/>
      <c r="AC263" s="189" t="n"/>
      <c r="AD263" s="189" t="n"/>
      <c r="AE263" s="189" t="n"/>
      <c r="AF263" s="189" t="n"/>
      <c r="AG263" s="189" t="n"/>
      <c r="AH263" s="189" t="n"/>
      <c r="AI263" s="51" t="inlineStr">
        <is>
          <t>U2θ</t>
        </is>
      </c>
    </row>
    <row r="264">
      <c r="B264" s="189" t="n"/>
      <c r="C264" s="189" t="n"/>
      <c r="D264" s="189" t="n"/>
      <c r="E264" s="189" t="n"/>
      <c r="F264" s="189" t="n"/>
      <c r="G264" s="189" t="n"/>
      <c r="H264" s="189" t="n"/>
      <c r="I264" s="189" t="n"/>
      <c r="J264" s="189" t="n"/>
      <c r="K264" s="189" t="n"/>
      <c r="L264" s="189" t="n"/>
      <c r="M264" s="189" t="n"/>
      <c r="N264" s="189" t="n"/>
      <c r="O264" s="189" t="n"/>
      <c r="P264" s="189" t="n"/>
      <c r="Q264" s="189" t="n"/>
      <c r="R264" s="189" t="n"/>
      <c r="S264" s="189" t="n"/>
      <c r="T264" s="189" t="n"/>
      <c r="U264" s="189" t="n"/>
      <c r="V264" s="189" t="n"/>
      <c r="W264" s="189" t="n"/>
      <c r="X264" s="189" t="n"/>
      <c r="Y264" s="189" t="n"/>
      <c r="Z264" s="189" t="n"/>
      <c r="AA264" s="189" t="n"/>
      <c r="AB264" s="189" t="n"/>
      <c r="AC264" s="189" t="n"/>
      <c r="AD264" s="189" t="n"/>
      <c r="AE264" s="189" t="n"/>
      <c r="AF264" s="189" t="n"/>
      <c r="AG264" s="189" t="n"/>
      <c r="AH264" s="189" t="n"/>
      <c r="AI264" s="51" t="inlineStr">
        <is>
          <t>U3X</t>
        </is>
      </c>
    </row>
    <row r="265">
      <c r="B265" s="189" t="n"/>
      <c r="C265" s="189" t="n"/>
      <c r="D265" s="189" t="n"/>
      <c r="E265" s="189" t="n"/>
      <c r="F265" s="189" t="n"/>
      <c r="G265" s="189" t="n"/>
      <c r="H265" s="189" t="n"/>
      <c r="I265" s="189" t="n"/>
      <c r="J265" s="189" t="n"/>
      <c r="K265" s="189" t="n"/>
      <c r="L265" s="189" t="n"/>
      <c r="M265" s="189" t="n"/>
      <c r="N265" s="189" t="n"/>
      <c r="O265" s="189" t="n"/>
      <c r="P265" s="189" t="n"/>
      <c r="Q265" s="189" t="n"/>
      <c r="R265" s="189" t="n"/>
      <c r="S265" s="189" t="n"/>
      <c r="T265" s="189" t="n"/>
      <c r="U265" s="189" t="n"/>
      <c r="V265" s="189" t="n"/>
      <c r="W265" s="189" t="n"/>
      <c r="X265" s="189" t="n"/>
      <c r="Y265" s="189" t="n"/>
      <c r="Z265" s="189" t="n"/>
      <c r="AA265" s="189" t="n"/>
      <c r="AB265" s="189" t="n"/>
      <c r="AC265" s="189" t="n"/>
      <c r="AD265" s="189" t="n"/>
      <c r="AE265" s="189" t="n"/>
      <c r="AF265" s="189" t="n"/>
      <c r="AG265" s="189" t="n"/>
      <c r="AH265" s="189" t="n"/>
      <c r="AI265" s="51" t="inlineStr">
        <is>
          <t>U3Y</t>
        </is>
      </c>
    </row>
    <row r="266">
      <c r="B266" s="189" t="n"/>
      <c r="C266" s="189" t="n"/>
      <c r="D266" s="189" t="n"/>
      <c r="E266" s="189" t="n"/>
      <c r="F266" s="189" t="n"/>
      <c r="G266" s="189" t="n"/>
      <c r="H266" s="189" t="n"/>
      <c r="I266" s="189" t="n"/>
      <c r="J266" s="189" t="n"/>
      <c r="K266" s="189" t="n"/>
      <c r="L266" s="189" t="n"/>
      <c r="M266" s="189" t="n"/>
      <c r="N266" s="189" t="n"/>
      <c r="O266" s="189" t="n"/>
      <c r="P266" s="189" t="n"/>
      <c r="Q266" s="189" t="n"/>
      <c r="R266" s="189" t="n"/>
      <c r="S266" s="189" t="n"/>
      <c r="T266" s="189" t="n"/>
      <c r="U266" s="189" t="n"/>
      <c r="V266" s="189" t="n"/>
      <c r="W266" s="189" t="n"/>
      <c r="X266" s="189" t="n"/>
      <c r="Y266" s="189" t="n"/>
      <c r="Z266" s="189" t="n"/>
      <c r="AA266" s="189" t="n"/>
      <c r="AB266" s="189" t="n"/>
      <c r="AC266" s="189" t="n"/>
      <c r="AD266" s="189" t="n"/>
      <c r="AE266" s="189" t="n"/>
      <c r="AF266" s="189" t="n"/>
      <c r="AG266" s="189" t="n"/>
      <c r="AH266" s="189" t="n"/>
      <c r="AI266" s="51" t="inlineStr">
        <is>
          <t>U3θ</t>
        </is>
      </c>
    </row>
    <row r="267">
      <c r="B267" s="189" t="n"/>
      <c r="C267" s="189" t="n"/>
      <c r="D267" s="189" t="n"/>
      <c r="E267" s="189" t="n"/>
      <c r="F267" s="189" t="n"/>
      <c r="G267" s="189" t="n"/>
      <c r="H267" s="189" t="n"/>
      <c r="I267" s="189" t="n"/>
      <c r="J267" s="189" t="n"/>
      <c r="K267" s="189" t="n"/>
      <c r="L267" s="189" t="n"/>
      <c r="M267" s="189" t="n"/>
      <c r="N267" s="189" t="n"/>
      <c r="O267" s="189" t="n"/>
      <c r="P267" s="189" t="n"/>
      <c r="Q267" s="189" t="n"/>
      <c r="R267" s="189" t="n"/>
      <c r="S267" s="189" t="n"/>
      <c r="T267" s="189" t="n"/>
      <c r="U267" s="189" t="n"/>
      <c r="V267" s="189" t="n"/>
      <c r="W267" s="189" t="n"/>
      <c r="X267" s="189" t="n"/>
      <c r="Y267" s="189" t="n"/>
      <c r="Z267" s="189" t="n"/>
      <c r="AA267" s="189" t="n"/>
      <c r="AB267" s="189" t="n"/>
      <c r="AC267" s="189" t="n"/>
      <c r="AD267" s="189" t="n"/>
      <c r="AE267" s="189" t="n"/>
      <c r="AF267" s="189" t="n"/>
      <c r="AG267" s="189" t="n"/>
      <c r="AH267" s="189" t="n"/>
      <c r="AI267" s="51" t="inlineStr">
        <is>
          <t>U4X</t>
        </is>
      </c>
    </row>
    <row r="268">
      <c r="B268" s="189" t="n"/>
      <c r="C268" s="189" t="n"/>
      <c r="D268" s="189" t="n"/>
      <c r="E268" s="189" t="n"/>
      <c r="F268" s="189" t="n"/>
      <c r="G268" s="189" t="n"/>
      <c r="H268" s="189" t="n"/>
      <c r="I268" s="189" t="n"/>
      <c r="J268" s="189" t="n"/>
      <c r="K268" s="189" t="n"/>
      <c r="L268" s="189" t="n"/>
      <c r="M268" s="189" t="n"/>
      <c r="N268" s="189" t="n"/>
      <c r="O268" s="189" t="n"/>
      <c r="P268" s="189" t="n"/>
      <c r="Q268" s="189" t="n"/>
      <c r="R268" s="189" t="n"/>
      <c r="S268" s="189" t="n"/>
      <c r="T268" s="189" t="n"/>
      <c r="U268" s="189" t="n"/>
      <c r="V268" s="189" t="n"/>
      <c r="W268" s="189" t="n"/>
      <c r="X268" s="189" t="n"/>
      <c r="Y268" s="189" t="n"/>
      <c r="Z268" s="189" t="n"/>
      <c r="AA268" s="189" t="n"/>
      <c r="AB268" s="189" t="n"/>
      <c r="AC268" s="189" t="n"/>
      <c r="AD268" s="189" t="n"/>
      <c r="AE268" s="189" t="n"/>
      <c r="AF268" s="189" t="n"/>
      <c r="AG268" s="189" t="n"/>
      <c r="AH268" s="189" t="n"/>
      <c r="AI268" s="51" t="inlineStr">
        <is>
          <t>U4Y</t>
        </is>
      </c>
    </row>
    <row r="269">
      <c r="B269" s="189" t="n"/>
      <c r="C269" s="189" t="n"/>
      <c r="D269" s="189" t="n"/>
      <c r="E269" s="189" t="n"/>
      <c r="F269" s="189" t="n"/>
      <c r="G269" s="189" t="n"/>
      <c r="H269" s="189" t="n"/>
      <c r="I269" s="189" t="n"/>
      <c r="J269" s="189" t="n"/>
      <c r="K269" s="189" t="n"/>
      <c r="L269" s="189" t="n"/>
      <c r="M269" s="189" t="n"/>
      <c r="N269" s="189" t="n"/>
      <c r="O269" s="189" t="n"/>
      <c r="P269" s="189" t="n"/>
      <c r="Q269" s="189" t="n"/>
      <c r="R269" s="189" t="n"/>
      <c r="S269" s="189" t="n"/>
      <c r="T269" s="189" t="n"/>
      <c r="U269" s="189" t="n"/>
      <c r="V269" s="189" t="n"/>
      <c r="W269" s="189" t="n"/>
      <c r="X269" s="189" t="n"/>
      <c r="Y269" s="189" t="n"/>
      <c r="Z269" s="189" t="n"/>
      <c r="AA269" s="189" t="n"/>
      <c r="AB269" s="189" t="n"/>
      <c r="AC269" s="189" t="n"/>
      <c r="AD269" s="189" t="n"/>
      <c r="AE269" s="189" t="n"/>
      <c r="AF269" s="189" t="n"/>
      <c r="AG269" s="189" t="n"/>
      <c r="AH269" s="189" t="n"/>
      <c r="AI269" s="51" t="inlineStr">
        <is>
          <t>U4θ</t>
        </is>
      </c>
    </row>
    <row r="270">
      <c r="B270" s="189" t="n"/>
      <c r="C270" s="189" t="n"/>
      <c r="D270" s="189" t="n"/>
      <c r="E270" s="189" t="n"/>
      <c r="F270" s="189" t="n"/>
      <c r="G270" s="189" t="n"/>
      <c r="H270" s="189" t="n"/>
      <c r="I270" s="189" t="n"/>
      <c r="J270" s="189" t="n"/>
      <c r="K270" s="189" t="n"/>
      <c r="L270" s="189" t="n"/>
      <c r="M270" s="189" t="n"/>
      <c r="N270" s="189" t="n"/>
      <c r="O270" s="189" t="n"/>
      <c r="P270" s="189" t="n"/>
      <c r="Q270" s="189" t="n"/>
      <c r="R270" s="189" t="n"/>
      <c r="S270" s="189" t="n"/>
      <c r="T270" s="189" t="n"/>
      <c r="U270" s="189" t="n"/>
      <c r="V270" s="189" t="n"/>
      <c r="W270" s="189" t="n"/>
      <c r="X270" s="189" t="n"/>
      <c r="Y270" s="189" t="n"/>
      <c r="Z270" s="189" t="n"/>
      <c r="AA270" s="189" t="n"/>
      <c r="AB270" s="189" t="n"/>
      <c r="AC270" s="189" t="n"/>
      <c r="AD270" s="189" t="n"/>
      <c r="AE270" s="189" t="n"/>
      <c r="AF270" s="189" t="n"/>
      <c r="AG270" s="189" t="n"/>
      <c r="AH270" s="189" t="n"/>
      <c r="AI270" s="51" t="inlineStr">
        <is>
          <t>U5X</t>
        </is>
      </c>
    </row>
    <row r="271">
      <c r="B271" s="189" t="n"/>
      <c r="C271" s="189" t="n"/>
      <c r="D271" s="189" t="n"/>
      <c r="E271" s="189" t="n"/>
      <c r="F271" s="189" t="n"/>
      <c r="G271" s="189" t="n"/>
      <c r="H271" s="189" t="n"/>
      <c r="I271" s="189" t="n"/>
      <c r="J271" s="189" t="n"/>
      <c r="K271" s="189" t="n"/>
      <c r="L271" s="189" t="n"/>
      <c r="M271" s="189" t="n"/>
      <c r="N271" s="189" t="n"/>
      <c r="O271" s="189" t="n"/>
      <c r="P271" s="189" t="n"/>
      <c r="Q271" s="189" t="n"/>
      <c r="R271" s="189" t="n"/>
      <c r="S271" s="189" t="n"/>
      <c r="T271" s="189" t="n"/>
      <c r="U271" s="189" t="n"/>
      <c r="V271" s="189" t="n"/>
      <c r="W271" s="189" t="n"/>
      <c r="X271" s="189" t="n"/>
      <c r="Y271" s="189" t="n"/>
      <c r="Z271" s="189" t="n"/>
      <c r="AA271" s="189" t="n"/>
      <c r="AB271" s="189" t="n"/>
      <c r="AC271" s="189" t="n"/>
      <c r="AD271" s="189" t="n"/>
      <c r="AE271" s="189" t="n"/>
      <c r="AF271" s="189" t="n"/>
      <c r="AG271" s="189" t="n"/>
      <c r="AH271" s="189" t="n"/>
      <c r="AI271" s="51" t="inlineStr">
        <is>
          <t>U5Y</t>
        </is>
      </c>
    </row>
    <row r="272">
      <c r="B272" s="189" t="n"/>
      <c r="C272" s="189" t="n"/>
      <c r="D272" s="189" t="n"/>
      <c r="E272" s="189" t="n"/>
      <c r="F272" s="189" t="n"/>
      <c r="G272" s="189" t="n"/>
      <c r="H272" s="189" t="n"/>
      <c r="I272" s="189" t="n"/>
      <c r="J272" s="189" t="n"/>
      <c r="K272" s="189" t="n"/>
      <c r="L272" s="189" t="n"/>
      <c r="M272" s="189" t="n"/>
      <c r="N272" s="189" t="n"/>
      <c r="O272" s="189" t="n"/>
      <c r="P272" s="189" t="n"/>
      <c r="Q272" s="189" t="n"/>
      <c r="R272" s="189" t="n"/>
      <c r="S272" s="189" t="n"/>
      <c r="T272" s="189" t="n"/>
      <c r="U272" s="189" t="n"/>
      <c r="V272" s="189" t="n"/>
      <c r="W272" s="189" t="n"/>
      <c r="X272" s="189" t="n"/>
      <c r="Y272" s="189" t="n"/>
      <c r="Z272" s="189" t="n"/>
      <c r="AA272" s="189" t="n"/>
      <c r="AB272" s="189" t="n"/>
      <c r="AC272" s="189" t="n"/>
      <c r="AD272" s="189" t="n"/>
      <c r="AE272" s="189" t="n"/>
      <c r="AF272" s="189" t="n"/>
      <c r="AG272" s="189" t="n"/>
      <c r="AH272" s="189" t="n"/>
      <c r="AI272" s="51" t="inlineStr">
        <is>
          <t>U5θ</t>
        </is>
      </c>
    </row>
    <row r="273">
      <c r="A273" s="118" t="inlineStr">
        <is>
          <t>K6 =</t>
        </is>
      </c>
      <c r="B273" s="189" t="n"/>
      <c r="C273" s="189" t="n"/>
      <c r="D273" s="189" t="n"/>
      <c r="E273" s="189" t="n"/>
      <c r="F273" s="189" t="n"/>
      <c r="G273" s="189" t="n"/>
      <c r="H273" s="189" t="n"/>
      <c r="I273" s="189" t="n"/>
      <c r="J273" s="189" t="n"/>
      <c r="K273" s="189" t="n"/>
      <c r="L273" s="189" t="n"/>
      <c r="M273" s="189" t="n"/>
      <c r="N273" s="189" t="n"/>
      <c r="O273" s="189" t="n"/>
      <c r="P273" s="189" t="n"/>
      <c r="Q273" s="189">
        <f>B250</f>
        <v/>
      </c>
      <c r="R273" s="189">
        <f>C250</f>
        <v/>
      </c>
      <c r="S273" s="189">
        <f>D250</f>
        <v/>
      </c>
      <c r="T273" s="189">
        <f>E250</f>
        <v/>
      </c>
      <c r="U273" s="189">
        <f>F250</f>
        <v/>
      </c>
      <c r="V273" s="189">
        <f>G250</f>
        <v/>
      </c>
      <c r="W273" s="189" t="n"/>
      <c r="X273" s="189" t="n"/>
      <c r="Y273" s="189" t="n"/>
      <c r="Z273" s="189" t="n"/>
      <c r="AA273" s="189" t="n"/>
      <c r="AB273" s="189" t="n"/>
      <c r="AC273" s="189" t="n"/>
      <c r="AD273" s="189" t="n"/>
      <c r="AE273" s="189" t="n"/>
      <c r="AF273" s="189" t="n"/>
      <c r="AG273" s="189" t="n"/>
      <c r="AH273" s="189" t="n"/>
      <c r="AI273" s="51" t="inlineStr">
        <is>
          <t>U6X</t>
        </is>
      </c>
    </row>
    <row r="274">
      <c r="B274" s="189" t="n"/>
      <c r="C274" s="189" t="n"/>
      <c r="D274" s="189" t="n"/>
      <c r="E274" s="189" t="n"/>
      <c r="F274" s="189" t="n"/>
      <c r="G274" s="189" t="n"/>
      <c r="H274" s="189" t="n"/>
      <c r="I274" s="189" t="n"/>
      <c r="J274" s="189" t="n"/>
      <c r="K274" s="189" t="n"/>
      <c r="L274" s="189" t="n"/>
      <c r="M274" s="189" t="n"/>
      <c r="N274" s="189" t="n"/>
      <c r="O274" s="189" t="n"/>
      <c r="P274" s="189" t="n"/>
      <c r="Q274" s="189">
        <f>B251</f>
        <v/>
      </c>
      <c r="R274" s="189">
        <f>C251</f>
        <v/>
      </c>
      <c r="S274" s="189">
        <f>D251</f>
        <v/>
      </c>
      <c r="T274" s="189">
        <f>E251</f>
        <v/>
      </c>
      <c r="U274" s="189">
        <f>F251</f>
        <v/>
      </c>
      <c r="V274" s="189">
        <f>G251</f>
        <v/>
      </c>
      <c r="W274" s="189" t="n"/>
      <c r="X274" s="189" t="n"/>
      <c r="Y274" s="189" t="n"/>
      <c r="Z274" s="189" t="n"/>
      <c r="AA274" s="189" t="n"/>
      <c r="AB274" s="189" t="n"/>
      <c r="AC274" s="189" t="n"/>
      <c r="AD274" s="189" t="n"/>
      <c r="AE274" s="189" t="n"/>
      <c r="AF274" s="189" t="n"/>
      <c r="AG274" s="189" t="n"/>
      <c r="AH274" s="189" t="n"/>
      <c r="AI274" s="51" t="inlineStr">
        <is>
          <t>U6Y</t>
        </is>
      </c>
    </row>
    <row r="275">
      <c r="B275" s="189" t="n"/>
      <c r="C275" s="189" t="n"/>
      <c r="D275" s="189" t="n"/>
      <c r="E275" s="189" t="n"/>
      <c r="F275" s="189" t="n"/>
      <c r="G275" s="189" t="n"/>
      <c r="H275" s="189" t="n"/>
      <c r="I275" s="189" t="n"/>
      <c r="J275" s="189" t="n"/>
      <c r="K275" s="189" t="n"/>
      <c r="L275" s="189" t="n"/>
      <c r="M275" s="189" t="n"/>
      <c r="N275" s="189" t="n"/>
      <c r="O275" s="189" t="n"/>
      <c r="P275" s="189" t="n"/>
      <c r="Q275" s="189">
        <f>B252</f>
        <v/>
      </c>
      <c r="R275" s="189">
        <f>C252</f>
        <v/>
      </c>
      <c r="S275" s="189">
        <f>D252</f>
        <v/>
      </c>
      <c r="T275" s="189">
        <f>E252</f>
        <v/>
      </c>
      <c r="U275" s="189">
        <f>F252</f>
        <v/>
      </c>
      <c r="V275" s="189">
        <f>G252</f>
        <v/>
      </c>
      <c r="W275" s="189" t="n"/>
      <c r="X275" s="189" t="n"/>
      <c r="Y275" s="189" t="n"/>
      <c r="Z275" s="189" t="n"/>
      <c r="AA275" s="189" t="n"/>
      <c r="AB275" s="189" t="n"/>
      <c r="AC275" s="189" t="n"/>
      <c r="AD275" s="189" t="n"/>
      <c r="AE275" s="189" t="n"/>
      <c r="AF275" s="189" t="n"/>
      <c r="AG275" s="189" t="n"/>
      <c r="AH275" s="189" t="n"/>
      <c r="AI275" s="51" t="inlineStr">
        <is>
          <t>U6θ</t>
        </is>
      </c>
    </row>
    <row r="276">
      <c r="B276" s="189" t="n"/>
      <c r="C276" s="189" t="n"/>
      <c r="D276" s="189" t="n"/>
      <c r="E276" s="189" t="n"/>
      <c r="F276" s="189" t="n"/>
      <c r="G276" s="189" t="n"/>
      <c r="H276" s="189" t="n"/>
      <c r="I276" s="189" t="n"/>
      <c r="J276" s="189" t="n"/>
      <c r="K276" s="189" t="n"/>
      <c r="L276" s="189" t="n"/>
      <c r="M276" s="189" t="n"/>
      <c r="N276" s="189" t="n"/>
      <c r="O276" s="189" t="n"/>
      <c r="P276" s="189" t="n"/>
      <c r="Q276" s="189">
        <f>B253</f>
        <v/>
      </c>
      <c r="R276" s="189">
        <f>C253</f>
        <v/>
      </c>
      <c r="S276" s="189">
        <f>D253</f>
        <v/>
      </c>
      <c r="T276" s="189">
        <f>E253</f>
        <v/>
      </c>
      <c r="U276" s="189">
        <f>F253</f>
        <v/>
      </c>
      <c r="V276" s="189">
        <f>G253</f>
        <v/>
      </c>
      <c r="W276" s="189" t="n"/>
      <c r="X276" s="189" t="n"/>
      <c r="Y276" s="189" t="n"/>
      <c r="Z276" s="189" t="n"/>
      <c r="AA276" s="189" t="n"/>
      <c r="AB276" s="189" t="n"/>
      <c r="AC276" s="189" t="n"/>
      <c r="AD276" s="189" t="n"/>
      <c r="AE276" s="189" t="n"/>
      <c r="AF276" s="189" t="n"/>
      <c r="AG276" s="189" t="n"/>
      <c r="AH276" s="189" t="n"/>
      <c r="AI276" s="51" t="inlineStr">
        <is>
          <t>U7X</t>
        </is>
      </c>
    </row>
    <row r="277">
      <c r="B277" s="189" t="n"/>
      <c r="C277" s="189" t="n"/>
      <c r="D277" s="189" t="n"/>
      <c r="E277" s="189" t="n"/>
      <c r="F277" s="189" t="n"/>
      <c r="G277" s="189" t="n"/>
      <c r="H277" s="189" t="n"/>
      <c r="I277" s="189" t="n"/>
      <c r="J277" s="189" t="n"/>
      <c r="K277" s="189" t="n"/>
      <c r="L277" s="189" t="n"/>
      <c r="M277" s="189" t="n"/>
      <c r="N277" s="189" t="n"/>
      <c r="O277" s="189" t="n"/>
      <c r="P277" s="189" t="n"/>
      <c r="Q277" s="189">
        <f>B254</f>
        <v/>
      </c>
      <c r="R277" s="189">
        <f>C254</f>
        <v/>
      </c>
      <c r="S277" s="189">
        <f>D254</f>
        <v/>
      </c>
      <c r="T277" s="189">
        <f>E254</f>
        <v/>
      </c>
      <c r="U277" s="189">
        <f>F254</f>
        <v/>
      </c>
      <c r="V277" s="189">
        <f>G254</f>
        <v/>
      </c>
      <c r="W277" s="189" t="n"/>
      <c r="X277" s="189" t="n"/>
      <c r="Y277" s="189" t="n"/>
      <c r="Z277" s="189" t="n"/>
      <c r="AA277" s="189" t="n"/>
      <c r="AB277" s="189" t="n"/>
      <c r="AC277" s="189" t="n"/>
      <c r="AD277" s="189" t="n"/>
      <c r="AE277" s="189" t="n"/>
      <c r="AF277" s="189" t="n"/>
      <c r="AG277" s="189" t="n"/>
      <c r="AH277" s="189" t="n"/>
      <c r="AI277" s="51" t="inlineStr">
        <is>
          <t>U7Y</t>
        </is>
      </c>
    </row>
    <row r="278">
      <c r="B278" s="189" t="n"/>
      <c r="C278" s="189" t="n"/>
      <c r="D278" s="189" t="n"/>
      <c r="E278" s="189" t="n"/>
      <c r="F278" s="189" t="n"/>
      <c r="G278" s="189" t="n"/>
      <c r="H278" s="189" t="n"/>
      <c r="I278" s="189" t="n"/>
      <c r="J278" s="189" t="n"/>
      <c r="K278" s="189" t="n"/>
      <c r="L278" s="189" t="n"/>
      <c r="M278" s="189" t="n"/>
      <c r="N278" s="189" t="n"/>
      <c r="O278" s="189" t="n"/>
      <c r="P278" s="189" t="n"/>
      <c r="Q278" s="189">
        <f>B255</f>
        <v/>
      </c>
      <c r="R278" s="189">
        <f>C255</f>
        <v/>
      </c>
      <c r="S278" s="189">
        <f>D255</f>
        <v/>
      </c>
      <c r="T278" s="189">
        <f>E255</f>
        <v/>
      </c>
      <c r="U278" s="189">
        <f>F255</f>
        <v/>
      </c>
      <c r="V278" s="189">
        <f>G255</f>
        <v/>
      </c>
      <c r="W278" s="189" t="n"/>
      <c r="X278" s="189" t="n"/>
      <c r="Y278" s="189" t="n"/>
      <c r="Z278" s="189" t="n"/>
      <c r="AA278" s="189" t="n"/>
      <c r="AB278" s="189" t="n"/>
      <c r="AC278" s="189" t="n"/>
      <c r="AD278" s="189" t="n"/>
      <c r="AE278" s="189" t="n"/>
      <c r="AF278" s="189" t="n"/>
      <c r="AG278" s="189" t="n"/>
      <c r="AH278" s="189" t="n"/>
      <c r="AI278" s="51" t="inlineStr">
        <is>
          <t>U7θ</t>
        </is>
      </c>
    </row>
    <row r="279">
      <c r="B279" s="189" t="n"/>
      <c r="C279" s="189" t="n"/>
      <c r="D279" s="189" t="n"/>
      <c r="E279" s="189" t="n"/>
      <c r="F279" s="189" t="n"/>
      <c r="G279" s="189" t="n"/>
      <c r="H279" s="189" t="n"/>
      <c r="I279" s="189" t="n"/>
      <c r="J279" s="189" t="n"/>
      <c r="K279" s="189" t="n"/>
      <c r="L279" s="189" t="n"/>
      <c r="M279" s="189" t="n"/>
      <c r="N279" s="189" t="n"/>
      <c r="O279" s="189" t="n"/>
      <c r="P279" s="189" t="n"/>
      <c r="Q279" s="189" t="n"/>
      <c r="R279" s="189" t="n"/>
      <c r="S279" s="189" t="n"/>
      <c r="T279" s="189" t="n"/>
      <c r="U279" s="189" t="n"/>
      <c r="V279" s="189" t="n"/>
      <c r="W279" s="189" t="n"/>
      <c r="X279" s="189" t="n"/>
      <c r="Y279" s="189" t="n"/>
      <c r="Z279" s="189" t="n"/>
      <c r="AA279" s="189" t="n"/>
      <c r="AB279" s="189" t="n"/>
      <c r="AC279" s="189" t="n"/>
      <c r="AD279" s="189" t="n"/>
      <c r="AE279" s="189" t="n"/>
      <c r="AF279" s="189" t="n"/>
      <c r="AG279" s="189" t="n"/>
      <c r="AH279" s="189" t="n"/>
      <c r="AI279" s="51" t="inlineStr">
        <is>
          <t>U8X</t>
        </is>
      </c>
    </row>
    <row r="280">
      <c r="B280" s="189" t="n"/>
      <c r="C280" s="189" t="n"/>
      <c r="D280" s="189" t="n"/>
      <c r="E280" s="189" t="n"/>
      <c r="F280" s="189" t="n"/>
      <c r="G280" s="189" t="n"/>
      <c r="H280" s="189" t="n"/>
      <c r="I280" s="189" t="n"/>
      <c r="J280" s="189" t="n"/>
      <c r="K280" s="189" t="n"/>
      <c r="L280" s="189" t="n"/>
      <c r="M280" s="189" t="n"/>
      <c r="N280" s="189" t="n"/>
      <c r="O280" s="189" t="n"/>
      <c r="P280" s="189" t="n"/>
      <c r="Q280" s="189" t="n"/>
      <c r="R280" s="189" t="n"/>
      <c r="S280" s="189" t="n"/>
      <c r="T280" s="189" t="n"/>
      <c r="U280" s="189" t="n"/>
      <c r="V280" s="189" t="n"/>
      <c r="W280" s="189" t="n"/>
      <c r="X280" s="189" t="n"/>
      <c r="Y280" s="189" t="n"/>
      <c r="Z280" s="189" t="n"/>
      <c r="AA280" s="189" t="n"/>
      <c r="AB280" s="189" t="n"/>
      <c r="AC280" s="189" t="n"/>
      <c r="AD280" s="189" t="n"/>
      <c r="AE280" s="189" t="n"/>
      <c r="AF280" s="189" t="n"/>
      <c r="AG280" s="189" t="n"/>
      <c r="AH280" s="189" t="n"/>
      <c r="AI280" s="51" t="inlineStr">
        <is>
          <t>U8Y</t>
        </is>
      </c>
    </row>
    <row r="281">
      <c r="B281" s="189" t="n"/>
      <c r="C281" s="189" t="n"/>
      <c r="D281" s="189" t="n"/>
      <c r="E281" s="189" t="n"/>
      <c r="F281" s="189" t="n"/>
      <c r="G281" s="189" t="n"/>
      <c r="H281" s="189" t="n"/>
      <c r="I281" s="189" t="n"/>
      <c r="J281" s="189" t="n"/>
      <c r="K281" s="189" t="n"/>
      <c r="L281" s="189" t="n"/>
      <c r="M281" s="189" t="n"/>
      <c r="N281" s="189" t="n"/>
      <c r="O281" s="189" t="n"/>
      <c r="P281" s="189" t="n"/>
      <c r="Q281" s="189" t="n"/>
      <c r="R281" s="189" t="n"/>
      <c r="S281" s="189" t="n"/>
      <c r="T281" s="189" t="n"/>
      <c r="U281" s="189" t="n"/>
      <c r="V281" s="189" t="n"/>
      <c r="W281" s="189" t="n"/>
      <c r="X281" s="189" t="n"/>
      <c r="Y281" s="189" t="n"/>
      <c r="Z281" s="189" t="n"/>
      <c r="AA281" s="189" t="n"/>
      <c r="AB281" s="189" t="n"/>
      <c r="AC281" s="189" t="n"/>
      <c r="AD281" s="189" t="n"/>
      <c r="AE281" s="189" t="n"/>
      <c r="AF281" s="189" t="n"/>
      <c r="AG281" s="189" t="n"/>
      <c r="AH281" s="189" t="n"/>
      <c r="AI281" s="51" t="inlineStr">
        <is>
          <t>U8θ</t>
        </is>
      </c>
    </row>
    <row r="282">
      <c r="B282" s="189" t="n"/>
      <c r="C282" s="189" t="n"/>
      <c r="D282" s="189" t="n"/>
      <c r="E282" s="189" t="n"/>
      <c r="F282" s="189" t="n"/>
      <c r="G282" s="189" t="n"/>
      <c r="H282" s="189" t="n"/>
      <c r="I282" s="189" t="n"/>
      <c r="J282" s="189" t="n"/>
      <c r="K282" s="189" t="n"/>
      <c r="L282" s="189" t="n"/>
      <c r="M282" s="189" t="n"/>
      <c r="N282" s="189" t="n"/>
      <c r="O282" s="189" t="n"/>
      <c r="P282" s="189" t="n"/>
      <c r="Q282" s="189" t="n"/>
      <c r="R282" s="189" t="n"/>
      <c r="S282" s="189" t="n"/>
      <c r="T282" s="189" t="n"/>
      <c r="U282" s="189" t="n"/>
      <c r="V282" s="189" t="n"/>
      <c r="W282" s="189" t="n"/>
      <c r="X282" s="189" t="n"/>
      <c r="Y282" s="189" t="n"/>
      <c r="Z282" s="189" t="n"/>
      <c r="AA282" s="189" t="n"/>
      <c r="AB282" s="189" t="n"/>
      <c r="AC282" s="189" t="n"/>
      <c r="AD282" s="189" t="n"/>
      <c r="AE282" s="189" t="n"/>
      <c r="AF282" s="189" t="n"/>
      <c r="AG282" s="189" t="n"/>
      <c r="AH282" s="189" t="n"/>
      <c r="AI282" s="51" t="inlineStr">
        <is>
          <t>U9X</t>
        </is>
      </c>
    </row>
    <row r="283">
      <c r="B283" s="189" t="n"/>
      <c r="C283" s="189" t="n"/>
      <c r="D283" s="189" t="n"/>
      <c r="E283" s="189" t="n"/>
      <c r="F283" s="189" t="n"/>
      <c r="G283" s="189" t="n"/>
      <c r="H283" s="189" t="n"/>
      <c r="I283" s="189" t="n"/>
      <c r="J283" s="189" t="n"/>
      <c r="K283" s="189" t="n"/>
      <c r="L283" s="189" t="n"/>
      <c r="M283" s="189" t="n"/>
      <c r="N283" s="189" t="n"/>
      <c r="O283" s="189" t="n"/>
      <c r="P283" s="189" t="n"/>
      <c r="Q283" s="189" t="n"/>
      <c r="R283" s="189" t="n"/>
      <c r="S283" s="189" t="n"/>
      <c r="T283" s="189" t="n"/>
      <c r="U283" s="189" t="n"/>
      <c r="V283" s="189" t="n"/>
      <c r="W283" s="189" t="n"/>
      <c r="X283" s="189" t="n"/>
      <c r="Y283" s="189" t="n"/>
      <c r="Z283" s="189" t="n"/>
      <c r="AA283" s="189" t="n"/>
      <c r="AB283" s="189" t="n"/>
      <c r="AC283" s="189" t="n"/>
      <c r="AD283" s="189" t="n"/>
      <c r="AE283" s="189" t="n"/>
      <c r="AF283" s="189" t="n"/>
      <c r="AG283" s="189" t="n"/>
      <c r="AH283" s="189" t="n"/>
      <c r="AI283" s="51" t="inlineStr">
        <is>
          <t>U9Y</t>
        </is>
      </c>
    </row>
    <row r="284">
      <c r="B284" s="189" t="n"/>
      <c r="C284" s="189" t="n"/>
      <c r="D284" s="189" t="n"/>
      <c r="E284" s="189" t="n"/>
      <c r="F284" s="189" t="n"/>
      <c r="G284" s="189" t="n"/>
      <c r="H284" s="189" t="n"/>
      <c r="I284" s="189" t="n"/>
      <c r="J284" s="189" t="n"/>
      <c r="K284" s="189" t="n"/>
      <c r="L284" s="189" t="n"/>
      <c r="M284" s="189" t="n"/>
      <c r="N284" s="189" t="n"/>
      <c r="O284" s="189" t="n"/>
      <c r="P284" s="189" t="n"/>
      <c r="Q284" s="189" t="n"/>
      <c r="R284" s="189" t="n"/>
      <c r="S284" s="189" t="n"/>
      <c r="T284" s="189" t="n"/>
      <c r="U284" s="189" t="n"/>
      <c r="V284" s="189" t="n"/>
      <c r="W284" s="189" t="n"/>
      <c r="X284" s="189" t="n"/>
      <c r="Y284" s="189" t="n"/>
      <c r="Z284" s="189" t="n"/>
      <c r="AA284" s="189" t="n"/>
      <c r="AB284" s="189" t="n"/>
      <c r="AC284" s="189" t="n"/>
      <c r="AD284" s="189" t="n"/>
      <c r="AE284" s="189" t="n"/>
      <c r="AF284" s="189" t="n"/>
      <c r="AG284" s="189" t="n"/>
      <c r="AH284" s="189" t="n"/>
      <c r="AI284" s="51" t="inlineStr">
        <is>
          <t>U9θ</t>
        </is>
      </c>
    </row>
    <row r="285">
      <c r="B285" s="189" t="n"/>
      <c r="C285" s="189" t="n"/>
      <c r="D285" s="189" t="n"/>
      <c r="E285" s="189" t="n"/>
      <c r="F285" s="189" t="n"/>
      <c r="G285" s="189" t="n"/>
      <c r="H285" s="189" t="n"/>
      <c r="I285" s="189" t="n"/>
      <c r="J285" s="189" t="n"/>
      <c r="K285" s="189" t="n"/>
      <c r="L285" s="189" t="n"/>
      <c r="M285" s="189" t="n"/>
      <c r="N285" s="189" t="n"/>
      <c r="O285" s="189" t="n"/>
      <c r="P285" s="189" t="n"/>
      <c r="Q285" s="189" t="n"/>
      <c r="R285" s="189" t="n"/>
      <c r="S285" s="189" t="n"/>
      <c r="T285" s="189" t="n"/>
      <c r="U285" s="189" t="n"/>
      <c r="V285" s="189" t="n"/>
      <c r="W285" s="189" t="n"/>
      <c r="X285" s="189" t="n"/>
      <c r="Y285" s="189" t="n"/>
      <c r="Z285" s="189" t="n"/>
      <c r="AA285" s="189" t="n"/>
      <c r="AB285" s="189" t="n"/>
      <c r="AC285" s="189" t="n"/>
      <c r="AD285" s="189" t="n"/>
      <c r="AE285" s="189" t="n"/>
      <c r="AF285" s="189" t="n"/>
      <c r="AG285" s="189" t="n"/>
      <c r="AH285" s="189" t="n"/>
      <c r="AI285" s="51" t="inlineStr">
        <is>
          <t>U10X</t>
        </is>
      </c>
    </row>
    <row r="286">
      <c r="B286" s="189" t="n"/>
      <c r="C286" s="189" t="n"/>
      <c r="D286" s="189" t="n"/>
      <c r="E286" s="189" t="n"/>
      <c r="F286" s="189" t="n"/>
      <c r="G286" s="189" t="n"/>
      <c r="H286" s="189" t="n"/>
      <c r="I286" s="189" t="n"/>
      <c r="J286" s="189" t="n"/>
      <c r="K286" s="189" t="n"/>
      <c r="L286" s="189" t="n"/>
      <c r="M286" s="189" t="n"/>
      <c r="N286" s="189" t="n"/>
      <c r="O286" s="189" t="n"/>
      <c r="P286" s="189" t="n"/>
      <c r="Q286" s="189" t="n"/>
      <c r="R286" s="189" t="n"/>
      <c r="S286" s="189" t="n"/>
      <c r="T286" s="189" t="n"/>
      <c r="U286" s="189" t="n"/>
      <c r="V286" s="189" t="n"/>
      <c r="W286" s="189" t="n"/>
      <c r="X286" s="189" t="n"/>
      <c r="Y286" s="189" t="n"/>
      <c r="Z286" s="189" t="n"/>
      <c r="AA286" s="189" t="n"/>
      <c r="AB286" s="189" t="n"/>
      <c r="AC286" s="189" t="n"/>
      <c r="AD286" s="189" t="n"/>
      <c r="AE286" s="189" t="n"/>
      <c r="AF286" s="189" t="n"/>
      <c r="AG286" s="189" t="n"/>
      <c r="AH286" s="189" t="n"/>
      <c r="AI286" s="51" t="inlineStr">
        <is>
          <t>U10Y</t>
        </is>
      </c>
    </row>
    <row r="287">
      <c r="B287" s="189" t="n"/>
      <c r="C287" s="189" t="n"/>
      <c r="D287" s="189" t="n"/>
      <c r="E287" s="189" t="n"/>
      <c r="F287" s="189" t="n"/>
      <c r="G287" s="189" t="n"/>
      <c r="H287" s="189" t="n"/>
      <c r="I287" s="189" t="n"/>
      <c r="J287" s="189" t="n"/>
      <c r="K287" s="189" t="n"/>
      <c r="L287" s="189" t="n"/>
      <c r="M287" s="189" t="n"/>
      <c r="N287" s="189" t="n"/>
      <c r="O287" s="189" t="n"/>
      <c r="P287" s="189" t="n"/>
      <c r="Q287" s="189" t="n"/>
      <c r="R287" s="189" t="n"/>
      <c r="S287" s="189" t="n"/>
      <c r="T287" s="189" t="n"/>
      <c r="U287" s="189" t="n"/>
      <c r="V287" s="189" t="n"/>
      <c r="W287" s="189" t="n"/>
      <c r="X287" s="189" t="n"/>
      <c r="Y287" s="189" t="n"/>
      <c r="Z287" s="189" t="n"/>
      <c r="AA287" s="189" t="n"/>
      <c r="AB287" s="189" t="n"/>
      <c r="AC287" s="189" t="n"/>
      <c r="AD287" s="189" t="n"/>
      <c r="AE287" s="189" t="n"/>
      <c r="AF287" s="189" t="n"/>
      <c r="AG287" s="189" t="n"/>
      <c r="AH287" s="189" t="n"/>
      <c r="AI287" s="51" t="inlineStr">
        <is>
          <t>U10θ</t>
        </is>
      </c>
    </row>
    <row r="288">
      <c r="B288" s="189" t="n"/>
      <c r="C288" s="189" t="n"/>
      <c r="D288" s="189" t="n"/>
      <c r="E288" s="189" t="n"/>
      <c r="F288" s="189" t="n"/>
      <c r="G288" s="189" t="n"/>
      <c r="H288" s="189" t="n"/>
      <c r="I288" s="189" t="n"/>
      <c r="J288" s="189" t="n"/>
      <c r="K288" s="189" t="n"/>
      <c r="L288" s="189" t="n"/>
      <c r="M288" s="189" t="n"/>
      <c r="N288" s="189" t="n"/>
      <c r="O288" s="189" t="n"/>
      <c r="P288" s="189" t="n"/>
      <c r="Q288" s="189" t="n"/>
      <c r="R288" s="189" t="n"/>
      <c r="S288" s="189" t="n"/>
      <c r="T288" s="189" t="n"/>
      <c r="U288" s="189" t="n"/>
      <c r="V288" s="189" t="n"/>
      <c r="W288" s="189" t="n"/>
      <c r="X288" s="189" t="n"/>
      <c r="Y288" s="189" t="n"/>
      <c r="Z288" s="189" t="n"/>
      <c r="AA288" s="189" t="n"/>
      <c r="AB288" s="189" t="n"/>
      <c r="AC288" s="189" t="n"/>
      <c r="AD288" s="189" t="n"/>
      <c r="AE288" s="189" t="n"/>
      <c r="AF288" s="189" t="n"/>
      <c r="AG288" s="189" t="n"/>
      <c r="AH288" s="189" t="n"/>
      <c r="AI288" s="51" t="inlineStr">
        <is>
          <t>U11X</t>
        </is>
      </c>
    </row>
    <row r="289">
      <c r="B289" s="189" t="n"/>
      <c r="C289" s="189" t="n"/>
      <c r="D289" s="189" t="n"/>
      <c r="E289" s="189" t="n"/>
      <c r="F289" s="189" t="n"/>
      <c r="G289" s="189" t="n"/>
      <c r="H289" s="189" t="n"/>
      <c r="I289" s="189" t="n"/>
      <c r="J289" s="189" t="n"/>
      <c r="K289" s="189" t="n"/>
      <c r="L289" s="189" t="n"/>
      <c r="M289" s="189" t="n"/>
      <c r="N289" s="189" t="n"/>
      <c r="O289" s="189" t="n"/>
      <c r="P289" s="189" t="n"/>
      <c r="Q289" s="189" t="n"/>
      <c r="R289" s="189" t="n"/>
      <c r="S289" s="189" t="n"/>
      <c r="T289" s="189" t="n"/>
      <c r="U289" s="189" t="n"/>
      <c r="V289" s="189" t="n"/>
      <c r="W289" s="189" t="n"/>
      <c r="X289" s="189" t="n"/>
      <c r="Y289" s="189" t="n"/>
      <c r="Z289" s="189" t="n"/>
      <c r="AA289" s="189" t="n"/>
      <c r="AB289" s="189" t="n"/>
      <c r="AC289" s="189" t="n"/>
      <c r="AD289" s="189" t="n"/>
      <c r="AE289" s="189" t="n"/>
      <c r="AF289" s="189" t="n"/>
      <c r="AG289" s="189" t="n"/>
      <c r="AH289" s="189" t="n"/>
      <c r="AI289" s="51" t="inlineStr">
        <is>
          <t>U11Y</t>
        </is>
      </c>
    </row>
    <row r="290">
      <c r="B290" s="189" t="n"/>
      <c r="C290" s="189" t="n"/>
      <c r="D290" s="189" t="n"/>
      <c r="E290" s="189" t="n"/>
      <c r="F290" s="189" t="n"/>
      <c r="G290" s="189" t="n"/>
      <c r="H290" s="189" t="n"/>
      <c r="I290" s="189" t="n"/>
      <c r="J290" s="189" t="n"/>
      <c r="K290" s="189" t="n"/>
      <c r="L290" s="189" t="n"/>
      <c r="M290" s="189" t="n"/>
      <c r="N290" s="189" t="n"/>
      <c r="O290" s="189" t="n"/>
      <c r="P290" s="189" t="n"/>
      <c r="Q290" s="189" t="n"/>
      <c r="R290" s="189" t="n"/>
      <c r="S290" s="189" t="n"/>
      <c r="T290" s="189" t="n"/>
      <c r="U290" s="189" t="n"/>
      <c r="V290" s="189" t="n"/>
      <c r="W290" s="189" t="n"/>
      <c r="X290" s="189" t="n"/>
      <c r="Y290" s="189" t="n"/>
      <c r="Z290" s="189" t="n"/>
      <c r="AA290" s="189" t="n"/>
      <c r="AB290" s="189" t="n"/>
      <c r="AC290" s="189" t="n"/>
      <c r="AD290" s="189" t="n"/>
      <c r="AE290" s="189" t="n"/>
      <c r="AF290" s="189" t="n"/>
      <c r="AG290" s="189" t="n"/>
      <c r="AH290" s="189" t="n"/>
      <c r="AI290" s="51" t="inlineStr">
        <is>
          <t>U11θ</t>
        </is>
      </c>
    </row>
    <row r="292">
      <c r="B292" s="51">
        <f>IF(C28="","", CONCATENATE("U",C28,C$21))</f>
        <v/>
      </c>
      <c r="C292" s="51">
        <f>IF(D28="","", CONCATENATE("U",D28,D$21))</f>
        <v/>
      </c>
      <c r="D292" s="51">
        <f>IF(E28="","", CONCATENATE("U",E28,E$21))</f>
        <v/>
      </c>
      <c r="E292" s="51">
        <f>IF(F28="","", CONCATENATE("U",F28,F$21))</f>
        <v/>
      </c>
      <c r="F292" s="51">
        <f>IF(G28="","", CONCATENATE("U",G28,G$21))</f>
        <v/>
      </c>
      <c r="G292" s="51">
        <f>IF(H28="","", CONCATENATE("U",H28,H$21))</f>
        <v/>
      </c>
    </row>
    <row r="293">
      <c r="B293" s="8">
        <f>IF(I15="", 0, O15*J15*J15+P15*K15*K15)</f>
        <v/>
      </c>
      <c r="C293" s="189">
        <f>IF(I15="", 0, (O15-P15)*(J15*K15))</f>
        <v/>
      </c>
      <c r="D293" s="189">
        <f>IF(I15="", 0, -Q15*K15)</f>
        <v/>
      </c>
      <c r="E293" s="189">
        <f>-B293</f>
        <v/>
      </c>
      <c r="F293" s="189">
        <f>-C293</f>
        <v/>
      </c>
      <c r="G293" s="189">
        <f>D293</f>
        <v/>
      </c>
      <c r="H293" s="51">
        <f>B292</f>
        <v/>
      </c>
    </row>
    <row r="294">
      <c r="B294" s="189">
        <f>C293</f>
        <v/>
      </c>
      <c r="C294" s="8">
        <f>IF(I15="", 0, O15*K15*K15+P15*J15*J15)</f>
        <v/>
      </c>
      <c r="D294" s="189">
        <f>IF(I15="", 0, Q15*J15)</f>
        <v/>
      </c>
      <c r="E294" s="189">
        <f>-B294</f>
        <v/>
      </c>
      <c r="F294" s="189">
        <f>-C294</f>
        <v/>
      </c>
      <c r="G294" s="189">
        <f>D294</f>
        <v/>
      </c>
      <c r="H294" s="51">
        <f>C292</f>
        <v/>
      </c>
    </row>
    <row r="295">
      <c r="A295" s="118" t="inlineStr">
        <is>
          <t>K7 =</t>
        </is>
      </c>
      <c r="B295" s="189">
        <f>D293</f>
        <v/>
      </c>
      <c r="C295" s="189">
        <f>D294</f>
        <v/>
      </c>
      <c r="D295" s="8">
        <f>IF(I15="", 0, R15)</f>
        <v/>
      </c>
      <c r="E295" s="189">
        <f>-B295</f>
        <v/>
      </c>
      <c r="F295" s="189">
        <f>-C295</f>
        <v/>
      </c>
      <c r="G295" s="189">
        <f>IF(I15="", 0, S15)</f>
        <v/>
      </c>
      <c r="H295" s="51">
        <f>D292</f>
        <v/>
      </c>
    </row>
    <row r="296">
      <c r="B296" s="189">
        <f>E293</f>
        <v/>
      </c>
      <c r="C296" s="189">
        <f>E294</f>
        <v/>
      </c>
      <c r="D296" s="189">
        <f>E295</f>
        <v/>
      </c>
      <c r="E296" s="8">
        <f>B293</f>
        <v/>
      </c>
      <c r="F296" s="189">
        <f>C293</f>
        <v/>
      </c>
      <c r="G296" s="189">
        <f>-D293</f>
        <v/>
      </c>
      <c r="H296" s="51">
        <f>E292</f>
        <v/>
      </c>
    </row>
    <row r="297">
      <c r="B297" s="189">
        <f>F293</f>
        <v/>
      </c>
      <c r="C297" s="189">
        <f>F294</f>
        <v/>
      </c>
      <c r="D297" s="189">
        <f>F295</f>
        <v/>
      </c>
      <c r="E297" s="189">
        <f>F296</f>
        <v/>
      </c>
      <c r="F297" s="8">
        <f>C294</f>
        <v/>
      </c>
      <c r="G297" s="189">
        <f>-D294</f>
        <v/>
      </c>
      <c r="H297" s="51">
        <f>F292</f>
        <v/>
      </c>
    </row>
    <row r="298">
      <c r="B298" s="189">
        <f>G293</f>
        <v/>
      </c>
      <c r="C298" s="189">
        <f>G294</f>
        <v/>
      </c>
      <c r="D298" s="189">
        <f>G295</f>
        <v/>
      </c>
      <c r="E298" s="189">
        <f>G296</f>
        <v/>
      </c>
      <c r="F298" s="189">
        <f>G297</f>
        <v/>
      </c>
      <c r="G298" s="8">
        <f>D295</f>
        <v/>
      </c>
      <c r="H298" s="51">
        <f>G292</f>
        <v/>
      </c>
    </row>
    <row r="300">
      <c r="B300" s="51" t="inlineStr">
        <is>
          <t>U1X</t>
        </is>
      </c>
      <c r="C300" s="51" t="inlineStr">
        <is>
          <t>U1Y</t>
        </is>
      </c>
      <c r="D300" s="51" t="inlineStr">
        <is>
          <t>U1θ</t>
        </is>
      </c>
      <c r="E300" s="51" t="inlineStr">
        <is>
          <t>U2X</t>
        </is>
      </c>
      <c r="F300" s="51" t="inlineStr">
        <is>
          <t>U2Y</t>
        </is>
      </c>
      <c r="G300" s="51" t="inlineStr">
        <is>
          <t>U2θ</t>
        </is>
      </c>
      <c r="H300" s="51" t="inlineStr">
        <is>
          <t>U3X</t>
        </is>
      </c>
      <c r="I300" s="51" t="inlineStr">
        <is>
          <t>U3Y</t>
        </is>
      </c>
      <c r="J300" s="51" t="inlineStr">
        <is>
          <t>U3θ</t>
        </is>
      </c>
      <c r="K300" s="51" t="inlineStr">
        <is>
          <t>U4X</t>
        </is>
      </c>
      <c r="L300" s="51" t="inlineStr">
        <is>
          <t>U4Y</t>
        </is>
      </c>
      <c r="M300" s="51" t="inlineStr">
        <is>
          <t>U4θ</t>
        </is>
      </c>
      <c r="N300" s="51" t="inlineStr">
        <is>
          <t>U5X</t>
        </is>
      </c>
      <c r="O300" s="51" t="inlineStr">
        <is>
          <t>U5Y</t>
        </is>
      </c>
      <c r="P300" s="51" t="inlineStr">
        <is>
          <t>U5θ</t>
        </is>
      </c>
      <c r="Q300" s="51" t="inlineStr">
        <is>
          <t>U6X</t>
        </is>
      </c>
      <c r="R300" s="51" t="inlineStr">
        <is>
          <t>U6Y</t>
        </is>
      </c>
      <c r="S300" s="51" t="inlineStr">
        <is>
          <t>U6θ</t>
        </is>
      </c>
      <c r="T300" s="51" t="inlineStr">
        <is>
          <t>U7X</t>
        </is>
      </c>
      <c r="U300" s="51" t="inlineStr">
        <is>
          <t>U7Y</t>
        </is>
      </c>
      <c r="V300" s="51" t="inlineStr">
        <is>
          <t>U7θ</t>
        </is>
      </c>
      <c r="W300" s="51" t="inlineStr">
        <is>
          <t>U8X</t>
        </is>
      </c>
      <c r="X300" s="51" t="inlineStr">
        <is>
          <t>U8Y</t>
        </is>
      </c>
      <c r="Y300" s="51" t="inlineStr">
        <is>
          <t>U8θ</t>
        </is>
      </c>
      <c r="Z300" s="51" t="inlineStr">
        <is>
          <t>U9X</t>
        </is>
      </c>
      <c r="AA300" s="51" t="inlineStr">
        <is>
          <t>U9Y</t>
        </is>
      </c>
      <c r="AB300" s="51" t="inlineStr">
        <is>
          <t>U9θ</t>
        </is>
      </c>
      <c r="AC300" s="51" t="inlineStr">
        <is>
          <t>U10X</t>
        </is>
      </c>
      <c r="AD300" s="51" t="inlineStr">
        <is>
          <t>U10Y</t>
        </is>
      </c>
      <c r="AE300" s="51" t="inlineStr">
        <is>
          <t>U10θ</t>
        </is>
      </c>
      <c r="AF300" s="51" t="inlineStr">
        <is>
          <t>U11X</t>
        </is>
      </c>
      <c r="AG300" s="51" t="inlineStr">
        <is>
          <t>U11Y</t>
        </is>
      </c>
      <c r="AH300" s="51" t="inlineStr">
        <is>
          <t>U11θ</t>
        </is>
      </c>
    </row>
    <row r="301">
      <c r="B301" s="189" t="n"/>
      <c r="C301" s="189" t="n"/>
      <c r="D301" s="189" t="n"/>
      <c r="E301" s="189" t="n"/>
      <c r="F301" s="189" t="n"/>
      <c r="G301" s="189" t="n"/>
      <c r="H301" s="189" t="n"/>
      <c r="I301" s="189" t="n"/>
      <c r="J301" s="189" t="n"/>
      <c r="K301" s="189" t="n"/>
      <c r="L301" s="189" t="n"/>
      <c r="M301" s="189" t="n"/>
      <c r="N301" s="189" t="n"/>
      <c r="O301" s="189" t="n"/>
      <c r="P301" s="189" t="n"/>
      <c r="Q301" s="189" t="n"/>
      <c r="R301" s="189" t="n"/>
      <c r="S301" s="189" t="n"/>
      <c r="T301" s="189" t="n"/>
      <c r="U301" s="189" t="n"/>
      <c r="V301" s="189" t="n"/>
      <c r="W301" s="189" t="n"/>
      <c r="X301" s="189" t="n"/>
      <c r="Y301" s="189" t="n"/>
      <c r="Z301" s="189" t="n"/>
      <c r="AA301" s="189" t="n"/>
      <c r="AB301" s="189" t="n"/>
      <c r="AC301" s="189" t="n"/>
      <c r="AD301" s="189" t="n"/>
      <c r="AE301" s="189" t="n"/>
      <c r="AF301" s="189" t="n"/>
      <c r="AG301" s="189" t="n"/>
      <c r="AH301" s="189" t="n"/>
      <c r="AI301" s="51" t="inlineStr">
        <is>
          <t>U1X</t>
        </is>
      </c>
    </row>
    <row r="302">
      <c r="B302" s="189" t="n"/>
      <c r="C302" s="189" t="n"/>
      <c r="D302" s="189" t="n"/>
      <c r="E302" s="189" t="n"/>
      <c r="F302" s="189" t="n"/>
      <c r="G302" s="189" t="n"/>
      <c r="H302" s="189" t="n"/>
      <c r="I302" s="189" t="n"/>
      <c r="J302" s="189" t="n"/>
      <c r="K302" s="189" t="n"/>
      <c r="L302" s="189" t="n"/>
      <c r="M302" s="189" t="n"/>
      <c r="N302" s="189" t="n"/>
      <c r="O302" s="189" t="n"/>
      <c r="P302" s="189" t="n"/>
      <c r="Q302" s="189" t="n"/>
      <c r="R302" s="189" t="n"/>
      <c r="S302" s="189" t="n"/>
      <c r="T302" s="189" t="n"/>
      <c r="U302" s="189" t="n"/>
      <c r="V302" s="189" t="n"/>
      <c r="W302" s="189" t="n"/>
      <c r="X302" s="189" t="n"/>
      <c r="Y302" s="189" t="n"/>
      <c r="Z302" s="189" t="n"/>
      <c r="AA302" s="189" t="n"/>
      <c r="AB302" s="189" t="n"/>
      <c r="AC302" s="189" t="n"/>
      <c r="AD302" s="189" t="n"/>
      <c r="AE302" s="189" t="n"/>
      <c r="AF302" s="189" t="n"/>
      <c r="AG302" s="189" t="n"/>
      <c r="AH302" s="189" t="n"/>
      <c r="AI302" s="51" t="inlineStr">
        <is>
          <t>U1Y</t>
        </is>
      </c>
    </row>
    <row r="303">
      <c r="B303" s="189" t="n"/>
      <c r="C303" s="189" t="n"/>
      <c r="D303" s="189" t="n"/>
      <c r="E303" s="189" t="n"/>
      <c r="F303" s="189" t="n"/>
      <c r="G303" s="189" t="n"/>
      <c r="H303" s="189" t="n"/>
      <c r="I303" s="189" t="n"/>
      <c r="J303" s="189" t="n"/>
      <c r="K303" s="189" t="n"/>
      <c r="L303" s="189" t="n"/>
      <c r="M303" s="189" t="n"/>
      <c r="N303" s="189" t="n"/>
      <c r="O303" s="189" t="n"/>
      <c r="P303" s="189" t="n"/>
      <c r="Q303" s="189" t="n"/>
      <c r="R303" s="189" t="n"/>
      <c r="S303" s="189" t="n"/>
      <c r="T303" s="189" t="n"/>
      <c r="U303" s="189" t="n"/>
      <c r="V303" s="189" t="n"/>
      <c r="W303" s="189" t="n"/>
      <c r="X303" s="189" t="n"/>
      <c r="Y303" s="189" t="n"/>
      <c r="Z303" s="189" t="n"/>
      <c r="AA303" s="189" t="n"/>
      <c r="AB303" s="189" t="n"/>
      <c r="AC303" s="189" t="n"/>
      <c r="AD303" s="189" t="n"/>
      <c r="AE303" s="189" t="n"/>
      <c r="AF303" s="189" t="n"/>
      <c r="AG303" s="189" t="n"/>
      <c r="AH303" s="189" t="n"/>
      <c r="AI303" s="51" t="inlineStr">
        <is>
          <t>U1θ</t>
        </is>
      </c>
    </row>
    <row r="304">
      <c r="B304" s="189" t="n"/>
      <c r="C304" s="189" t="n"/>
      <c r="D304" s="189" t="n"/>
      <c r="E304" s="189" t="n"/>
      <c r="F304" s="189" t="n"/>
      <c r="G304" s="189" t="n"/>
      <c r="H304" s="189" t="n"/>
      <c r="I304" s="189" t="n"/>
      <c r="J304" s="189" t="n"/>
      <c r="K304" s="189" t="n"/>
      <c r="L304" s="189" t="n"/>
      <c r="M304" s="189" t="n"/>
      <c r="N304" s="189" t="n"/>
      <c r="O304" s="189" t="n"/>
      <c r="P304" s="189" t="n"/>
      <c r="Q304" s="189" t="n"/>
      <c r="R304" s="189" t="n"/>
      <c r="S304" s="189" t="n"/>
      <c r="T304" s="189" t="n"/>
      <c r="U304" s="189" t="n"/>
      <c r="V304" s="189" t="n"/>
      <c r="W304" s="189" t="n"/>
      <c r="X304" s="189" t="n"/>
      <c r="Y304" s="189" t="n"/>
      <c r="Z304" s="189" t="n"/>
      <c r="AA304" s="189" t="n"/>
      <c r="AB304" s="189" t="n"/>
      <c r="AC304" s="189" t="n"/>
      <c r="AD304" s="189" t="n"/>
      <c r="AE304" s="189" t="n"/>
      <c r="AF304" s="189" t="n"/>
      <c r="AG304" s="189" t="n"/>
      <c r="AH304" s="189" t="n"/>
      <c r="AI304" s="51" t="inlineStr">
        <is>
          <t>U2X</t>
        </is>
      </c>
    </row>
    <row r="305">
      <c r="B305" s="189" t="n"/>
      <c r="C305" s="189" t="n"/>
      <c r="D305" s="189" t="n"/>
      <c r="E305" s="189" t="n"/>
      <c r="F305" s="189" t="n"/>
      <c r="G305" s="189" t="n"/>
      <c r="H305" s="189" t="n"/>
      <c r="I305" s="189" t="n"/>
      <c r="J305" s="189" t="n"/>
      <c r="K305" s="189" t="n"/>
      <c r="L305" s="189" t="n"/>
      <c r="M305" s="189" t="n"/>
      <c r="N305" s="189" t="n"/>
      <c r="O305" s="189" t="n"/>
      <c r="P305" s="189" t="n"/>
      <c r="Q305" s="189" t="n"/>
      <c r="R305" s="189" t="n"/>
      <c r="S305" s="189" t="n"/>
      <c r="T305" s="189" t="n"/>
      <c r="U305" s="189" t="n"/>
      <c r="V305" s="189" t="n"/>
      <c r="W305" s="189" t="n"/>
      <c r="X305" s="189" t="n"/>
      <c r="Y305" s="189" t="n"/>
      <c r="Z305" s="189" t="n"/>
      <c r="AA305" s="189" t="n"/>
      <c r="AB305" s="189" t="n"/>
      <c r="AC305" s="189" t="n"/>
      <c r="AD305" s="189" t="n"/>
      <c r="AE305" s="189" t="n"/>
      <c r="AF305" s="189" t="n"/>
      <c r="AG305" s="189" t="n"/>
      <c r="AH305" s="189" t="n"/>
      <c r="AI305" s="51" t="inlineStr">
        <is>
          <t>U2Y</t>
        </is>
      </c>
    </row>
    <row r="306">
      <c r="B306" s="189" t="n"/>
      <c r="C306" s="189" t="n"/>
      <c r="D306" s="189" t="n"/>
      <c r="E306" s="189" t="n"/>
      <c r="F306" s="189" t="n"/>
      <c r="G306" s="189" t="n"/>
      <c r="H306" s="189" t="n"/>
      <c r="I306" s="189" t="n"/>
      <c r="J306" s="189" t="n"/>
      <c r="K306" s="189" t="n"/>
      <c r="L306" s="189" t="n"/>
      <c r="M306" s="189" t="n"/>
      <c r="N306" s="189" t="n"/>
      <c r="O306" s="189" t="n"/>
      <c r="P306" s="189" t="n"/>
      <c r="Q306" s="189" t="n"/>
      <c r="R306" s="189" t="n"/>
      <c r="S306" s="189" t="n"/>
      <c r="T306" s="189" t="n"/>
      <c r="U306" s="189" t="n"/>
      <c r="V306" s="189" t="n"/>
      <c r="W306" s="189" t="n"/>
      <c r="X306" s="189" t="n"/>
      <c r="Y306" s="189" t="n"/>
      <c r="Z306" s="189" t="n"/>
      <c r="AA306" s="189" t="n"/>
      <c r="AB306" s="189" t="n"/>
      <c r="AC306" s="189" t="n"/>
      <c r="AD306" s="189" t="n"/>
      <c r="AE306" s="189" t="n"/>
      <c r="AF306" s="189" t="n"/>
      <c r="AG306" s="189" t="n"/>
      <c r="AH306" s="189" t="n"/>
      <c r="AI306" s="51" t="inlineStr">
        <is>
          <t>U2θ</t>
        </is>
      </c>
    </row>
    <row r="307">
      <c r="B307" s="189" t="n"/>
      <c r="C307" s="189" t="n"/>
      <c r="D307" s="189" t="n"/>
      <c r="E307" s="189" t="n"/>
      <c r="F307" s="189" t="n"/>
      <c r="G307" s="189" t="n"/>
      <c r="H307" s="189" t="n"/>
      <c r="I307" s="189" t="n"/>
      <c r="J307" s="189" t="n"/>
      <c r="K307" s="189" t="n"/>
      <c r="L307" s="189" t="n"/>
      <c r="M307" s="189" t="n"/>
      <c r="N307" s="189" t="n"/>
      <c r="O307" s="189" t="n"/>
      <c r="P307" s="189" t="n"/>
      <c r="Q307" s="189" t="n"/>
      <c r="R307" s="189" t="n"/>
      <c r="S307" s="189" t="n"/>
      <c r="T307" s="189" t="n"/>
      <c r="U307" s="189" t="n"/>
      <c r="V307" s="189" t="n"/>
      <c r="W307" s="189" t="n"/>
      <c r="X307" s="189" t="n"/>
      <c r="Y307" s="189" t="n"/>
      <c r="Z307" s="189" t="n"/>
      <c r="AA307" s="189" t="n"/>
      <c r="AB307" s="189" t="n"/>
      <c r="AC307" s="189" t="n"/>
      <c r="AD307" s="189" t="n"/>
      <c r="AE307" s="189" t="n"/>
      <c r="AF307" s="189" t="n"/>
      <c r="AG307" s="189" t="n"/>
      <c r="AH307" s="189" t="n"/>
      <c r="AI307" s="51" t="inlineStr">
        <is>
          <t>U3X</t>
        </is>
      </c>
    </row>
    <row r="308">
      <c r="B308" s="189" t="n"/>
      <c r="C308" s="189" t="n"/>
      <c r="D308" s="189" t="n"/>
      <c r="E308" s="189" t="n"/>
      <c r="F308" s="189" t="n"/>
      <c r="G308" s="189" t="n"/>
      <c r="H308" s="189" t="n"/>
      <c r="I308" s="189" t="n"/>
      <c r="J308" s="189" t="n"/>
      <c r="K308" s="189" t="n"/>
      <c r="L308" s="189" t="n"/>
      <c r="M308" s="189" t="n"/>
      <c r="N308" s="189" t="n"/>
      <c r="O308" s="189" t="n"/>
      <c r="P308" s="189" t="n"/>
      <c r="Q308" s="189" t="n"/>
      <c r="R308" s="189" t="n"/>
      <c r="S308" s="189" t="n"/>
      <c r="T308" s="189" t="n"/>
      <c r="U308" s="189" t="n"/>
      <c r="V308" s="189" t="n"/>
      <c r="W308" s="189" t="n"/>
      <c r="X308" s="189" t="n"/>
      <c r="Y308" s="189" t="n"/>
      <c r="Z308" s="189" t="n"/>
      <c r="AA308" s="189" t="n"/>
      <c r="AB308" s="189" t="n"/>
      <c r="AC308" s="189" t="n"/>
      <c r="AD308" s="189" t="n"/>
      <c r="AE308" s="189" t="n"/>
      <c r="AF308" s="189" t="n"/>
      <c r="AG308" s="189" t="n"/>
      <c r="AH308" s="189" t="n"/>
      <c r="AI308" s="51" t="inlineStr">
        <is>
          <t>U3Y</t>
        </is>
      </c>
    </row>
    <row r="309">
      <c r="B309" s="189" t="n"/>
      <c r="C309" s="189" t="n"/>
      <c r="D309" s="189" t="n"/>
      <c r="E309" s="189" t="n"/>
      <c r="F309" s="189" t="n"/>
      <c r="G309" s="189" t="n"/>
      <c r="H309" s="189" t="n"/>
      <c r="I309" s="189" t="n"/>
      <c r="J309" s="189" t="n"/>
      <c r="K309" s="189" t="n"/>
      <c r="L309" s="189" t="n"/>
      <c r="M309" s="189" t="n"/>
      <c r="N309" s="189" t="n"/>
      <c r="O309" s="189" t="n"/>
      <c r="P309" s="189" t="n"/>
      <c r="Q309" s="189" t="n"/>
      <c r="R309" s="189" t="n"/>
      <c r="S309" s="189" t="n"/>
      <c r="T309" s="189" t="n"/>
      <c r="U309" s="189" t="n"/>
      <c r="V309" s="189" t="n"/>
      <c r="W309" s="189" t="n"/>
      <c r="X309" s="189" t="n"/>
      <c r="Y309" s="189" t="n"/>
      <c r="Z309" s="189" t="n"/>
      <c r="AA309" s="189" t="n"/>
      <c r="AB309" s="189" t="n"/>
      <c r="AC309" s="189" t="n"/>
      <c r="AD309" s="189" t="n"/>
      <c r="AE309" s="189" t="n"/>
      <c r="AF309" s="189" t="n"/>
      <c r="AG309" s="189" t="n"/>
      <c r="AH309" s="189" t="n"/>
      <c r="AI309" s="51" t="inlineStr">
        <is>
          <t>U3θ</t>
        </is>
      </c>
    </row>
    <row r="310">
      <c r="B310" s="189" t="n"/>
      <c r="C310" s="189" t="n"/>
      <c r="D310" s="189" t="n"/>
      <c r="E310" s="189" t="n"/>
      <c r="F310" s="189" t="n"/>
      <c r="G310" s="189" t="n"/>
      <c r="H310" s="189" t="n"/>
      <c r="I310" s="189" t="n"/>
      <c r="J310" s="189" t="n"/>
      <c r="K310" s="189" t="n"/>
      <c r="L310" s="189" t="n"/>
      <c r="M310" s="189" t="n"/>
      <c r="N310" s="189" t="n"/>
      <c r="O310" s="189" t="n"/>
      <c r="P310" s="189" t="n"/>
      <c r="Q310" s="189" t="n"/>
      <c r="R310" s="189" t="n"/>
      <c r="S310" s="189" t="n"/>
      <c r="T310" s="189" t="n"/>
      <c r="U310" s="189" t="n"/>
      <c r="V310" s="189" t="n"/>
      <c r="W310" s="189" t="n"/>
      <c r="X310" s="189" t="n"/>
      <c r="Y310" s="189" t="n"/>
      <c r="Z310" s="189" t="n"/>
      <c r="AA310" s="189" t="n"/>
      <c r="AB310" s="189" t="n"/>
      <c r="AC310" s="189" t="n"/>
      <c r="AD310" s="189" t="n"/>
      <c r="AE310" s="189" t="n"/>
      <c r="AF310" s="189" t="n"/>
      <c r="AG310" s="189" t="n"/>
      <c r="AH310" s="189" t="n"/>
      <c r="AI310" s="51" t="inlineStr">
        <is>
          <t>U4X</t>
        </is>
      </c>
    </row>
    <row r="311">
      <c r="B311" s="189" t="n"/>
      <c r="C311" s="189" t="n"/>
      <c r="D311" s="189" t="n"/>
      <c r="E311" s="189" t="n"/>
      <c r="F311" s="189" t="n"/>
      <c r="G311" s="189" t="n"/>
      <c r="H311" s="189" t="n"/>
      <c r="I311" s="189" t="n"/>
      <c r="J311" s="189" t="n"/>
      <c r="K311" s="189" t="n"/>
      <c r="L311" s="189" t="n"/>
      <c r="M311" s="189" t="n"/>
      <c r="N311" s="189" t="n"/>
      <c r="O311" s="189" t="n"/>
      <c r="P311" s="189" t="n"/>
      <c r="Q311" s="189" t="n"/>
      <c r="R311" s="189" t="n"/>
      <c r="S311" s="189" t="n"/>
      <c r="T311" s="189" t="n"/>
      <c r="U311" s="189" t="n"/>
      <c r="V311" s="189" t="n"/>
      <c r="W311" s="189" t="n"/>
      <c r="X311" s="189" t="n"/>
      <c r="Y311" s="189" t="n"/>
      <c r="Z311" s="189" t="n"/>
      <c r="AA311" s="189" t="n"/>
      <c r="AB311" s="189" t="n"/>
      <c r="AC311" s="189" t="n"/>
      <c r="AD311" s="189" t="n"/>
      <c r="AE311" s="189" t="n"/>
      <c r="AF311" s="189" t="n"/>
      <c r="AG311" s="189" t="n"/>
      <c r="AH311" s="189" t="n"/>
      <c r="AI311" s="51" t="inlineStr">
        <is>
          <t>U4Y</t>
        </is>
      </c>
    </row>
    <row r="312">
      <c r="B312" s="189" t="n"/>
      <c r="C312" s="189" t="n"/>
      <c r="D312" s="189" t="n"/>
      <c r="E312" s="189" t="n"/>
      <c r="F312" s="189" t="n"/>
      <c r="G312" s="189" t="n"/>
      <c r="H312" s="189" t="n"/>
      <c r="I312" s="189" t="n"/>
      <c r="J312" s="189" t="n"/>
      <c r="K312" s="189" t="n"/>
      <c r="L312" s="189" t="n"/>
      <c r="M312" s="189" t="n"/>
      <c r="N312" s="189" t="n"/>
      <c r="O312" s="189" t="n"/>
      <c r="P312" s="189" t="n"/>
      <c r="Q312" s="189" t="n"/>
      <c r="R312" s="189" t="n"/>
      <c r="S312" s="189" t="n"/>
      <c r="T312" s="189" t="n"/>
      <c r="U312" s="189" t="n"/>
      <c r="V312" s="189" t="n"/>
      <c r="W312" s="189" t="n"/>
      <c r="X312" s="189" t="n"/>
      <c r="Y312" s="189" t="n"/>
      <c r="Z312" s="189" t="n"/>
      <c r="AA312" s="189" t="n"/>
      <c r="AB312" s="189" t="n"/>
      <c r="AC312" s="189" t="n"/>
      <c r="AD312" s="189" t="n"/>
      <c r="AE312" s="189" t="n"/>
      <c r="AF312" s="189" t="n"/>
      <c r="AG312" s="189" t="n"/>
      <c r="AH312" s="189" t="n"/>
      <c r="AI312" s="51" t="inlineStr">
        <is>
          <t>U4θ</t>
        </is>
      </c>
    </row>
    <row r="313">
      <c r="B313" s="189" t="n"/>
      <c r="C313" s="189" t="n"/>
      <c r="D313" s="189" t="n"/>
      <c r="E313" s="189" t="n"/>
      <c r="F313" s="189" t="n"/>
      <c r="G313" s="189" t="n"/>
      <c r="H313" s="189" t="n"/>
      <c r="I313" s="189" t="n"/>
      <c r="J313" s="189" t="n"/>
      <c r="K313" s="189" t="n"/>
      <c r="L313" s="189" t="n"/>
      <c r="M313" s="189" t="n"/>
      <c r="N313" s="189" t="n"/>
      <c r="O313" s="189" t="n"/>
      <c r="P313" s="189" t="n"/>
      <c r="Q313" s="189" t="n"/>
      <c r="R313" s="189" t="n"/>
      <c r="S313" s="189" t="n"/>
      <c r="T313" s="189" t="n"/>
      <c r="U313" s="189" t="n"/>
      <c r="V313" s="189" t="n"/>
      <c r="W313" s="189" t="n"/>
      <c r="X313" s="189" t="n"/>
      <c r="Y313" s="189" t="n"/>
      <c r="Z313" s="189" t="n"/>
      <c r="AA313" s="189" t="n"/>
      <c r="AB313" s="189" t="n"/>
      <c r="AC313" s="189" t="n"/>
      <c r="AD313" s="189" t="n"/>
      <c r="AE313" s="189" t="n"/>
      <c r="AF313" s="189" t="n"/>
      <c r="AG313" s="189" t="n"/>
      <c r="AH313" s="189" t="n"/>
      <c r="AI313" s="51" t="inlineStr">
        <is>
          <t>U5X</t>
        </is>
      </c>
    </row>
    <row r="314">
      <c r="B314" s="189" t="n"/>
      <c r="C314" s="189" t="n"/>
      <c r="D314" s="189" t="n"/>
      <c r="E314" s="189" t="n"/>
      <c r="F314" s="189" t="n"/>
      <c r="G314" s="189" t="n"/>
      <c r="H314" s="189" t="n"/>
      <c r="I314" s="189" t="n"/>
      <c r="J314" s="189" t="n"/>
      <c r="K314" s="189" t="n"/>
      <c r="L314" s="189" t="n"/>
      <c r="M314" s="189" t="n"/>
      <c r="N314" s="189" t="n"/>
      <c r="O314" s="189" t="n"/>
      <c r="P314" s="189" t="n"/>
      <c r="Q314" s="189" t="n"/>
      <c r="R314" s="189" t="n"/>
      <c r="S314" s="189" t="n"/>
      <c r="T314" s="189" t="n"/>
      <c r="U314" s="189" t="n"/>
      <c r="V314" s="189" t="n"/>
      <c r="W314" s="189" t="n"/>
      <c r="X314" s="189" t="n"/>
      <c r="Y314" s="189" t="n"/>
      <c r="Z314" s="189" t="n"/>
      <c r="AA314" s="189" t="n"/>
      <c r="AB314" s="189" t="n"/>
      <c r="AC314" s="189" t="n"/>
      <c r="AD314" s="189" t="n"/>
      <c r="AE314" s="189" t="n"/>
      <c r="AF314" s="189" t="n"/>
      <c r="AG314" s="189" t="n"/>
      <c r="AH314" s="189" t="n"/>
      <c r="AI314" s="51" t="inlineStr">
        <is>
          <t>U5Y</t>
        </is>
      </c>
    </row>
    <row r="315">
      <c r="B315" s="189" t="n"/>
      <c r="C315" s="189" t="n"/>
      <c r="D315" s="189" t="n"/>
      <c r="E315" s="189" t="n"/>
      <c r="F315" s="189" t="n"/>
      <c r="G315" s="189" t="n"/>
      <c r="H315" s="189" t="n"/>
      <c r="I315" s="189" t="n"/>
      <c r="J315" s="189" t="n"/>
      <c r="K315" s="189" t="n"/>
      <c r="L315" s="189" t="n"/>
      <c r="M315" s="189" t="n"/>
      <c r="N315" s="189" t="n"/>
      <c r="O315" s="189" t="n"/>
      <c r="P315" s="189" t="n"/>
      <c r="Q315" s="189" t="n"/>
      <c r="R315" s="189" t="n"/>
      <c r="S315" s="189" t="n"/>
      <c r="T315" s="189" t="n"/>
      <c r="U315" s="189" t="n"/>
      <c r="V315" s="189" t="n"/>
      <c r="W315" s="189" t="n"/>
      <c r="X315" s="189" t="n"/>
      <c r="Y315" s="189" t="n"/>
      <c r="Z315" s="189" t="n"/>
      <c r="AA315" s="189" t="n"/>
      <c r="AB315" s="189" t="n"/>
      <c r="AC315" s="189" t="n"/>
      <c r="AD315" s="189" t="n"/>
      <c r="AE315" s="189" t="n"/>
      <c r="AF315" s="189" t="n"/>
      <c r="AG315" s="189" t="n"/>
      <c r="AH315" s="189" t="n"/>
      <c r="AI315" s="51" t="inlineStr">
        <is>
          <t>U5θ</t>
        </is>
      </c>
    </row>
    <row r="316">
      <c r="A316" s="118" t="inlineStr">
        <is>
          <t>K7 =</t>
        </is>
      </c>
      <c r="B316" s="189" t="n"/>
      <c r="C316" s="189" t="n"/>
      <c r="D316" s="189" t="n"/>
      <c r="E316" s="189" t="n"/>
      <c r="F316" s="189" t="n"/>
      <c r="G316" s="189" t="n"/>
      <c r="H316" s="189" t="n"/>
      <c r="I316" s="189" t="n"/>
      <c r="J316" s="189" t="n"/>
      <c r="K316" s="189" t="n"/>
      <c r="L316" s="189" t="n"/>
      <c r="M316" s="189" t="n"/>
      <c r="N316" s="189" t="n"/>
      <c r="O316" s="189" t="n"/>
      <c r="P316" s="189" t="n"/>
      <c r="Q316" s="189" t="n"/>
      <c r="R316" s="189" t="n"/>
      <c r="S316" s="189" t="n"/>
      <c r="T316" s="189" t="n"/>
      <c r="U316" s="189" t="n"/>
      <c r="V316" s="189" t="n"/>
      <c r="W316" s="189" t="n"/>
      <c r="X316" s="189" t="n"/>
      <c r="Y316" s="189" t="n"/>
      <c r="Z316" s="189" t="n"/>
      <c r="AA316" s="189" t="n"/>
      <c r="AB316" s="189" t="n"/>
      <c r="AC316" s="189" t="n"/>
      <c r="AD316" s="189" t="n"/>
      <c r="AE316" s="189" t="n"/>
      <c r="AF316" s="189" t="n"/>
      <c r="AG316" s="189" t="n"/>
      <c r="AH316" s="189" t="n"/>
      <c r="AI316" s="51" t="inlineStr">
        <is>
          <t>U6X</t>
        </is>
      </c>
    </row>
    <row r="317">
      <c r="B317" s="189" t="n"/>
      <c r="C317" s="189" t="n"/>
      <c r="D317" s="189" t="n"/>
      <c r="E317" s="189" t="n"/>
      <c r="F317" s="189" t="n"/>
      <c r="G317" s="189" t="n"/>
      <c r="H317" s="189" t="n"/>
      <c r="I317" s="189" t="n"/>
      <c r="J317" s="189" t="n"/>
      <c r="K317" s="189" t="n"/>
      <c r="L317" s="189" t="n"/>
      <c r="M317" s="189" t="n"/>
      <c r="N317" s="189" t="n"/>
      <c r="O317" s="189" t="n"/>
      <c r="P317" s="189" t="n"/>
      <c r="Q317" s="189" t="n"/>
      <c r="R317" s="189" t="n"/>
      <c r="S317" s="189" t="n"/>
      <c r="T317" s="189" t="n"/>
      <c r="U317" s="189" t="n"/>
      <c r="V317" s="189" t="n"/>
      <c r="W317" s="189" t="n"/>
      <c r="X317" s="189" t="n"/>
      <c r="Y317" s="189" t="n"/>
      <c r="Z317" s="189" t="n"/>
      <c r="AA317" s="189" t="n"/>
      <c r="AB317" s="189" t="n"/>
      <c r="AC317" s="189" t="n"/>
      <c r="AD317" s="189" t="n"/>
      <c r="AE317" s="189" t="n"/>
      <c r="AF317" s="189" t="n"/>
      <c r="AG317" s="189" t="n"/>
      <c r="AH317" s="189" t="n"/>
      <c r="AI317" s="51" t="inlineStr">
        <is>
          <t>U6Y</t>
        </is>
      </c>
    </row>
    <row r="318">
      <c r="B318" s="189" t="n"/>
      <c r="C318" s="189" t="n"/>
      <c r="D318" s="189" t="n"/>
      <c r="E318" s="189" t="n"/>
      <c r="F318" s="189" t="n"/>
      <c r="G318" s="189" t="n"/>
      <c r="H318" s="189" t="n"/>
      <c r="I318" s="189" t="n"/>
      <c r="J318" s="189" t="n"/>
      <c r="K318" s="189" t="n"/>
      <c r="L318" s="189" t="n"/>
      <c r="M318" s="189" t="n"/>
      <c r="N318" s="189" t="n"/>
      <c r="O318" s="189" t="n"/>
      <c r="P318" s="189" t="n"/>
      <c r="Q318" s="189" t="n"/>
      <c r="R318" s="189" t="n"/>
      <c r="S318" s="189" t="n"/>
      <c r="T318" s="189" t="n"/>
      <c r="U318" s="189" t="n"/>
      <c r="V318" s="189" t="n"/>
      <c r="W318" s="189" t="n"/>
      <c r="X318" s="189" t="n"/>
      <c r="Y318" s="189" t="n"/>
      <c r="Z318" s="189" t="n"/>
      <c r="AA318" s="189" t="n"/>
      <c r="AB318" s="189" t="n"/>
      <c r="AC318" s="189" t="n"/>
      <c r="AD318" s="189" t="n"/>
      <c r="AE318" s="189" t="n"/>
      <c r="AF318" s="189" t="n"/>
      <c r="AG318" s="189" t="n"/>
      <c r="AH318" s="189" t="n"/>
      <c r="AI318" s="51" t="inlineStr">
        <is>
          <t>U6θ</t>
        </is>
      </c>
    </row>
    <row r="319">
      <c r="B319" s="189" t="n"/>
      <c r="C319" s="189" t="n"/>
      <c r="D319" s="189" t="n"/>
      <c r="E319" s="189" t="n"/>
      <c r="F319" s="189" t="n"/>
      <c r="G319" s="189" t="n"/>
      <c r="H319" s="189" t="n"/>
      <c r="I319" s="189" t="n"/>
      <c r="J319" s="189" t="n"/>
      <c r="K319" s="189" t="n"/>
      <c r="L319" s="189" t="n"/>
      <c r="M319" s="189" t="n"/>
      <c r="N319" s="189" t="n"/>
      <c r="O319" s="189" t="n"/>
      <c r="P319" s="189" t="n"/>
      <c r="Q319" s="189" t="n"/>
      <c r="R319" s="189" t="n"/>
      <c r="S319" s="189" t="n"/>
      <c r="T319" s="189">
        <f>B293</f>
        <v/>
      </c>
      <c r="U319" s="189">
        <f>C293</f>
        <v/>
      </c>
      <c r="V319" s="189">
        <f>D293</f>
        <v/>
      </c>
      <c r="W319" s="189">
        <f>E293</f>
        <v/>
      </c>
      <c r="X319" s="189">
        <f>F293</f>
        <v/>
      </c>
      <c r="Y319" s="189">
        <f>G293</f>
        <v/>
      </c>
      <c r="Z319" s="189" t="n"/>
      <c r="AA319" s="189" t="n"/>
      <c r="AB319" s="189" t="n"/>
      <c r="AC319" s="189" t="n"/>
      <c r="AD319" s="189" t="n"/>
      <c r="AE319" s="189" t="n"/>
      <c r="AF319" s="189" t="n"/>
      <c r="AG319" s="189" t="n"/>
      <c r="AH319" s="189" t="n"/>
      <c r="AI319" s="51" t="inlineStr">
        <is>
          <t>U7X</t>
        </is>
      </c>
    </row>
    <row r="320">
      <c r="B320" s="189" t="n"/>
      <c r="C320" s="189" t="n"/>
      <c r="D320" s="189" t="n"/>
      <c r="E320" s="189" t="n"/>
      <c r="F320" s="189" t="n"/>
      <c r="G320" s="189" t="n"/>
      <c r="H320" s="189" t="n"/>
      <c r="I320" s="189" t="n"/>
      <c r="J320" s="189" t="n"/>
      <c r="K320" s="189" t="n"/>
      <c r="L320" s="189" t="n"/>
      <c r="M320" s="189" t="n"/>
      <c r="N320" s="189" t="n"/>
      <c r="O320" s="189" t="n"/>
      <c r="P320" s="189" t="n"/>
      <c r="Q320" s="189" t="n"/>
      <c r="R320" s="189" t="n"/>
      <c r="S320" s="189" t="n"/>
      <c r="T320" s="189">
        <f>B294</f>
        <v/>
      </c>
      <c r="U320" s="189">
        <f>C294</f>
        <v/>
      </c>
      <c r="V320" s="189">
        <f>D294</f>
        <v/>
      </c>
      <c r="W320" s="189">
        <f>E294</f>
        <v/>
      </c>
      <c r="X320" s="189">
        <f>F294</f>
        <v/>
      </c>
      <c r="Y320" s="189">
        <f>G294</f>
        <v/>
      </c>
      <c r="Z320" s="189" t="n"/>
      <c r="AA320" s="189" t="n"/>
      <c r="AB320" s="189" t="n"/>
      <c r="AC320" s="189" t="n"/>
      <c r="AD320" s="189" t="n"/>
      <c r="AE320" s="189" t="n"/>
      <c r="AF320" s="189" t="n"/>
      <c r="AG320" s="189" t="n"/>
      <c r="AH320" s="189" t="n"/>
      <c r="AI320" s="51" t="inlineStr">
        <is>
          <t>U7Y</t>
        </is>
      </c>
    </row>
    <row r="321">
      <c r="B321" s="189" t="n"/>
      <c r="C321" s="189" t="n"/>
      <c r="D321" s="189" t="n"/>
      <c r="E321" s="189" t="n"/>
      <c r="F321" s="189" t="n"/>
      <c r="G321" s="189" t="n"/>
      <c r="H321" s="189" t="n"/>
      <c r="I321" s="189" t="n"/>
      <c r="J321" s="189" t="n"/>
      <c r="K321" s="189" t="n"/>
      <c r="L321" s="189" t="n"/>
      <c r="M321" s="189" t="n"/>
      <c r="N321" s="189" t="n"/>
      <c r="O321" s="189" t="n"/>
      <c r="P321" s="189" t="n"/>
      <c r="Q321" s="189" t="n"/>
      <c r="R321" s="189" t="n"/>
      <c r="S321" s="189" t="n"/>
      <c r="T321" s="189">
        <f>B295</f>
        <v/>
      </c>
      <c r="U321" s="189">
        <f>C295</f>
        <v/>
      </c>
      <c r="V321" s="189">
        <f>D295</f>
        <v/>
      </c>
      <c r="W321" s="189">
        <f>E295</f>
        <v/>
      </c>
      <c r="X321" s="189">
        <f>F295</f>
        <v/>
      </c>
      <c r="Y321" s="189">
        <f>G295</f>
        <v/>
      </c>
      <c r="Z321" s="189" t="n"/>
      <c r="AA321" s="189" t="n"/>
      <c r="AB321" s="189" t="n"/>
      <c r="AC321" s="189" t="n"/>
      <c r="AD321" s="189" t="n"/>
      <c r="AE321" s="189" t="n"/>
      <c r="AF321" s="189" t="n"/>
      <c r="AG321" s="189" t="n"/>
      <c r="AH321" s="189" t="n"/>
      <c r="AI321" s="51" t="inlineStr">
        <is>
          <t>U7θ</t>
        </is>
      </c>
    </row>
    <row r="322">
      <c r="B322" s="189" t="n"/>
      <c r="C322" s="189" t="n"/>
      <c r="D322" s="189" t="n"/>
      <c r="E322" s="189" t="n"/>
      <c r="F322" s="189" t="n"/>
      <c r="G322" s="189" t="n"/>
      <c r="H322" s="189" t="n"/>
      <c r="I322" s="189" t="n"/>
      <c r="J322" s="189" t="n"/>
      <c r="K322" s="189" t="n"/>
      <c r="L322" s="189" t="n"/>
      <c r="M322" s="189" t="n"/>
      <c r="N322" s="189" t="n"/>
      <c r="O322" s="189" t="n"/>
      <c r="P322" s="189" t="n"/>
      <c r="Q322" s="189" t="n"/>
      <c r="R322" s="189" t="n"/>
      <c r="S322" s="189" t="n"/>
      <c r="T322" s="189">
        <f>B296</f>
        <v/>
      </c>
      <c r="U322" s="189">
        <f>C296</f>
        <v/>
      </c>
      <c r="V322" s="189">
        <f>D296</f>
        <v/>
      </c>
      <c r="W322" s="189">
        <f>E296</f>
        <v/>
      </c>
      <c r="X322" s="189">
        <f>F296</f>
        <v/>
      </c>
      <c r="Y322" s="189">
        <f>G296</f>
        <v/>
      </c>
      <c r="Z322" s="189" t="n"/>
      <c r="AA322" s="189" t="n"/>
      <c r="AB322" s="189" t="n"/>
      <c r="AC322" s="189" t="n"/>
      <c r="AD322" s="189" t="n"/>
      <c r="AE322" s="189" t="n"/>
      <c r="AF322" s="189" t="n"/>
      <c r="AG322" s="189" t="n"/>
      <c r="AH322" s="189" t="n"/>
      <c r="AI322" s="51" t="inlineStr">
        <is>
          <t>U8X</t>
        </is>
      </c>
    </row>
    <row r="323">
      <c r="B323" s="189" t="n"/>
      <c r="C323" s="189" t="n"/>
      <c r="D323" s="189" t="n"/>
      <c r="E323" s="189" t="n"/>
      <c r="F323" s="189" t="n"/>
      <c r="G323" s="189" t="n"/>
      <c r="H323" s="189" t="n"/>
      <c r="I323" s="189" t="n"/>
      <c r="J323" s="189" t="n"/>
      <c r="K323" s="189" t="n"/>
      <c r="L323" s="189" t="n"/>
      <c r="M323" s="189" t="n"/>
      <c r="N323" s="189" t="n"/>
      <c r="O323" s="189" t="n"/>
      <c r="P323" s="189" t="n"/>
      <c r="Q323" s="189" t="n"/>
      <c r="R323" s="189" t="n"/>
      <c r="S323" s="189" t="n"/>
      <c r="T323" s="189">
        <f>B297</f>
        <v/>
      </c>
      <c r="U323" s="189">
        <f>C297</f>
        <v/>
      </c>
      <c r="V323" s="189">
        <f>D297</f>
        <v/>
      </c>
      <c r="W323" s="189">
        <f>E297</f>
        <v/>
      </c>
      <c r="X323" s="189">
        <f>F297</f>
        <v/>
      </c>
      <c r="Y323" s="189">
        <f>G297</f>
        <v/>
      </c>
      <c r="Z323" s="189" t="n"/>
      <c r="AA323" s="189" t="n"/>
      <c r="AB323" s="189" t="n"/>
      <c r="AC323" s="189" t="n"/>
      <c r="AD323" s="189" t="n"/>
      <c r="AE323" s="189" t="n"/>
      <c r="AF323" s="189" t="n"/>
      <c r="AG323" s="189" t="n"/>
      <c r="AH323" s="189" t="n"/>
      <c r="AI323" s="51" t="inlineStr">
        <is>
          <t>U8Y</t>
        </is>
      </c>
    </row>
    <row r="324">
      <c r="B324" s="189" t="n"/>
      <c r="C324" s="189" t="n"/>
      <c r="D324" s="189" t="n"/>
      <c r="E324" s="189" t="n"/>
      <c r="F324" s="189" t="n"/>
      <c r="G324" s="189" t="n"/>
      <c r="H324" s="189" t="n"/>
      <c r="I324" s="189" t="n"/>
      <c r="J324" s="189" t="n"/>
      <c r="K324" s="189" t="n"/>
      <c r="L324" s="189" t="n"/>
      <c r="M324" s="189" t="n"/>
      <c r="N324" s="189" t="n"/>
      <c r="O324" s="189" t="n"/>
      <c r="P324" s="189" t="n"/>
      <c r="Q324" s="189" t="n"/>
      <c r="R324" s="189" t="n"/>
      <c r="S324" s="189" t="n"/>
      <c r="T324" s="189">
        <f>B298</f>
        <v/>
      </c>
      <c r="U324" s="189">
        <f>C298</f>
        <v/>
      </c>
      <c r="V324" s="189">
        <f>D298</f>
        <v/>
      </c>
      <c r="W324" s="189">
        <f>E298</f>
        <v/>
      </c>
      <c r="X324" s="189">
        <f>F298</f>
        <v/>
      </c>
      <c r="Y324" s="189">
        <f>G298</f>
        <v/>
      </c>
      <c r="Z324" s="189" t="n"/>
      <c r="AA324" s="189" t="n"/>
      <c r="AB324" s="189" t="n"/>
      <c r="AC324" s="189" t="n"/>
      <c r="AD324" s="189" t="n"/>
      <c r="AE324" s="189" t="n"/>
      <c r="AF324" s="189" t="n"/>
      <c r="AG324" s="189" t="n"/>
      <c r="AH324" s="189" t="n"/>
      <c r="AI324" s="51" t="inlineStr">
        <is>
          <t>U8θ</t>
        </is>
      </c>
    </row>
    <row r="325">
      <c r="B325" s="189" t="n"/>
      <c r="C325" s="189" t="n"/>
      <c r="D325" s="189" t="n"/>
      <c r="E325" s="189" t="n"/>
      <c r="F325" s="189" t="n"/>
      <c r="G325" s="189" t="n"/>
      <c r="H325" s="189" t="n"/>
      <c r="I325" s="189" t="n"/>
      <c r="J325" s="189" t="n"/>
      <c r="K325" s="189" t="n"/>
      <c r="L325" s="189" t="n"/>
      <c r="M325" s="189" t="n"/>
      <c r="N325" s="189" t="n"/>
      <c r="O325" s="189" t="n"/>
      <c r="P325" s="189" t="n"/>
      <c r="Q325" s="189" t="n"/>
      <c r="R325" s="189" t="n"/>
      <c r="S325" s="189" t="n"/>
      <c r="T325" s="189" t="n"/>
      <c r="U325" s="189" t="n"/>
      <c r="V325" s="189" t="n"/>
      <c r="W325" s="189" t="n"/>
      <c r="X325" s="189" t="n"/>
      <c r="Y325" s="189" t="n"/>
      <c r="Z325" s="189" t="n"/>
      <c r="AA325" s="189" t="n"/>
      <c r="AB325" s="189" t="n"/>
      <c r="AC325" s="189" t="n"/>
      <c r="AD325" s="189" t="n"/>
      <c r="AE325" s="189" t="n"/>
      <c r="AF325" s="189" t="n"/>
      <c r="AG325" s="189" t="n"/>
      <c r="AH325" s="189" t="n"/>
      <c r="AI325" s="51" t="inlineStr">
        <is>
          <t>U9X</t>
        </is>
      </c>
    </row>
    <row r="326">
      <c r="B326" s="189" t="n"/>
      <c r="C326" s="189" t="n"/>
      <c r="D326" s="189" t="n"/>
      <c r="E326" s="189" t="n"/>
      <c r="F326" s="189" t="n"/>
      <c r="G326" s="189" t="n"/>
      <c r="H326" s="189" t="n"/>
      <c r="I326" s="189" t="n"/>
      <c r="J326" s="189" t="n"/>
      <c r="K326" s="189" t="n"/>
      <c r="L326" s="189" t="n"/>
      <c r="M326" s="189" t="n"/>
      <c r="N326" s="189" t="n"/>
      <c r="O326" s="189" t="n"/>
      <c r="P326" s="189" t="n"/>
      <c r="Q326" s="189" t="n"/>
      <c r="R326" s="189" t="n"/>
      <c r="S326" s="189" t="n"/>
      <c r="T326" s="189" t="n"/>
      <c r="U326" s="189" t="n"/>
      <c r="V326" s="189" t="n"/>
      <c r="W326" s="189" t="n"/>
      <c r="X326" s="189" t="n"/>
      <c r="Y326" s="189" t="n"/>
      <c r="Z326" s="189" t="n"/>
      <c r="AA326" s="189" t="n"/>
      <c r="AB326" s="189" t="n"/>
      <c r="AC326" s="189" t="n"/>
      <c r="AD326" s="189" t="n"/>
      <c r="AE326" s="189" t="n"/>
      <c r="AF326" s="189" t="n"/>
      <c r="AG326" s="189" t="n"/>
      <c r="AH326" s="189" t="n"/>
      <c r="AI326" s="51" t="inlineStr">
        <is>
          <t>U9Y</t>
        </is>
      </c>
    </row>
    <row r="327">
      <c r="B327" s="189" t="n"/>
      <c r="C327" s="189" t="n"/>
      <c r="D327" s="189" t="n"/>
      <c r="E327" s="189" t="n"/>
      <c r="F327" s="189" t="n"/>
      <c r="G327" s="189" t="n"/>
      <c r="H327" s="189" t="n"/>
      <c r="I327" s="189" t="n"/>
      <c r="J327" s="189" t="n"/>
      <c r="K327" s="189" t="n"/>
      <c r="L327" s="189" t="n"/>
      <c r="M327" s="189" t="n"/>
      <c r="N327" s="189" t="n"/>
      <c r="O327" s="189" t="n"/>
      <c r="P327" s="189" t="n"/>
      <c r="Q327" s="189" t="n"/>
      <c r="R327" s="189" t="n"/>
      <c r="S327" s="189" t="n"/>
      <c r="T327" s="189" t="n"/>
      <c r="U327" s="189" t="n"/>
      <c r="V327" s="189" t="n"/>
      <c r="W327" s="189" t="n"/>
      <c r="X327" s="189" t="n"/>
      <c r="Y327" s="189" t="n"/>
      <c r="Z327" s="189" t="n"/>
      <c r="AA327" s="189" t="n"/>
      <c r="AB327" s="189" t="n"/>
      <c r="AC327" s="189" t="n"/>
      <c r="AD327" s="189" t="n"/>
      <c r="AE327" s="189" t="n"/>
      <c r="AF327" s="189" t="n"/>
      <c r="AG327" s="189" t="n"/>
      <c r="AH327" s="189" t="n"/>
      <c r="AI327" s="51" t="inlineStr">
        <is>
          <t>U9θ</t>
        </is>
      </c>
    </row>
    <row r="328">
      <c r="B328" s="189" t="n"/>
      <c r="C328" s="189" t="n"/>
      <c r="D328" s="189" t="n"/>
      <c r="E328" s="189" t="n"/>
      <c r="F328" s="189" t="n"/>
      <c r="G328" s="189" t="n"/>
      <c r="H328" s="189" t="n"/>
      <c r="I328" s="189" t="n"/>
      <c r="J328" s="189" t="n"/>
      <c r="K328" s="189" t="n"/>
      <c r="L328" s="189" t="n"/>
      <c r="M328" s="189" t="n"/>
      <c r="N328" s="189" t="n"/>
      <c r="O328" s="189" t="n"/>
      <c r="P328" s="189" t="n"/>
      <c r="Q328" s="189" t="n"/>
      <c r="R328" s="189" t="n"/>
      <c r="S328" s="189" t="n"/>
      <c r="T328" s="189" t="n"/>
      <c r="U328" s="189" t="n"/>
      <c r="V328" s="189" t="n"/>
      <c r="W328" s="189" t="n"/>
      <c r="X328" s="189" t="n"/>
      <c r="Y328" s="189" t="n"/>
      <c r="Z328" s="189" t="n"/>
      <c r="AA328" s="189" t="n"/>
      <c r="AB328" s="189" t="n"/>
      <c r="AC328" s="189" t="n"/>
      <c r="AD328" s="189" t="n"/>
      <c r="AE328" s="189" t="n"/>
      <c r="AF328" s="189" t="n"/>
      <c r="AG328" s="189" t="n"/>
      <c r="AH328" s="189" t="n"/>
      <c r="AI328" s="51" t="inlineStr">
        <is>
          <t>U10X</t>
        </is>
      </c>
    </row>
    <row r="329">
      <c r="B329" s="189" t="n"/>
      <c r="C329" s="189" t="n"/>
      <c r="D329" s="189" t="n"/>
      <c r="E329" s="189" t="n"/>
      <c r="F329" s="189" t="n"/>
      <c r="G329" s="189" t="n"/>
      <c r="H329" s="189" t="n"/>
      <c r="I329" s="189" t="n"/>
      <c r="J329" s="189" t="n"/>
      <c r="K329" s="189" t="n"/>
      <c r="L329" s="189" t="n"/>
      <c r="M329" s="189" t="n"/>
      <c r="N329" s="189" t="n"/>
      <c r="O329" s="189" t="n"/>
      <c r="P329" s="189" t="n"/>
      <c r="Q329" s="189" t="n"/>
      <c r="R329" s="189" t="n"/>
      <c r="S329" s="189" t="n"/>
      <c r="T329" s="189" t="n"/>
      <c r="U329" s="189" t="n"/>
      <c r="V329" s="189" t="n"/>
      <c r="W329" s="189" t="n"/>
      <c r="X329" s="189" t="n"/>
      <c r="Y329" s="189" t="n"/>
      <c r="Z329" s="189" t="n"/>
      <c r="AA329" s="189" t="n"/>
      <c r="AB329" s="189" t="n"/>
      <c r="AC329" s="189" t="n"/>
      <c r="AD329" s="189" t="n"/>
      <c r="AE329" s="189" t="n"/>
      <c r="AF329" s="189" t="n"/>
      <c r="AG329" s="189" t="n"/>
      <c r="AH329" s="189" t="n"/>
      <c r="AI329" s="51" t="inlineStr">
        <is>
          <t>U10Y</t>
        </is>
      </c>
    </row>
    <row r="330">
      <c r="B330" s="189" t="n"/>
      <c r="C330" s="189" t="n"/>
      <c r="D330" s="189" t="n"/>
      <c r="E330" s="189" t="n"/>
      <c r="F330" s="189" t="n"/>
      <c r="G330" s="189" t="n"/>
      <c r="H330" s="189" t="n"/>
      <c r="I330" s="189" t="n"/>
      <c r="J330" s="189" t="n"/>
      <c r="K330" s="189" t="n"/>
      <c r="L330" s="189" t="n"/>
      <c r="M330" s="189" t="n"/>
      <c r="N330" s="189" t="n"/>
      <c r="O330" s="189" t="n"/>
      <c r="P330" s="189" t="n"/>
      <c r="Q330" s="189" t="n"/>
      <c r="R330" s="189" t="n"/>
      <c r="S330" s="189" t="n"/>
      <c r="T330" s="189" t="n"/>
      <c r="U330" s="189" t="n"/>
      <c r="V330" s="189" t="n"/>
      <c r="W330" s="189" t="n"/>
      <c r="X330" s="189" t="n"/>
      <c r="Y330" s="189" t="n"/>
      <c r="Z330" s="189" t="n"/>
      <c r="AA330" s="189" t="n"/>
      <c r="AB330" s="189" t="n"/>
      <c r="AC330" s="189" t="n"/>
      <c r="AD330" s="189" t="n"/>
      <c r="AE330" s="189" t="n"/>
      <c r="AF330" s="189" t="n"/>
      <c r="AG330" s="189" t="n"/>
      <c r="AH330" s="189" t="n"/>
      <c r="AI330" s="51" t="inlineStr">
        <is>
          <t>U10θ</t>
        </is>
      </c>
    </row>
    <row r="331">
      <c r="B331" s="189" t="n"/>
      <c r="C331" s="189" t="n"/>
      <c r="D331" s="189" t="n"/>
      <c r="E331" s="189" t="n"/>
      <c r="F331" s="189" t="n"/>
      <c r="G331" s="189" t="n"/>
      <c r="H331" s="189" t="n"/>
      <c r="I331" s="189" t="n"/>
      <c r="J331" s="189" t="n"/>
      <c r="K331" s="189" t="n"/>
      <c r="L331" s="189" t="n"/>
      <c r="M331" s="189" t="n"/>
      <c r="N331" s="189" t="n"/>
      <c r="O331" s="189" t="n"/>
      <c r="P331" s="189" t="n"/>
      <c r="Q331" s="189" t="n"/>
      <c r="R331" s="189" t="n"/>
      <c r="S331" s="189" t="n"/>
      <c r="T331" s="189" t="n"/>
      <c r="U331" s="189" t="n"/>
      <c r="V331" s="189" t="n"/>
      <c r="W331" s="189" t="n"/>
      <c r="X331" s="189" t="n"/>
      <c r="Y331" s="189" t="n"/>
      <c r="Z331" s="189" t="n"/>
      <c r="AA331" s="189" t="n"/>
      <c r="AB331" s="189" t="n"/>
      <c r="AC331" s="189" t="n"/>
      <c r="AD331" s="189" t="n"/>
      <c r="AE331" s="189" t="n"/>
      <c r="AF331" s="189" t="n"/>
      <c r="AG331" s="189" t="n"/>
      <c r="AH331" s="189" t="n"/>
      <c r="AI331" s="51" t="inlineStr">
        <is>
          <t>U11X</t>
        </is>
      </c>
    </row>
    <row r="332">
      <c r="B332" s="189" t="n"/>
      <c r="C332" s="189" t="n"/>
      <c r="D332" s="189" t="n"/>
      <c r="E332" s="189" t="n"/>
      <c r="F332" s="189" t="n"/>
      <c r="G332" s="189" t="n"/>
      <c r="H332" s="189" t="n"/>
      <c r="I332" s="189" t="n"/>
      <c r="J332" s="189" t="n"/>
      <c r="K332" s="189" t="n"/>
      <c r="L332" s="189" t="n"/>
      <c r="M332" s="189" t="n"/>
      <c r="N332" s="189" t="n"/>
      <c r="O332" s="189" t="n"/>
      <c r="P332" s="189" t="n"/>
      <c r="Q332" s="189" t="n"/>
      <c r="R332" s="189" t="n"/>
      <c r="S332" s="189" t="n"/>
      <c r="T332" s="189" t="n"/>
      <c r="U332" s="189" t="n"/>
      <c r="V332" s="189" t="n"/>
      <c r="W332" s="189" t="n"/>
      <c r="X332" s="189" t="n"/>
      <c r="Y332" s="189" t="n"/>
      <c r="Z332" s="189" t="n"/>
      <c r="AA332" s="189" t="n"/>
      <c r="AB332" s="189" t="n"/>
      <c r="AC332" s="189" t="n"/>
      <c r="AD332" s="189" t="n"/>
      <c r="AE332" s="189" t="n"/>
      <c r="AF332" s="189" t="n"/>
      <c r="AG332" s="189" t="n"/>
      <c r="AH332" s="189" t="n"/>
      <c r="AI332" s="51" t="inlineStr">
        <is>
          <t>U11Y</t>
        </is>
      </c>
    </row>
    <row r="333">
      <c r="B333" s="189" t="n"/>
      <c r="C333" s="189" t="n"/>
      <c r="D333" s="189" t="n"/>
      <c r="E333" s="189" t="n"/>
      <c r="F333" s="189" t="n"/>
      <c r="G333" s="189" t="n"/>
      <c r="H333" s="189" t="n"/>
      <c r="I333" s="189" t="n"/>
      <c r="J333" s="189" t="n"/>
      <c r="K333" s="189" t="n"/>
      <c r="L333" s="189" t="n"/>
      <c r="M333" s="189" t="n"/>
      <c r="N333" s="189" t="n"/>
      <c r="O333" s="189" t="n"/>
      <c r="P333" s="189" t="n"/>
      <c r="Q333" s="189" t="n"/>
      <c r="R333" s="189" t="n"/>
      <c r="S333" s="189" t="n"/>
      <c r="T333" s="189" t="n"/>
      <c r="U333" s="189" t="n"/>
      <c r="V333" s="189" t="n"/>
      <c r="W333" s="189" t="n"/>
      <c r="X333" s="189" t="n"/>
      <c r="Y333" s="189" t="n"/>
      <c r="Z333" s="189" t="n"/>
      <c r="AA333" s="189" t="n"/>
      <c r="AB333" s="189" t="n"/>
      <c r="AC333" s="189" t="n"/>
      <c r="AD333" s="189" t="n"/>
      <c r="AE333" s="189" t="n"/>
      <c r="AF333" s="189" t="n"/>
      <c r="AG333" s="189" t="n"/>
      <c r="AH333" s="189" t="n"/>
      <c r="AI333" s="51" t="inlineStr">
        <is>
          <t>U11θ</t>
        </is>
      </c>
    </row>
    <row r="335">
      <c r="B335" s="51">
        <f>IF(C29="","", CONCATENATE("U",C29,C$21))</f>
        <v/>
      </c>
      <c r="C335" s="51">
        <f>IF(D29="","", CONCATENATE("U",D29,D$21))</f>
        <v/>
      </c>
      <c r="D335" s="51">
        <f>IF(E29="","", CONCATENATE("U",E29,E$21))</f>
        <v/>
      </c>
      <c r="E335" s="51">
        <f>IF(F29="","", CONCATENATE("U",F29,F$21))</f>
        <v/>
      </c>
      <c r="F335" s="51">
        <f>IF(G29="","", CONCATENATE("U",G29,G$21))</f>
        <v/>
      </c>
      <c r="G335" s="51">
        <f>IF(H29="","", CONCATENATE("U",H29,H$21))</f>
        <v/>
      </c>
    </row>
    <row r="336">
      <c r="B336" s="8">
        <f>IF(I16="", 0, O16*J16*J16+P16*K16*K16)</f>
        <v/>
      </c>
      <c r="C336" s="189">
        <f>IF(I16="", 0, (O16-P16)*(J16*K16))</f>
        <v/>
      </c>
      <c r="D336" s="189">
        <f>IF(I16="", 0, -Q16*K16)</f>
        <v/>
      </c>
      <c r="E336" s="189">
        <f>-B336</f>
        <v/>
      </c>
      <c r="F336" s="189">
        <f>-C336</f>
        <v/>
      </c>
      <c r="G336" s="189">
        <f>D336</f>
        <v/>
      </c>
      <c r="H336" s="51">
        <f>B335</f>
        <v/>
      </c>
    </row>
    <row r="337">
      <c r="B337" s="189">
        <f>C336</f>
        <v/>
      </c>
      <c r="C337" s="8">
        <f>IF(I16="", 0, O16*K16*K16+P16*J16*J16)</f>
        <v/>
      </c>
      <c r="D337" s="189">
        <f>IF(I16="", 0, Q16*J16)</f>
        <v/>
      </c>
      <c r="E337" s="189">
        <f>-B337</f>
        <v/>
      </c>
      <c r="F337" s="189">
        <f>-C337</f>
        <v/>
      </c>
      <c r="G337" s="189">
        <f>D337</f>
        <v/>
      </c>
      <c r="H337" s="51">
        <f>C335</f>
        <v/>
      </c>
    </row>
    <row r="338">
      <c r="A338" s="118" t="inlineStr">
        <is>
          <t>K8 =</t>
        </is>
      </c>
      <c r="B338" s="189">
        <f>D336</f>
        <v/>
      </c>
      <c r="C338" s="189">
        <f>D337</f>
        <v/>
      </c>
      <c r="D338" s="8">
        <f>IF(I16="", 0, R16)</f>
        <v/>
      </c>
      <c r="E338" s="189">
        <f>-B338</f>
        <v/>
      </c>
      <c r="F338" s="189">
        <f>-C338</f>
        <v/>
      </c>
      <c r="G338" s="189">
        <f>IF(I16="", 0, S16)</f>
        <v/>
      </c>
      <c r="H338" s="51">
        <f>D335</f>
        <v/>
      </c>
    </row>
    <row r="339">
      <c r="B339" s="189">
        <f>E336</f>
        <v/>
      </c>
      <c r="C339" s="189">
        <f>E337</f>
        <v/>
      </c>
      <c r="D339" s="189">
        <f>E338</f>
        <v/>
      </c>
      <c r="E339" s="8">
        <f>B336</f>
        <v/>
      </c>
      <c r="F339" s="189">
        <f>C336</f>
        <v/>
      </c>
      <c r="G339" s="189">
        <f>-D336</f>
        <v/>
      </c>
      <c r="H339" s="51">
        <f>E335</f>
        <v/>
      </c>
    </row>
    <row r="340">
      <c r="B340" s="189">
        <f>F336</f>
        <v/>
      </c>
      <c r="C340" s="189">
        <f>F337</f>
        <v/>
      </c>
      <c r="D340" s="189">
        <f>F338</f>
        <v/>
      </c>
      <c r="E340" s="189">
        <f>F339</f>
        <v/>
      </c>
      <c r="F340" s="8">
        <f>C337</f>
        <v/>
      </c>
      <c r="G340" s="189">
        <f>-D337</f>
        <v/>
      </c>
      <c r="H340" s="51">
        <f>F335</f>
        <v/>
      </c>
    </row>
    <row r="341">
      <c r="B341" s="189">
        <f>G336</f>
        <v/>
      </c>
      <c r="C341" s="189">
        <f>G337</f>
        <v/>
      </c>
      <c r="D341" s="189">
        <f>G338</f>
        <v/>
      </c>
      <c r="E341" s="189">
        <f>G339</f>
        <v/>
      </c>
      <c r="F341" s="189">
        <f>G340</f>
        <v/>
      </c>
      <c r="G341" s="8">
        <f>D338</f>
        <v/>
      </c>
      <c r="H341" s="51">
        <f>G335</f>
        <v/>
      </c>
    </row>
    <row r="343">
      <c r="B343" s="51" t="inlineStr">
        <is>
          <t>U1X</t>
        </is>
      </c>
      <c r="C343" s="51" t="inlineStr">
        <is>
          <t>U1Y</t>
        </is>
      </c>
      <c r="D343" s="51" t="inlineStr">
        <is>
          <t>U1θ</t>
        </is>
      </c>
      <c r="E343" s="51" t="inlineStr">
        <is>
          <t>U2X</t>
        </is>
      </c>
      <c r="F343" s="51" t="inlineStr">
        <is>
          <t>U2Y</t>
        </is>
      </c>
      <c r="G343" s="51" t="inlineStr">
        <is>
          <t>U2θ</t>
        </is>
      </c>
      <c r="H343" s="51" t="inlineStr">
        <is>
          <t>U3X</t>
        </is>
      </c>
      <c r="I343" s="51" t="inlineStr">
        <is>
          <t>U3Y</t>
        </is>
      </c>
      <c r="J343" s="51" t="inlineStr">
        <is>
          <t>U3θ</t>
        </is>
      </c>
      <c r="K343" s="51" t="inlineStr">
        <is>
          <t>U4X</t>
        </is>
      </c>
      <c r="L343" s="51" t="inlineStr">
        <is>
          <t>U4Y</t>
        </is>
      </c>
      <c r="M343" s="51" t="inlineStr">
        <is>
          <t>U4θ</t>
        </is>
      </c>
      <c r="N343" s="51" t="inlineStr">
        <is>
          <t>U5X</t>
        </is>
      </c>
      <c r="O343" s="51" t="inlineStr">
        <is>
          <t>U5Y</t>
        </is>
      </c>
      <c r="P343" s="51" t="inlineStr">
        <is>
          <t>U5θ</t>
        </is>
      </c>
      <c r="Q343" s="51" t="inlineStr">
        <is>
          <t>U6X</t>
        </is>
      </c>
      <c r="R343" s="51" t="inlineStr">
        <is>
          <t>U6Y</t>
        </is>
      </c>
      <c r="S343" s="51" t="inlineStr">
        <is>
          <t>U6θ</t>
        </is>
      </c>
      <c r="T343" s="51" t="inlineStr">
        <is>
          <t>U7X</t>
        </is>
      </c>
      <c r="U343" s="51" t="inlineStr">
        <is>
          <t>U7Y</t>
        </is>
      </c>
      <c r="V343" s="51" t="inlineStr">
        <is>
          <t>U7θ</t>
        </is>
      </c>
      <c r="W343" s="51" t="inlineStr">
        <is>
          <t>U8X</t>
        </is>
      </c>
      <c r="X343" s="51" t="inlineStr">
        <is>
          <t>U8Y</t>
        </is>
      </c>
      <c r="Y343" s="51" t="inlineStr">
        <is>
          <t>U8θ</t>
        </is>
      </c>
      <c r="Z343" s="51" t="inlineStr">
        <is>
          <t>U9X</t>
        </is>
      </c>
      <c r="AA343" s="51" t="inlineStr">
        <is>
          <t>U9Y</t>
        </is>
      </c>
      <c r="AB343" s="51" t="inlineStr">
        <is>
          <t>U9θ</t>
        </is>
      </c>
      <c r="AC343" s="51" t="inlineStr">
        <is>
          <t>U10X</t>
        </is>
      </c>
      <c r="AD343" s="51" t="inlineStr">
        <is>
          <t>U10Y</t>
        </is>
      </c>
      <c r="AE343" s="51" t="inlineStr">
        <is>
          <t>U10θ</t>
        </is>
      </c>
      <c r="AF343" s="51" t="inlineStr">
        <is>
          <t>U11X</t>
        </is>
      </c>
      <c r="AG343" s="51" t="inlineStr">
        <is>
          <t>U11Y</t>
        </is>
      </c>
      <c r="AH343" s="51" t="inlineStr">
        <is>
          <t>U11θ</t>
        </is>
      </c>
    </row>
    <row r="344">
      <c r="B344" s="189" t="n"/>
      <c r="C344" s="189" t="n"/>
      <c r="D344" s="189" t="n"/>
      <c r="E344" s="189" t="n"/>
      <c r="F344" s="189" t="n"/>
      <c r="G344" s="189" t="n"/>
      <c r="H344" s="189" t="n"/>
      <c r="I344" s="189" t="n"/>
      <c r="J344" s="189" t="n"/>
      <c r="K344" s="189" t="n"/>
      <c r="L344" s="189" t="n"/>
      <c r="M344" s="189" t="n"/>
      <c r="N344" s="189" t="n"/>
      <c r="O344" s="189" t="n"/>
      <c r="P344" s="189" t="n"/>
      <c r="Q344" s="189" t="n"/>
      <c r="R344" s="189" t="n"/>
      <c r="S344" s="189" t="n"/>
      <c r="T344" s="189" t="n"/>
      <c r="U344" s="189" t="n"/>
      <c r="V344" s="189" t="n"/>
      <c r="W344" s="189" t="n"/>
      <c r="X344" s="189" t="n"/>
      <c r="Y344" s="189" t="n"/>
      <c r="Z344" s="189" t="n"/>
      <c r="AA344" s="189" t="n"/>
      <c r="AB344" s="189" t="n"/>
      <c r="AC344" s="189" t="n"/>
      <c r="AD344" s="189" t="n"/>
      <c r="AE344" s="189" t="n"/>
      <c r="AF344" s="189" t="n"/>
      <c r="AG344" s="189" t="n"/>
      <c r="AH344" s="189" t="n"/>
      <c r="AI344" s="51" t="inlineStr">
        <is>
          <t>U1X</t>
        </is>
      </c>
    </row>
    <row r="345">
      <c r="B345" s="189" t="n"/>
      <c r="C345" s="189" t="n"/>
      <c r="D345" s="189" t="n"/>
      <c r="E345" s="189" t="n"/>
      <c r="F345" s="189" t="n"/>
      <c r="G345" s="189" t="n"/>
      <c r="H345" s="189" t="n"/>
      <c r="I345" s="189" t="n"/>
      <c r="J345" s="189" t="n"/>
      <c r="K345" s="189" t="n"/>
      <c r="L345" s="189" t="n"/>
      <c r="M345" s="189" t="n"/>
      <c r="N345" s="189" t="n"/>
      <c r="O345" s="189" t="n"/>
      <c r="P345" s="189" t="n"/>
      <c r="Q345" s="189" t="n"/>
      <c r="R345" s="189" t="n"/>
      <c r="S345" s="189" t="n"/>
      <c r="T345" s="189" t="n"/>
      <c r="U345" s="189" t="n"/>
      <c r="V345" s="189" t="n"/>
      <c r="W345" s="189" t="n"/>
      <c r="X345" s="189" t="n"/>
      <c r="Y345" s="189" t="n"/>
      <c r="Z345" s="189" t="n"/>
      <c r="AA345" s="189" t="n"/>
      <c r="AB345" s="189" t="n"/>
      <c r="AC345" s="189" t="n"/>
      <c r="AD345" s="189" t="n"/>
      <c r="AE345" s="189" t="n"/>
      <c r="AF345" s="189" t="n"/>
      <c r="AG345" s="189" t="n"/>
      <c r="AH345" s="189" t="n"/>
      <c r="AI345" s="51" t="inlineStr">
        <is>
          <t>U1Y</t>
        </is>
      </c>
    </row>
    <row r="346">
      <c r="B346" s="189" t="n"/>
      <c r="C346" s="189" t="n"/>
      <c r="D346" s="189" t="n"/>
      <c r="E346" s="189" t="n"/>
      <c r="F346" s="189" t="n"/>
      <c r="G346" s="189" t="n"/>
      <c r="H346" s="189" t="n"/>
      <c r="I346" s="189" t="n"/>
      <c r="J346" s="189" t="n"/>
      <c r="K346" s="189" t="n"/>
      <c r="L346" s="189" t="n"/>
      <c r="M346" s="189" t="n"/>
      <c r="N346" s="189" t="n"/>
      <c r="O346" s="189" t="n"/>
      <c r="P346" s="189" t="n"/>
      <c r="Q346" s="189" t="n"/>
      <c r="R346" s="189" t="n"/>
      <c r="S346" s="189" t="n"/>
      <c r="T346" s="189" t="n"/>
      <c r="U346" s="189" t="n"/>
      <c r="V346" s="189" t="n"/>
      <c r="W346" s="189" t="n"/>
      <c r="X346" s="189" t="n"/>
      <c r="Y346" s="189" t="n"/>
      <c r="Z346" s="189" t="n"/>
      <c r="AA346" s="189" t="n"/>
      <c r="AB346" s="189" t="n"/>
      <c r="AC346" s="189" t="n"/>
      <c r="AD346" s="189" t="n"/>
      <c r="AE346" s="189" t="n"/>
      <c r="AF346" s="189" t="n"/>
      <c r="AG346" s="189" t="n"/>
      <c r="AH346" s="189" t="n"/>
      <c r="AI346" s="51" t="inlineStr">
        <is>
          <t>U1θ</t>
        </is>
      </c>
    </row>
    <row r="347">
      <c r="B347" s="189" t="n"/>
      <c r="C347" s="189" t="n"/>
      <c r="D347" s="189" t="n"/>
      <c r="E347" s="189" t="n"/>
      <c r="F347" s="189" t="n"/>
      <c r="G347" s="189" t="n"/>
      <c r="H347" s="189" t="n"/>
      <c r="I347" s="189" t="n"/>
      <c r="J347" s="189" t="n"/>
      <c r="K347" s="189" t="n"/>
      <c r="L347" s="189" t="n"/>
      <c r="M347" s="189" t="n"/>
      <c r="N347" s="189" t="n"/>
      <c r="O347" s="189" t="n"/>
      <c r="P347" s="189" t="n"/>
      <c r="Q347" s="189" t="n"/>
      <c r="R347" s="189" t="n"/>
      <c r="S347" s="189" t="n"/>
      <c r="T347" s="189" t="n"/>
      <c r="U347" s="189" t="n"/>
      <c r="V347" s="189" t="n"/>
      <c r="W347" s="189" t="n"/>
      <c r="X347" s="189" t="n"/>
      <c r="Y347" s="189" t="n"/>
      <c r="Z347" s="189" t="n"/>
      <c r="AA347" s="189" t="n"/>
      <c r="AB347" s="189" t="n"/>
      <c r="AC347" s="189" t="n"/>
      <c r="AD347" s="189" t="n"/>
      <c r="AE347" s="189" t="n"/>
      <c r="AF347" s="189" t="n"/>
      <c r="AG347" s="189" t="n"/>
      <c r="AH347" s="189" t="n"/>
      <c r="AI347" s="51" t="inlineStr">
        <is>
          <t>U2X</t>
        </is>
      </c>
    </row>
    <row r="348">
      <c r="B348" s="189" t="n"/>
      <c r="C348" s="189" t="n"/>
      <c r="D348" s="189" t="n"/>
      <c r="E348" s="189" t="n"/>
      <c r="F348" s="189" t="n"/>
      <c r="G348" s="189" t="n"/>
      <c r="H348" s="189" t="n"/>
      <c r="I348" s="189" t="n"/>
      <c r="J348" s="189" t="n"/>
      <c r="K348" s="189" t="n"/>
      <c r="L348" s="189" t="n"/>
      <c r="M348" s="189" t="n"/>
      <c r="N348" s="189" t="n"/>
      <c r="O348" s="189" t="n"/>
      <c r="P348" s="189" t="n"/>
      <c r="Q348" s="189" t="n"/>
      <c r="R348" s="189" t="n"/>
      <c r="S348" s="189" t="n"/>
      <c r="T348" s="189" t="n"/>
      <c r="U348" s="189" t="n"/>
      <c r="V348" s="189" t="n"/>
      <c r="W348" s="189" t="n"/>
      <c r="X348" s="189" t="n"/>
      <c r="Y348" s="189" t="n"/>
      <c r="Z348" s="189" t="n"/>
      <c r="AA348" s="189" t="n"/>
      <c r="AB348" s="189" t="n"/>
      <c r="AC348" s="189" t="n"/>
      <c r="AD348" s="189" t="n"/>
      <c r="AE348" s="189" t="n"/>
      <c r="AF348" s="189" t="n"/>
      <c r="AG348" s="189" t="n"/>
      <c r="AH348" s="189" t="n"/>
      <c r="AI348" s="51" t="inlineStr">
        <is>
          <t>U2Y</t>
        </is>
      </c>
    </row>
    <row r="349">
      <c r="B349" s="189" t="n"/>
      <c r="C349" s="189" t="n"/>
      <c r="D349" s="189" t="n"/>
      <c r="E349" s="189" t="n"/>
      <c r="F349" s="189" t="n"/>
      <c r="G349" s="189" t="n"/>
      <c r="H349" s="189" t="n"/>
      <c r="I349" s="189" t="n"/>
      <c r="J349" s="189" t="n"/>
      <c r="K349" s="189" t="n"/>
      <c r="L349" s="189" t="n"/>
      <c r="M349" s="189" t="n"/>
      <c r="N349" s="189" t="n"/>
      <c r="O349" s="189" t="n"/>
      <c r="P349" s="189" t="n"/>
      <c r="Q349" s="189" t="n"/>
      <c r="R349" s="189" t="n"/>
      <c r="S349" s="189" t="n"/>
      <c r="T349" s="189" t="n"/>
      <c r="U349" s="189" t="n"/>
      <c r="V349" s="189" t="n"/>
      <c r="W349" s="189" t="n"/>
      <c r="X349" s="189" t="n"/>
      <c r="Y349" s="189" t="n"/>
      <c r="Z349" s="189" t="n"/>
      <c r="AA349" s="189" t="n"/>
      <c r="AB349" s="189" t="n"/>
      <c r="AC349" s="189" t="n"/>
      <c r="AD349" s="189" t="n"/>
      <c r="AE349" s="189" t="n"/>
      <c r="AF349" s="189" t="n"/>
      <c r="AG349" s="189" t="n"/>
      <c r="AH349" s="189" t="n"/>
      <c r="AI349" s="51" t="inlineStr">
        <is>
          <t>U2θ</t>
        </is>
      </c>
    </row>
    <row r="350">
      <c r="B350" s="189" t="n"/>
      <c r="C350" s="189" t="n"/>
      <c r="D350" s="189" t="n"/>
      <c r="E350" s="189" t="n"/>
      <c r="F350" s="189" t="n"/>
      <c r="G350" s="189" t="n"/>
      <c r="H350" s="189" t="n"/>
      <c r="I350" s="189" t="n"/>
      <c r="J350" s="189" t="n"/>
      <c r="K350" s="189" t="n"/>
      <c r="L350" s="189" t="n"/>
      <c r="M350" s="189" t="n"/>
      <c r="N350" s="189" t="n"/>
      <c r="O350" s="189" t="n"/>
      <c r="P350" s="189" t="n"/>
      <c r="Q350" s="189" t="n"/>
      <c r="R350" s="189" t="n"/>
      <c r="S350" s="189" t="n"/>
      <c r="T350" s="189" t="n"/>
      <c r="U350" s="189" t="n"/>
      <c r="V350" s="189" t="n"/>
      <c r="W350" s="189" t="n"/>
      <c r="X350" s="189" t="n"/>
      <c r="Y350" s="189" t="n"/>
      <c r="Z350" s="189" t="n"/>
      <c r="AA350" s="189" t="n"/>
      <c r="AB350" s="189" t="n"/>
      <c r="AC350" s="189" t="n"/>
      <c r="AD350" s="189" t="n"/>
      <c r="AE350" s="189" t="n"/>
      <c r="AF350" s="189" t="n"/>
      <c r="AG350" s="189" t="n"/>
      <c r="AH350" s="189" t="n"/>
      <c r="AI350" s="51" t="inlineStr">
        <is>
          <t>U3X</t>
        </is>
      </c>
    </row>
    <row r="351">
      <c r="B351" s="189" t="n"/>
      <c r="C351" s="189" t="n"/>
      <c r="D351" s="189" t="n"/>
      <c r="E351" s="189" t="n"/>
      <c r="F351" s="189" t="n"/>
      <c r="G351" s="189" t="n"/>
      <c r="H351" s="189" t="n"/>
      <c r="I351" s="189" t="n"/>
      <c r="J351" s="189" t="n"/>
      <c r="K351" s="189" t="n"/>
      <c r="L351" s="189" t="n"/>
      <c r="M351" s="189" t="n"/>
      <c r="N351" s="189" t="n"/>
      <c r="O351" s="189" t="n"/>
      <c r="P351" s="189" t="n"/>
      <c r="Q351" s="189" t="n"/>
      <c r="R351" s="189" t="n"/>
      <c r="S351" s="189" t="n"/>
      <c r="T351" s="189" t="n"/>
      <c r="U351" s="189" t="n"/>
      <c r="V351" s="189" t="n"/>
      <c r="W351" s="189" t="n"/>
      <c r="X351" s="189" t="n"/>
      <c r="Y351" s="189" t="n"/>
      <c r="Z351" s="189" t="n"/>
      <c r="AA351" s="189" t="n"/>
      <c r="AB351" s="189" t="n"/>
      <c r="AC351" s="189" t="n"/>
      <c r="AD351" s="189" t="n"/>
      <c r="AE351" s="189" t="n"/>
      <c r="AF351" s="189" t="n"/>
      <c r="AG351" s="189" t="n"/>
      <c r="AH351" s="189" t="n"/>
      <c r="AI351" s="51" t="inlineStr">
        <is>
          <t>U3Y</t>
        </is>
      </c>
    </row>
    <row r="352">
      <c r="B352" s="189" t="n"/>
      <c r="C352" s="189" t="n"/>
      <c r="D352" s="189" t="n"/>
      <c r="E352" s="189" t="n"/>
      <c r="F352" s="189" t="n"/>
      <c r="G352" s="189" t="n"/>
      <c r="H352" s="189" t="n"/>
      <c r="I352" s="189" t="n"/>
      <c r="J352" s="189" t="n"/>
      <c r="K352" s="189" t="n"/>
      <c r="L352" s="189" t="n"/>
      <c r="M352" s="189" t="n"/>
      <c r="N352" s="189" t="n"/>
      <c r="O352" s="189" t="n"/>
      <c r="P352" s="189" t="n"/>
      <c r="Q352" s="189" t="n"/>
      <c r="R352" s="189" t="n"/>
      <c r="S352" s="189" t="n"/>
      <c r="T352" s="189" t="n"/>
      <c r="U352" s="189" t="n"/>
      <c r="V352" s="189" t="n"/>
      <c r="W352" s="189" t="n"/>
      <c r="X352" s="189" t="n"/>
      <c r="Y352" s="189" t="n"/>
      <c r="Z352" s="189" t="n"/>
      <c r="AA352" s="189" t="n"/>
      <c r="AB352" s="189" t="n"/>
      <c r="AC352" s="189" t="n"/>
      <c r="AD352" s="189" t="n"/>
      <c r="AE352" s="189" t="n"/>
      <c r="AF352" s="189" t="n"/>
      <c r="AG352" s="189" t="n"/>
      <c r="AH352" s="189" t="n"/>
      <c r="AI352" s="51" t="inlineStr">
        <is>
          <t>U3θ</t>
        </is>
      </c>
    </row>
    <row r="353">
      <c r="B353" s="189" t="n"/>
      <c r="C353" s="189" t="n"/>
      <c r="D353" s="189" t="n"/>
      <c r="E353" s="189" t="n"/>
      <c r="F353" s="189" t="n"/>
      <c r="G353" s="189" t="n"/>
      <c r="H353" s="189" t="n"/>
      <c r="I353" s="189" t="n"/>
      <c r="J353" s="189" t="n"/>
      <c r="K353" s="189" t="n"/>
      <c r="L353" s="189" t="n"/>
      <c r="M353" s="189" t="n"/>
      <c r="N353" s="189" t="n"/>
      <c r="O353" s="189" t="n"/>
      <c r="P353" s="189" t="n"/>
      <c r="Q353" s="189" t="n"/>
      <c r="R353" s="189" t="n"/>
      <c r="S353" s="189" t="n"/>
      <c r="T353" s="189" t="n"/>
      <c r="U353" s="189" t="n"/>
      <c r="V353" s="189" t="n"/>
      <c r="W353" s="189" t="n"/>
      <c r="X353" s="189" t="n"/>
      <c r="Y353" s="189" t="n"/>
      <c r="Z353" s="189" t="n"/>
      <c r="AA353" s="189" t="n"/>
      <c r="AB353" s="189" t="n"/>
      <c r="AC353" s="189" t="n"/>
      <c r="AD353" s="189" t="n"/>
      <c r="AE353" s="189" t="n"/>
      <c r="AF353" s="189" t="n"/>
      <c r="AG353" s="189" t="n"/>
      <c r="AH353" s="189" t="n"/>
      <c r="AI353" s="51" t="inlineStr">
        <is>
          <t>U4X</t>
        </is>
      </c>
    </row>
    <row r="354">
      <c r="B354" s="189" t="n"/>
      <c r="C354" s="189" t="n"/>
      <c r="D354" s="189" t="n"/>
      <c r="E354" s="189" t="n"/>
      <c r="F354" s="189" t="n"/>
      <c r="G354" s="189" t="n"/>
      <c r="H354" s="189" t="n"/>
      <c r="I354" s="189" t="n"/>
      <c r="J354" s="189" t="n"/>
      <c r="K354" s="189" t="n"/>
      <c r="L354" s="189" t="n"/>
      <c r="M354" s="189" t="n"/>
      <c r="N354" s="189" t="n"/>
      <c r="O354" s="189" t="n"/>
      <c r="P354" s="189" t="n"/>
      <c r="Q354" s="189" t="n"/>
      <c r="R354" s="189" t="n"/>
      <c r="S354" s="189" t="n"/>
      <c r="T354" s="189" t="n"/>
      <c r="U354" s="189" t="n"/>
      <c r="V354" s="189" t="n"/>
      <c r="W354" s="189" t="n"/>
      <c r="X354" s="189" t="n"/>
      <c r="Y354" s="189" t="n"/>
      <c r="Z354" s="189" t="n"/>
      <c r="AA354" s="189" t="n"/>
      <c r="AB354" s="189" t="n"/>
      <c r="AC354" s="189" t="n"/>
      <c r="AD354" s="189" t="n"/>
      <c r="AE354" s="189" t="n"/>
      <c r="AF354" s="189" t="n"/>
      <c r="AG354" s="189" t="n"/>
      <c r="AH354" s="189" t="n"/>
      <c r="AI354" s="51" t="inlineStr">
        <is>
          <t>U4Y</t>
        </is>
      </c>
    </row>
    <row r="355">
      <c r="B355" s="189" t="n"/>
      <c r="C355" s="189" t="n"/>
      <c r="D355" s="189" t="n"/>
      <c r="E355" s="189" t="n"/>
      <c r="F355" s="189" t="n"/>
      <c r="G355" s="189" t="n"/>
      <c r="H355" s="189" t="n"/>
      <c r="I355" s="189" t="n"/>
      <c r="J355" s="189" t="n"/>
      <c r="K355" s="189" t="n"/>
      <c r="L355" s="189" t="n"/>
      <c r="M355" s="189" t="n"/>
      <c r="N355" s="189" t="n"/>
      <c r="O355" s="189" t="n"/>
      <c r="P355" s="189" t="n"/>
      <c r="Q355" s="189" t="n"/>
      <c r="R355" s="189" t="n"/>
      <c r="S355" s="189" t="n"/>
      <c r="T355" s="189" t="n"/>
      <c r="U355" s="189" t="n"/>
      <c r="V355" s="189" t="n"/>
      <c r="W355" s="189" t="n"/>
      <c r="X355" s="189" t="n"/>
      <c r="Y355" s="189" t="n"/>
      <c r="Z355" s="189" t="n"/>
      <c r="AA355" s="189" t="n"/>
      <c r="AB355" s="189" t="n"/>
      <c r="AC355" s="189" t="n"/>
      <c r="AD355" s="189" t="n"/>
      <c r="AE355" s="189" t="n"/>
      <c r="AF355" s="189" t="n"/>
      <c r="AG355" s="189" t="n"/>
      <c r="AH355" s="189" t="n"/>
      <c r="AI355" s="51" t="inlineStr">
        <is>
          <t>U4θ</t>
        </is>
      </c>
    </row>
    <row r="356">
      <c r="B356" s="189" t="n"/>
      <c r="C356" s="189" t="n"/>
      <c r="D356" s="189" t="n"/>
      <c r="E356" s="189" t="n"/>
      <c r="F356" s="189" t="n"/>
      <c r="G356" s="189" t="n"/>
      <c r="H356" s="189" t="n"/>
      <c r="I356" s="189" t="n"/>
      <c r="J356" s="189" t="n"/>
      <c r="K356" s="189" t="n"/>
      <c r="L356" s="189" t="n"/>
      <c r="M356" s="189" t="n"/>
      <c r="N356" s="189" t="n"/>
      <c r="O356" s="189" t="n"/>
      <c r="P356" s="189" t="n"/>
      <c r="Q356" s="189" t="n"/>
      <c r="R356" s="189" t="n"/>
      <c r="S356" s="189" t="n"/>
      <c r="T356" s="189" t="n"/>
      <c r="U356" s="189" t="n"/>
      <c r="V356" s="189" t="n"/>
      <c r="W356" s="189" t="n"/>
      <c r="X356" s="189" t="n"/>
      <c r="Y356" s="189" t="n"/>
      <c r="Z356" s="189" t="n"/>
      <c r="AA356" s="189" t="n"/>
      <c r="AB356" s="189" t="n"/>
      <c r="AC356" s="189" t="n"/>
      <c r="AD356" s="189" t="n"/>
      <c r="AE356" s="189" t="n"/>
      <c r="AF356" s="189" t="n"/>
      <c r="AG356" s="189" t="n"/>
      <c r="AH356" s="189" t="n"/>
      <c r="AI356" s="51" t="inlineStr">
        <is>
          <t>U5X</t>
        </is>
      </c>
    </row>
    <row r="357">
      <c r="B357" s="189" t="n"/>
      <c r="C357" s="189" t="n"/>
      <c r="D357" s="189" t="n"/>
      <c r="E357" s="189" t="n"/>
      <c r="F357" s="189" t="n"/>
      <c r="G357" s="189" t="n"/>
      <c r="H357" s="189" t="n"/>
      <c r="I357" s="189" t="n"/>
      <c r="J357" s="189" t="n"/>
      <c r="K357" s="189" t="n"/>
      <c r="L357" s="189" t="n"/>
      <c r="M357" s="189" t="n"/>
      <c r="N357" s="189" t="n"/>
      <c r="O357" s="189" t="n"/>
      <c r="P357" s="189" t="n"/>
      <c r="Q357" s="189" t="n"/>
      <c r="R357" s="189" t="n"/>
      <c r="S357" s="189" t="n"/>
      <c r="T357" s="189" t="n"/>
      <c r="U357" s="189" t="n"/>
      <c r="V357" s="189" t="n"/>
      <c r="W357" s="189" t="n"/>
      <c r="X357" s="189" t="n"/>
      <c r="Y357" s="189" t="n"/>
      <c r="Z357" s="189" t="n"/>
      <c r="AA357" s="189" t="n"/>
      <c r="AB357" s="189" t="n"/>
      <c r="AC357" s="189" t="n"/>
      <c r="AD357" s="189" t="n"/>
      <c r="AE357" s="189" t="n"/>
      <c r="AF357" s="189" t="n"/>
      <c r="AG357" s="189" t="n"/>
      <c r="AH357" s="189" t="n"/>
      <c r="AI357" s="51" t="inlineStr">
        <is>
          <t>U5Y</t>
        </is>
      </c>
    </row>
    <row r="358">
      <c r="B358" s="189" t="n"/>
      <c r="C358" s="189" t="n"/>
      <c r="D358" s="189" t="n"/>
      <c r="E358" s="189" t="n"/>
      <c r="F358" s="189" t="n"/>
      <c r="G358" s="189" t="n"/>
      <c r="H358" s="189" t="n"/>
      <c r="I358" s="189" t="n"/>
      <c r="J358" s="189" t="n"/>
      <c r="K358" s="189" t="n"/>
      <c r="L358" s="189" t="n"/>
      <c r="M358" s="189" t="n"/>
      <c r="N358" s="189" t="n"/>
      <c r="O358" s="189" t="n"/>
      <c r="P358" s="189" t="n"/>
      <c r="Q358" s="189" t="n"/>
      <c r="R358" s="189" t="n"/>
      <c r="S358" s="189" t="n"/>
      <c r="T358" s="189" t="n"/>
      <c r="U358" s="189" t="n"/>
      <c r="V358" s="189" t="n"/>
      <c r="W358" s="189" t="n"/>
      <c r="X358" s="189" t="n"/>
      <c r="Y358" s="189" t="n"/>
      <c r="Z358" s="189" t="n"/>
      <c r="AA358" s="189" t="n"/>
      <c r="AB358" s="189" t="n"/>
      <c r="AC358" s="189" t="n"/>
      <c r="AD358" s="189" t="n"/>
      <c r="AE358" s="189" t="n"/>
      <c r="AF358" s="189" t="n"/>
      <c r="AG358" s="189" t="n"/>
      <c r="AH358" s="189" t="n"/>
      <c r="AI358" s="51" t="inlineStr">
        <is>
          <t>U5θ</t>
        </is>
      </c>
    </row>
    <row r="359">
      <c r="A359" s="118" t="inlineStr">
        <is>
          <t>K8 =</t>
        </is>
      </c>
      <c r="B359" s="189" t="n"/>
      <c r="C359" s="189" t="n"/>
      <c r="D359" s="189" t="n"/>
      <c r="E359" s="189" t="n"/>
      <c r="F359" s="189" t="n"/>
      <c r="G359" s="189" t="n"/>
      <c r="H359" s="189" t="n"/>
      <c r="I359" s="189" t="n"/>
      <c r="J359" s="189" t="n"/>
      <c r="K359" s="189" t="n"/>
      <c r="L359" s="189" t="n"/>
      <c r="M359" s="189" t="n"/>
      <c r="N359" s="189" t="n"/>
      <c r="O359" s="189" t="n"/>
      <c r="P359" s="189" t="n"/>
      <c r="Q359" s="189" t="n"/>
      <c r="R359" s="189" t="n"/>
      <c r="S359" s="189" t="n"/>
      <c r="T359" s="189" t="n"/>
      <c r="U359" s="189" t="n"/>
      <c r="V359" s="189" t="n"/>
      <c r="W359" s="189" t="n"/>
      <c r="X359" s="189" t="n"/>
      <c r="Y359" s="189" t="n"/>
      <c r="Z359" s="189" t="n"/>
      <c r="AA359" s="189" t="n"/>
      <c r="AB359" s="189" t="n"/>
      <c r="AC359" s="189" t="n"/>
      <c r="AD359" s="189" t="n"/>
      <c r="AE359" s="189" t="n"/>
      <c r="AF359" s="189" t="n"/>
      <c r="AG359" s="189" t="n"/>
      <c r="AH359" s="189" t="n"/>
      <c r="AI359" s="51" t="inlineStr">
        <is>
          <t>U6X</t>
        </is>
      </c>
    </row>
    <row r="360">
      <c r="B360" s="189" t="n"/>
      <c r="C360" s="189" t="n"/>
      <c r="D360" s="189" t="n"/>
      <c r="E360" s="189" t="n"/>
      <c r="F360" s="189" t="n"/>
      <c r="G360" s="189" t="n"/>
      <c r="H360" s="189" t="n"/>
      <c r="I360" s="189" t="n"/>
      <c r="J360" s="189" t="n"/>
      <c r="K360" s="189" t="n"/>
      <c r="L360" s="189" t="n"/>
      <c r="M360" s="189" t="n"/>
      <c r="N360" s="189" t="n"/>
      <c r="O360" s="189" t="n"/>
      <c r="P360" s="189" t="n"/>
      <c r="Q360" s="189" t="n"/>
      <c r="R360" s="189" t="n"/>
      <c r="S360" s="189" t="n"/>
      <c r="T360" s="189" t="n"/>
      <c r="U360" s="189" t="n"/>
      <c r="V360" s="189" t="n"/>
      <c r="W360" s="189" t="n"/>
      <c r="X360" s="189" t="n"/>
      <c r="Y360" s="189" t="n"/>
      <c r="Z360" s="189" t="n"/>
      <c r="AA360" s="189" t="n"/>
      <c r="AB360" s="189" t="n"/>
      <c r="AC360" s="189" t="n"/>
      <c r="AD360" s="189" t="n"/>
      <c r="AE360" s="189" t="n"/>
      <c r="AF360" s="189" t="n"/>
      <c r="AG360" s="189" t="n"/>
      <c r="AH360" s="189" t="n"/>
      <c r="AI360" s="51" t="inlineStr">
        <is>
          <t>U6Y</t>
        </is>
      </c>
    </row>
    <row r="361">
      <c r="B361" s="189" t="n"/>
      <c r="C361" s="189" t="n"/>
      <c r="D361" s="189" t="n"/>
      <c r="E361" s="189" t="n"/>
      <c r="F361" s="189" t="n"/>
      <c r="G361" s="189" t="n"/>
      <c r="H361" s="189" t="n"/>
      <c r="I361" s="189" t="n"/>
      <c r="J361" s="189" t="n"/>
      <c r="K361" s="189" t="n"/>
      <c r="L361" s="189" t="n"/>
      <c r="M361" s="189" t="n"/>
      <c r="N361" s="189" t="n"/>
      <c r="O361" s="189" t="n"/>
      <c r="P361" s="189" t="n"/>
      <c r="Q361" s="189" t="n"/>
      <c r="R361" s="189" t="n"/>
      <c r="S361" s="189" t="n"/>
      <c r="T361" s="189" t="n"/>
      <c r="U361" s="189" t="n"/>
      <c r="V361" s="189" t="n"/>
      <c r="W361" s="189" t="n"/>
      <c r="X361" s="189" t="n"/>
      <c r="Y361" s="189" t="n"/>
      <c r="Z361" s="189" t="n"/>
      <c r="AA361" s="189" t="n"/>
      <c r="AB361" s="189" t="n"/>
      <c r="AC361" s="189" t="n"/>
      <c r="AD361" s="189" t="n"/>
      <c r="AE361" s="189" t="n"/>
      <c r="AF361" s="189" t="n"/>
      <c r="AG361" s="189" t="n"/>
      <c r="AH361" s="189" t="n"/>
      <c r="AI361" s="51" t="inlineStr">
        <is>
          <t>U6θ</t>
        </is>
      </c>
    </row>
    <row r="362">
      <c r="B362" s="189" t="n"/>
      <c r="C362" s="189" t="n"/>
      <c r="D362" s="189" t="n"/>
      <c r="E362" s="189" t="n"/>
      <c r="F362" s="189" t="n"/>
      <c r="G362" s="189" t="n"/>
      <c r="H362" s="189" t="n"/>
      <c r="I362" s="189" t="n"/>
      <c r="J362" s="189" t="n"/>
      <c r="K362" s="189" t="n"/>
      <c r="L362" s="189" t="n"/>
      <c r="M362" s="189" t="n"/>
      <c r="N362" s="189" t="n"/>
      <c r="O362" s="189" t="n"/>
      <c r="P362" s="189" t="n"/>
      <c r="Q362" s="189" t="n"/>
      <c r="R362" s="189" t="n"/>
      <c r="S362" s="189" t="n"/>
      <c r="T362" s="189" t="n"/>
      <c r="U362" s="189" t="n"/>
      <c r="V362" s="189" t="n"/>
      <c r="W362" s="189" t="n"/>
      <c r="X362" s="189" t="n"/>
      <c r="Y362" s="189" t="n"/>
      <c r="Z362" s="189" t="n"/>
      <c r="AA362" s="189" t="n"/>
      <c r="AB362" s="189" t="n"/>
      <c r="AC362" s="189" t="n"/>
      <c r="AD362" s="189" t="n"/>
      <c r="AE362" s="189" t="n"/>
      <c r="AF362" s="189" t="n"/>
      <c r="AG362" s="189" t="n"/>
      <c r="AH362" s="189" t="n"/>
      <c r="AI362" s="51" t="inlineStr">
        <is>
          <t>U7X</t>
        </is>
      </c>
    </row>
    <row r="363">
      <c r="B363" s="189" t="n"/>
      <c r="C363" s="189" t="n"/>
      <c r="D363" s="189" t="n"/>
      <c r="E363" s="189" t="n"/>
      <c r="F363" s="189" t="n"/>
      <c r="G363" s="189" t="n"/>
      <c r="H363" s="189" t="n"/>
      <c r="I363" s="189" t="n"/>
      <c r="J363" s="189" t="n"/>
      <c r="K363" s="189" t="n"/>
      <c r="L363" s="189" t="n"/>
      <c r="M363" s="189" t="n"/>
      <c r="N363" s="189" t="n"/>
      <c r="O363" s="189" t="n"/>
      <c r="P363" s="189" t="n"/>
      <c r="Q363" s="189" t="n"/>
      <c r="R363" s="189" t="n"/>
      <c r="S363" s="189" t="n"/>
      <c r="T363" s="189" t="n"/>
      <c r="U363" s="189" t="n"/>
      <c r="V363" s="189" t="n"/>
      <c r="W363" s="189" t="n"/>
      <c r="X363" s="189" t="n"/>
      <c r="Y363" s="189" t="n"/>
      <c r="Z363" s="189" t="n"/>
      <c r="AA363" s="189" t="n"/>
      <c r="AB363" s="189" t="n"/>
      <c r="AC363" s="189" t="n"/>
      <c r="AD363" s="189" t="n"/>
      <c r="AE363" s="189" t="n"/>
      <c r="AF363" s="189" t="n"/>
      <c r="AG363" s="189" t="n"/>
      <c r="AH363" s="189" t="n"/>
      <c r="AI363" s="51" t="inlineStr">
        <is>
          <t>U7Y</t>
        </is>
      </c>
    </row>
    <row r="364">
      <c r="B364" s="189" t="n"/>
      <c r="C364" s="189" t="n"/>
      <c r="D364" s="189" t="n"/>
      <c r="E364" s="189" t="n"/>
      <c r="F364" s="189" t="n"/>
      <c r="G364" s="189" t="n"/>
      <c r="H364" s="189" t="n"/>
      <c r="I364" s="189" t="n"/>
      <c r="J364" s="189" t="n"/>
      <c r="K364" s="189" t="n"/>
      <c r="L364" s="189" t="n"/>
      <c r="M364" s="189" t="n"/>
      <c r="N364" s="189" t="n"/>
      <c r="O364" s="189" t="n"/>
      <c r="P364" s="189" t="n"/>
      <c r="Q364" s="189" t="n"/>
      <c r="R364" s="189" t="n"/>
      <c r="S364" s="189" t="n"/>
      <c r="T364" s="189" t="n"/>
      <c r="U364" s="189" t="n"/>
      <c r="V364" s="189" t="n"/>
      <c r="W364" s="189" t="n"/>
      <c r="X364" s="189" t="n"/>
      <c r="Y364" s="189" t="n"/>
      <c r="Z364" s="189" t="n"/>
      <c r="AA364" s="189" t="n"/>
      <c r="AB364" s="189" t="n"/>
      <c r="AC364" s="189" t="n"/>
      <c r="AD364" s="189" t="n"/>
      <c r="AE364" s="189" t="n"/>
      <c r="AF364" s="189" t="n"/>
      <c r="AG364" s="189" t="n"/>
      <c r="AH364" s="189" t="n"/>
      <c r="AI364" s="51" t="inlineStr">
        <is>
          <t>U7θ</t>
        </is>
      </c>
    </row>
    <row r="365">
      <c r="B365" s="189" t="n"/>
      <c r="C365" s="189" t="n"/>
      <c r="D365" s="189" t="n"/>
      <c r="E365" s="189" t="n"/>
      <c r="F365" s="189" t="n"/>
      <c r="G365" s="189" t="n"/>
      <c r="H365" s="189" t="n"/>
      <c r="I365" s="189" t="n"/>
      <c r="J365" s="189" t="n"/>
      <c r="K365" s="189" t="n"/>
      <c r="L365" s="189" t="n"/>
      <c r="M365" s="189" t="n"/>
      <c r="N365" s="189" t="n"/>
      <c r="O365" s="189" t="n"/>
      <c r="P365" s="189" t="n"/>
      <c r="Q365" s="189" t="n"/>
      <c r="R365" s="189" t="n"/>
      <c r="S365" s="189" t="n"/>
      <c r="T365" s="189" t="n"/>
      <c r="U365" s="189" t="n"/>
      <c r="V365" s="189" t="n"/>
      <c r="W365" s="189">
        <f>B336</f>
        <v/>
      </c>
      <c r="X365" s="189">
        <f>C336</f>
        <v/>
      </c>
      <c r="Y365" s="189">
        <f>D336</f>
        <v/>
      </c>
      <c r="Z365" s="189">
        <f>E336</f>
        <v/>
      </c>
      <c r="AA365" s="189">
        <f>F336</f>
        <v/>
      </c>
      <c r="AB365" s="189">
        <f>G336</f>
        <v/>
      </c>
      <c r="AC365" s="189" t="n"/>
      <c r="AD365" s="189" t="n"/>
      <c r="AE365" s="189" t="n"/>
      <c r="AF365" s="189" t="n"/>
      <c r="AG365" s="189" t="n"/>
      <c r="AH365" s="189" t="n"/>
      <c r="AI365" s="51" t="inlineStr">
        <is>
          <t>U8X</t>
        </is>
      </c>
    </row>
    <row r="366">
      <c r="B366" s="189" t="n"/>
      <c r="C366" s="189" t="n"/>
      <c r="D366" s="189" t="n"/>
      <c r="E366" s="189" t="n"/>
      <c r="F366" s="189" t="n"/>
      <c r="G366" s="189" t="n"/>
      <c r="H366" s="189" t="n"/>
      <c r="I366" s="189" t="n"/>
      <c r="J366" s="189" t="n"/>
      <c r="K366" s="189" t="n"/>
      <c r="L366" s="189" t="n"/>
      <c r="M366" s="189" t="n"/>
      <c r="N366" s="189" t="n"/>
      <c r="O366" s="189" t="n"/>
      <c r="P366" s="189" t="n"/>
      <c r="Q366" s="189" t="n"/>
      <c r="R366" s="189" t="n"/>
      <c r="S366" s="189" t="n"/>
      <c r="T366" s="189" t="n"/>
      <c r="U366" s="189" t="n"/>
      <c r="V366" s="189" t="n"/>
      <c r="W366" s="189">
        <f>B337</f>
        <v/>
      </c>
      <c r="X366" s="189">
        <f>C337</f>
        <v/>
      </c>
      <c r="Y366" s="189">
        <f>D337</f>
        <v/>
      </c>
      <c r="Z366" s="189">
        <f>E337</f>
        <v/>
      </c>
      <c r="AA366" s="189">
        <f>F337</f>
        <v/>
      </c>
      <c r="AB366" s="189">
        <f>G337</f>
        <v/>
      </c>
      <c r="AC366" s="189" t="n"/>
      <c r="AD366" s="189" t="n"/>
      <c r="AE366" s="189" t="n"/>
      <c r="AF366" s="189" t="n"/>
      <c r="AG366" s="189" t="n"/>
      <c r="AH366" s="189" t="n"/>
      <c r="AI366" s="51" t="inlineStr">
        <is>
          <t>U8Y</t>
        </is>
      </c>
    </row>
    <row r="367">
      <c r="B367" s="189" t="n"/>
      <c r="C367" s="189" t="n"/>
      <c r="D367" s="189" t="n"/>
      <c r="E367" s="189" t="n"/>
      <c r="F367" s="189" t="n"/>
      <c r="G367" s="189" t="n"/>
      <c r="H367" s="189" t="n"/>
      <c r="I367" s="189" t="n"/>
      <c r="J367" s="189" t="n"/>
      <c r="K367" s="189" t="n"/>
      <c r="L367" s="189" t="n"/>
      <c r="M367" s="189" t="n"/>
      <c r="N367" s="189" t="n"/>
      <c r="O367" s="189" t="n"/>
      <c r="P367" s="189" t="n"/>
      <c r="Q367" s="189" t="n"/>
      <c r="R367" s="189" t="n"/>
      <c r="S367" s="189" t="n"/>
      <c r="T367" s="189" t="n"/>
      <c r="U367" s="189" t="n"/>
      <c r="V367" s="189" t="n"/>
      <c r="W367" s="189">
        <f>B338</f>
        <v/>
      </c>
      <c r="X367" s="189">
        <f>C338</f>
        <v/>
      </c>
      <c r="Y367" s="189">
        <f>D338</f>
        <v/>
      </c>
      <c r="Z367" s="189">
        <f>E338</f>
        <v/>
      </c>
      <c r="AA367" s="189">
        <f>F338</f>
        <v/>
      </c>
      <c r="AB367" s="189">
        <f>G338</f>
        <v/>
      </c>
      <c r="AC367" s="189" t="n"/>
      <c r="AD367" s="189" t="n"/>
      <c r="AE367" s="189" t="n"/>
      <c r="AF367" s="189" t="n"/>
      <c r="AG367" s="189" t="n"/>
      <c r="AH367" s="189" t="n"/>
      <c r="AI367" s="51" t="inlineStr">
        <is>
          <t>U8θ</t>
        </is>
      </c>
    </row>
    <row r="368">
      <c r="B368" s="189" t="n"/>
      <c r="C368" s="189" t="n"/>
      <c r="D368" s="189" t="n"/>
      <c r="E368" s="189" t="n"/>
      <c r="F368" s="189" t="n"/>
      <c r="G368" s="189" t="n"/>
      <c r="H368" s="189" t="n"/>
      <c r="I368" s="189" t="n"/>
      <c r="J368" s="189" t="n"/>
      <c r="K368" s="189" t="n"/>
      <c r="L368" s="189" t="n"/>
      <c r="M368" s="189" t="n"/>
      <c r="N368" s="189" t="n"/>
      <c r="O368" s="189" t="n"/>
      <c r="P368" s="189" t="n"/>
      <c r="Q368" s="189" t="n"/>
      <c r="R368" s="189" t="n"/>
      <c r="S368" s="189" t="n"/>
      <c r="T368" s="189" t="n"/>
      <c r="U368" s="189" t="n"/>
      <c r="V368" s="189" t="n"/>
      <c r="W368" s="189">
        <f>B339</f>
        <v/>
      </c>
      <c r="X368" s="189">
        <f>C339</f>
        <v/>
      </c>
      <c r="Y368" s="189">
        <f>D339</f>
        <v/>
      </c>
      <c r="Z368" s="189">
        <f>E339</f>
        <v/>
      </c>
      <c r="AA368" s="189">
        <f>F339</f>
        <v/>
      </c>
      <c r="AB368" s="189">
        <f>G339</f>
        <v/>
      </c>
      <c r="AC368" s="189" t="n"/>
      <c r="AD368" s="189" t="n"/>
      <c r="AE368" s="189" t="n"/>
      <c r="AF368" s="189" t="n"/>
      <c r="AG368" s="189" t="n"/>
      <c r="AH368" s="189" t="n"/>
      <c r="AI368" s="51" t="inlineStr">
        <is>
          <t>U9X</t>
        </is>
      </c>
    </row>
    <row r="369">
      <c r="B369" s="189" t="n"/>
      <c r="C369" s="189" t="n"/>
      <c r="D369" s="189" t="n"/>
      <c r="E369" s="189" t="n"/>
      <c r="F369" s="189" t="n"/>
      <c r="G369" s="189" t="n"/>
      <c r="H369" s="189" t="n"/>
      <c r="I369" s="189" t="n"/>
      <c r="J369" s="189" t="n"/>
      <c r="K369" s="189" t="n"/>
      <c r="L369" s="189" t="n"/>
      <c r="M369" s="189" t="n"/>
      <c r="N369" s="189" t="n"/>
      <c r="O369" s="189" t="n"/>
      <c r="P369" s="189" t="n"/>
      <c r="Q369" s="189" t="n"/>
      <c r="R369" s="189" t="n"/>
      <c r="S369" s="189" t="n"/>
      <c r="T369" s="189" t="n"/>
      <c r="U369" s="189" t="n"/>
      <c r="V369" s="189" t="n"/>
      <c r="W369" s="189">
        <f>B340</f>
        <v/>
      </c>
      <c r="X369" s="189">
        <f>C340</f>
        <v/>
      </c>
      <c r="Y369" s="189">
        <f>D340</f>
        <v/>
      </c>
      <c r="Z369" s="189">
        <f>E340</f>
        <v/>
      </c>
      <c r="AA369" s="189">
        <f>F340</f>
        <v/>
      </c>
      <c r="AB369" s="189">
        <f>G340</f>
        <v/>
      </c>
      <c r="AC369" s="189" t="n"/>
      <c r="AD369" s="189" t="n"/>
      <c r="AE369" s="189" t="n"/>
      <c r="AF369" s="189" t="n"/>
      <c r="AG369" s="189" t="n"/>
      <c r="AH369" s="189" t="n"/>
      <c r="AI369" s="51" t="inlineStr">
        <is>
          <t>U9Y</t>
        </is>
      </c>
    </row>
    <row r="370">
      <c r="B370" s="189" t="n"/>
      <c r="C370" s="189" t="n"/>
      <c r="D370" s="189" t="n"/>
      <c r="E370" s="189" t="n"/>
      <c r="F370" s="189" t="n"/>
      <c r="G370" s="189" t="n"/>
      <c r="H370" s="189" t="n"/>
      <c r="I370" s="189" t="n"/>
      <c r="J370" s="189" t="n"/>
      <c r="K370" s="189" t="n"/>
      <c r="L370" s="189" t="n"/>
      <c r="M370" s="189" t="n"/>
      <c r="N370" s="189" t="n"/>
      <c r="O370" s="189" t="n"/>
      <c r="P370" s="189" t="n"/>
      <c r="Q370" s="189" t="n"/>
      <c r="R370" s="189" t="n"/>
      <c r="S370" s="189" t="n"/>
      <c r="T370" s="189" t="n"/>
      <c r="U370" s="189" t="n"/>
      <c r="V370" s="189" t="n"/>
      <c r="W370" s="189">
        <f>B341</f>
        <v/>
      </c>
      <c r="X370" s="189">
        <f>C341</f>
        <v/>
      </c>
      <c r="Y370" s="189">
        <f>D341</f>
        <v/>
      </c>
      <c r="Z370" s="189">
        <f>E341</f>
        <v/>
      </c>
      <c r="AA370" s="189">
        <f>F341</f>
        <v/>
      </c>
      <c r="AB370" s="189">
        <f>G341</f>
        <v/>
      </c>
      <c r="AC370" s="189" t="n"/>
      <c r="AD370" s="189" t="n"/>
      <c r="AE370" s="189" t="n"/>
      <c r="AF370" s="189" t="n"/>
      <c r="AG370" s="189" t="n"/>
      <c r="AH370" s="189" t="n"/>
      <c r="AI370" s="51" t="inlineStr">
        <is>
          <t>U9θ</t>
        </is>
      </c>
    </row>
    <row r="371">
      <c r="B371" s="189" t="n"/>
      <c r="C371" s="189" t="n"/>
      <c r="D371" s="189" t="n"/>
      <c r="E371" s="189" t="n"/>
      <c r="F371" s="189" t="n"/>
      <c r="G371" s="189" t="n"/>
      <c r="H371" s="189" t="n"/>
      <c r="I371" s="189" t="n"/>
      <c r="J371" s="189" t="n"/>
      <c r="K371" s="189" t="n"/>
      <c r="L371" s="189" t="n"/>
      <c r="M371" s="189" t="n"/>
      <c r="N371" s="189" t="n"/>
      <c r="O371" s="189" t="n"/>
      <c r="P371" s="189" t="n"/>
      <c r="Q371" s="189" t="n"/>
      <c r="R371" s="189" t="n"/>
      <c r="S371" s="189" t="n"/>
      <c r="T371" s="189" t="n"/>
      <c r="U371" s="189" t="n"/>
      <c r="V371" s="189" t="n"/>
      <c r="W371" s="189" t="n"/>
      <c r="X371" s="189" t="n"/>
      <c r="Y371" s="189" t="n"/>
      <c r="Z371" s="189" t="n"/>
      <c r="AA371" s="189" t="n"/>
      <c r="AB371" s="189" t="n"/>
      <c r="AC371" s="189" t="n"/>
      <c r="AD371" s="189" t="n"/>
      <c r="AE371" s="189" t="n"/>
      <c r="AF371" s="189" t="n"/>
      <c r="AG371" s="189" t="n"/>
      <c r="AH371" s="189" t="n"/>
      <c r="AI371" s="51" t="inlineStr">
        <is>
          <t>U10X</t>
        </is>
      </c>
    </row>
    <row r="372">
      <c r="B372" s="189" t="n"/>
      <c r="C372" s="189" t="n"/>
      <c r="D372" s="189" t="n"/>
      <c r="E372" s="189" t="n"/>
      <c r="F372" s="189" t="n"/>
      <c r="G372" s="189" t="n"/>
      <c r="H372" s="189" t="n"/>
      <c r="I372" s="189" t="n"/>
      <c r="J372" s="189" t="n"/>
      <c r="K372" s="189" t="n"/>
      <c r="L372" s="189" t="n"/>
      <c r="M372" s="189" t="n"/>
      <c r="N372" s="189" t="n"/>
      <c r="O372" s="189" t="n"/>
      <c r="P372" s="189" t="n"/>
      <c r="Q372" s="189" t="n"/>
      <c r="R372" s="189" t="n"/>
      <c r="S372" s="189" t="n"/>
      <c r="T372" s="189" t="n"/>
      <c r="U372" s="189" t="n"/>
      <c r="V372" s="189" t="n"/>
      <c r="W372" s="189" t="n"/>
      <c r="X372" s="189" t="n"/>
      <c r="Y372" s="189" t="n"/>
      <c r="Z372" s="189" t="n"/>
      <c r="AA372" s="189" t="n"/>
      <c r="AB372" s="189" t="n"/>
      <c r="AC372" s="189" t="n"/>
      <c r="AD372" s="189" t="n"/>
      <c r="AE372" s="189" t="n"/>
      <c r="AF372" s="189" t="n"/>
      <c r="AG372" s="189" t="n"/>
      <c r="AH372" s="189" t="n"/>
      <c r="AI372" s="51" t="inlineStr">
        <is>
          <t>U10Y</t>
        </is>
      </c>
    </row>
    <row r="373">
      <c r="B373" s="189" t="n"/>
      <c r="C373" s="189" t="n"/>
      <c r="D373" s="189" t="n"/>
      <c r="E373" s="189" t="n"/>
      <c r="F373" s="189" t="n"/>
      <c r="G373" s="189" t="n"/>
      <c r="H373" s="189" t="n"/>
      <c r="I373" s="189" t="n"/>
      <c r="J373" s="189" t="n"/>
      <c r="K373" s="189" t="n"/>
      <c r="L373" s="189" t="n"/>
      <c r="M373" s="189" t="n"/>
      <c r="N373" s="189" t="n"/>
      <c r="O373" s="189" t="n"/>
      <c r="P373" s="189" t="n"/>
      <c r="Q373" s="189" t="n"/>
      <c r="R373" s="189" t="n"/>
      <c r="S373" s="189" t="n"/>
      <c r="T373" s="189" t="n"/>
      <c r="U373" s="189" t="n"/>
      <c r="V373" s="189" t="n"/>
      <c r="W373" s="189" t="n"/>
      <c r="X373" s="189" t="n"/>
      <c r="Y373" s="189" t="n"/>
      <c r="Z373" s="189" t="n"/>
      <c r="AA373" s="189" t="n"/>
      <c r="AB373" s="189" t="n"/>
      <c r="AC373" s="189" t="n"/>
      <c r="AD373" s="189" t="n"/>
      <c r="AE373" s="189" t="n"/>
      <c r="AF373" s="189" t="n"/>
      <c r="AG373" s="189" t="n"/>
      <c r="AH373" s="189" t="n"/>
      <c r="AI373" s="51" t="inlineStr">
        <is>
          <t>U10θ</t>
        </is>
      </c>
    </row>
    <row r="374">
      <c r="B374" s="189" t="n"/>
      <c r="C374" s="189" t="n"/>
      <c r="D374" s="189" t="n"/>
      <c r="E374" s="189" t="n"/>
      <c r="F374" s="189" t="n"/>
      <c r="G374" s="189" t="n"/>
      <c r="H374" s="189" t="n"/>
      <c r="I374" s="189" t="n"/>
      <c r="J374" s="189" t="n"/>
      <c r="K374" s="189" t="n"/>
      <c r="L374" s="189" t="n"/>
      <c r="M374" s="189" t="n"/>
      <c r="N374" s="189" t="n"/>
      <c r="O374" s="189" t="n"/>
      <c r="P374" s="189" t="n"/>
      <c r="Q374" s="189" t="n"/>
      <c r="R374" s="189" t="n"/>
      <c r="S374" s="189" t="n"/>
      <c r="T374" s="189" t="n"/>
      <c r="U374" s="189" t="n"/>
      <c r="V374" s="189" t="n"/>
      <c r="W374" s="189" t="n"/>
      <c r="X374" s="189" t="n"/>
      <c r="Y374" s="189" t="n"/>
      <c r="Z374" s="189" t="n"/>
      <c r="AA374" s="189" t="n"/>
      <c r="AB374" s="189" t="n"/>
      <c r="AC374" s="189" t="n"/>
      <c r="AD374" s="189" t="n"/>
      <c r="AE374" s="189" t="n"/>
      <c r="AF374" s="189" t="n"/>
      <c r="AG374" s="189" t="n"/>
      <c r="AH374" s="189" t="n"/>
      <c r="AI374" s="51" t="inlineStr">
        <is>
          <t>U11X</t>
        </is>
      </c>
    </row>
    <row r="375">
      <c r="B375" s="189" t="n"/>
      <c r="C375" s="189" t="n"/>
      <c r="D375" s="189" t="n"/>
      <c r="E375" s="189" t="n"/>
      <c r="F375" s="189" t="n"/>
      <c r="G375" s="189" t="n"/>
      <c r="H375" s="189" t="n"/>
      <c r="I375" s="189" t="n"/>
      <c r="J375" s="189" t="n"/>
      <c r="K375" s="189" t="n"/>
      <c r="L375" s="189" t="n"/>
      <c r="M375" s="189" t="n"/>
      <c r="N375" s="189" t="n"/>
      <c r="O375" s="189" t="n"/>
      <c r="P375" s="189" t="n"/>
      <c r="Q375" s="189" t="n"/>
      <c r="R375" s="189" t="n"/>
      <c r="S375" s="189" t="n"/>
      <c r="T375" s="189" t="n"/>
      <c r="U375" s="189" t="n"/>
      <c r="V375" s="189" t="n"/>
      <c r="W375" s="189" t="n"/>
      <c r="X375" s="189" t="n"/>
      <c r="Y375" s="189" t="n"/>
      <c r="Z375" s="189" t="n"/>
      <c r="AA375" s="189" t="n"/>
      <c r="AB375" s="189" t="n"/>
      <c r="AC375" s="189" t="n"/>
      <c r="AD375" s="189" t="n"/>
      <c r="AE375" s="189" t="n"/>
      <c r="AF375" s="189" t="n"/>
      <c r="AG375" s="189" t="n"/>
      <c r="AH375" s="189" t="n"/>
      <c r="AI375" s="51" t="inlineStr">
        <is>
          <t>U11Y</t>
        </is>
      </c>
    </row>
    <row r="376">
      <c r="B376" s="189" t="n"/>
      <c r="C376" s="189" t="n"/>
      <c r="D376" s="189" t="n"/>
      <c r="E376" s="189" t="n"/>
      <c r="F376" s="189" t="n"/>
      <c r="G376" s="189" t="n"/>
      <c r="H376" s="189" t="n"/>
      <c r="I376" s="189" t="n"/>
      <c r="J376" s="189" t="n"/>
      <c r="K376" s="189" t="n"/>
      <c r="L376" s="189" t="n"/>
      <c r="M376" s="189" t="n"/>
      <c r="N376" s="189" t="n"/>
      <c r="O376" s="189" t="n"/>
      <c r="P376" s="189" t="n"/>
      <c r="Q376" s="189" t="n"/>
      <c r="R376" s="189" t="n"/>
      <c r="S376" s="189" t="n"/>
      <c r="T376" s="189" t="n"/>
      <c r="U376" s="189" t="n"/>
      <c r="V376" s="189" t="n"/>
      <c r="W376" s="189" t="n"/>
      <c r="X376" s="189" t="n"/>
      <c r="Y376" s="189" t="n"/>
      <c r="Z376" s="189" t="n"/>
      <c r="AA376" s="189" t="n"/>
      <c r="AB376" s="189" t="n"/>
      <c r="AC376" s="189" t="n"/>
      <c r="AD376" s="189" t="n"/>
      <c r="AE376" s="189" t="n"/>
      <c r="AF376" s="189" t="n"/>
      <c r="AG376" s="189" t="n"/>
      <c r="AH376" s="189" t="n"/>
      <c r="AI376" s="51" t="inlineStr">
        <is>
          <t>U11θ</t>
        </is>
      </c>
    </row>
    <row r="378">
      <c r="B378" s="51">
        <f>IF(C30="","", CONCATENATE("U",C30,C$21))</f>
        <v/>
      </c>
      <c r="C378" s="51">
        <f>IF(D30="","", CONCATENATE("U",D30,D$21))</f>
        <v/>
      </c>
      <c r="D378" s="51">
        <f>IF(E30="","", CONCATENATE("U",E30,E$21))</f>
        <v/>
      </c>
      <c r="E378" s="51">
        <f>IF(F30="","", CONCATENATE("U",F30,F$21))</f>
        <v/>
      </c>
      <c r="F378" s="51">
        <f>IF(G30="","", CONCATENATE("U",G30,G$21))</f>
        <v/>
      </c>
      <c r="G378" s="51">
        <f>IF(H30="","", CONCATENATE("U",H30,H$21))</f>
        <v/>
      </c>
    </row>
    <row r="379">
      <c r="B379" s="8">
        <f>IF(I17="", 0, O17*J17*J17+P17*K17*K17)</f>
        <v/>
      </c>
      <c r="C379" s="189">
        <f>IF(I17="", 0, (O17-P17)*(J17*K17))</f>
        <v/>
      </c>
      <c r="D379" s="189">
        <f>IF(I17="", 0, -Q17*K17)</f>
        <v/>
      </c>
      <c r="E379" s="189">
        <f>-B379</f>
        <v/>
      </c>
      <c r="F379" s="189">
        <f>-C379</f>
        <v/>
      </c>
      <c r="G379" s="189">
        <f>D379</f>
        <v/>
      </c>
      <c r="H379" s="51">
        <f>B378</f>
        <v/>
      </c>
    </row>
    <row r="380">
      <c r="B380" s="189">
        <f>C379</f>
        <v/>
      </c>
      <c r="C380" s="8">
        <f>IF(I17="", 0, O17*K17*K17+P17*J17*J17)</f>
        <v/>
      </c>
      <c r="D380" s="189">
        <f>IF(I17="", 0, Q17*J17)</f>
        <v/>
      </c>
      <c r="E380" s="189">
        <f>-B380</f>
        <v/>
      </c>
      <c r="F380" s="189">
        <f>-C380</f>
        <v/>
      </c>
      <c r="G380" s="189">
        <f>D380</f>
        <v/>
      </c>
      <c r="H380" s="51">
        <f>C378</f>
        <v/>
      </c>
    </row>
    <row r="381">
      <c r="A381" s="118" t="inlineStr">
        <is>
          <t>K9 =</t>
        </is>
      </c>
      <c r="B381" s="189">
        <f>D379</f>
        <v/>
      </c>
      <c r="C381" s="189">
        <f>D380</f>
        <v/>
      </c>
      <c r="D381" s="8">
        <f>IF(I17="", 0, R17)</f>
        <v/>
      </c>
      <c r="E381" s="189">
        <f>-B381</f>
        <v/>
      </c>
      <c r="F381" s="189">
        <f>-C381</f>
        <v/>
      </c>
      <c r="G381" s="189">
        <f>IF(I17="", 0, S17)</f>
        <v/>
      </c>
      <c r="H381" s="51">
        <f>D378</f>
        <v/>
      </c>
    </row>
    <row r="382">
      <c r="B382" s="189">
        <f>E379</f>
        <v/>
      </c>
      <c r="C382" s="189">
        <f>E380</f>
        <v/>
      </c>
      <c r="D382" s="189">
        <f>E381</f>
        <v/>
      </c>
      <c r="E382" s="8">
        <f>B379</f>
        <v/>
      </c>
      <c r="F382" s="189">
        <f>C379</f>
        <v/>
      </c>
      <c r="G382" s="189">
        <f>-D379</f>
        <v/>
      </c>
      <c r="H382" s="51">
        <f>E378</f>
        <v/>
      </c>
    </row>
    <row r="383">
      <c r="B383" s="189">
        <f>F379</f>
        <v/>
      </c>
      <c r="C383" s="189">
        <f>F380</f>
        <v/>
      </c>
      <c r="D383" s="189">
        <f>F381</f>
        <v/>
      </c>
      <c r="E383" s="189">
        <f>F382</f>
        <v/>
      </c>
      <c r="F383" s="8">
        <f>C380</f>
        <v/>
      </c>
      <c r="G383" s="189">
        <f>-D380</f>
        <v/>
      </c>
      <c r="H383" s="51">
        <f>F378</f>
        <v/>
      </c>
    </row>
    <row r="384">
      <c r="B384" s="189">
        <f>G379</f>
        <v/>
      </c>
      <c r="C384" s="189">
        <f>G380</f>
        <v/>
      </c>
      <c r="D384" s="189">
        <f>G381</f>
        <v/>
      </c>
      <c r="E384" s="189">
        <f>G382</f>
        <v/>
      </c>
      <c r="F384" s="189">
        <f>G383</f>
        <v/>
      </c>
      <c r="G384" s="8">
        <f>D381</f>
        <v/>
      </c>
      <c r="H384" s="51">
        <f>G378</f>
        <v/>
      </c>
    </row>
    <row r="386">
      <c r="B386" s="51" t="inlineStr">
        <is>
          <t>U1X</t>
        </is>
      </c>
      <c r="C386" s="51" t="inlineStr">
        <is>
          <t>U1Y</t>
        </is>
      </c>
      <c r="D386" s="51" t="inlineStr">
        <is>
          <t>U1θ</t>
        </is>
      </c>
      <c r="E386" s="51" t="inlineStr">
        <is>
          <t>U2X</t>
        </is>
      </c>
      <c r="F386" s="51" t="inlineStr">
        <is>
          <t>U2Y</t>
        </is>
      </c>
      <c r="G386" s="51" t="inlineStr">
        <is>
          <t>U2θ</t>
        </is>
      </c>
      <c r="H386" s="51" t="inlineStr">
        <is>
          <t>U3X</t>
        </is>
      </c>
      <c r="I386" s="51" t="inlineStr">
        <is>
          <t>U3Y</t>
        </is>
      </c>
      <c r="J386" s="51" t="inlineStr">
        <is>
          <t>U3θ</t>
        </is>
      </c>
      <c r="K386" s="51" t="inlineStr">
        <is>
          <t>U4X</t>
        </is>
      </c>
      <c r="L386" s="51" t="inlineStr">
        <is>
          <t>U4Y</t>
        </is>
      </c>
      <c r="M386" s="51" t="inlineStr">
        <is>
          <t>U4θ</t>
        </is>
      </c>
      <c r="N386" s="51" t="inlineStr">
        <is>
          <t>U5X</t>
        </is>
      </c>
      <c r="O386" s="51" t="inlineStr">
        <is>
          <t>U5Y</t>
        </is>
      </c>
      <c r="P386" s="51" t="inlineStr">
        <is>
          <t>U5θ</t>
        </is>
      </c>
      <c r="Q386" s="51" t="inlineStr">
        <is>
          <t>U6X</t>
        </is>
      </c>
      <c r="R386" s="51" t="inlineStr">
        <is>
          <t>U6Y</t>
        </is>
      </c>
      <c r="S386" s="51" t="inlineStr">
        <is>
          <t>U6θ</t>
        </is>
      </c>
      <c r="T386" s="51" t="inlineStr">
        <is>
          <t>U7X</t>
        </is>
      </c>
      <c r="U386" s="51" t="inlineStr">
        <is>
          <t>U7Y</t>
        </is>
      </c>
      <c r="V386" s="51" t="inlineStr">
        <is>
          <t>U7θ</t>
        </is>
      </c>
      <c r="W386" s="51" t="inlineStr">
        <is>
          <t>U8X</t>
        </is>
      </c>
      <c r="X386" s="51" t="inlineStr">
        <is>
          <t>U8Y</t>
        </is>
      </c>
      <c r="Y386" s="51" t="inlineStr">
        <is>
          <t>U8θ</t>
        </is>
      </c>
      <c r="Z386" s="51" t="inlineStr">
        <is>
          <t>U9X</t>
        </is>
      </c>
      <c r="AA386" s="51" t="inlineStr">
        <is>
          <t>U9Y</t>
        </is>
      </c>
      <c r="AB386" s="51" t="inlineStr">
        <is>
          <t>U9θ</t>
        </is>
      </c>
      <c r="AC386" s="51" t="inlineStr">
        <is>
          <t>U10X</t>
        </is>
      </c>
      <c r="AD386" s="51" t="inlineStr">
        <is>
          <t>U10Y</t>
        </is>
      </c>
      <c r="AE386" s="51" t="inlineStr">
        <is>
          <t>U10θ</t>
        </is>
      </c>
      <c r="AF386" s="51" t="inlineStr">
        <is>
          <t>U11X</t>
        </is>
      </c>
      <c r="AG386" s="51" t="inlineStr">
        <is>
          <t>U11Y</t>
        </is>
      </c>
      <c r="AH386" s="51" t="inlineStr">
        <is>
          <t>U11θ</t>
        </is>
      </c>
    </row>
    <row r="387">
      <c r="B387" s="189" t="n"/>
      <c r="C387" s="189" t="n"/>
      <c r="D387" s="189" t="n"/>
      <c r="E387" s="189" t="n"/>
      <c r="F387" s="189" t="n"/>
      <c r="G387" s="189" t="n"/>
      <c r="H387" s="189" t="n"/>
      <c r="I387" s="189" t="n"/>
      <c r="J387" s="189" t="n"/>
      <c r="K387" s="189" t="n"/>
      <c r="L387" s="189" t="n"/>
      <c r="M387" s="189" t="n"/>
      <c r="N387" s="189" t="n"/>
      <c r="O387" s="189" t="n"/>
      <c r="P387" s="189" t="n"/>
      <c r="Q387" s="189" t="n"/>
      <c r="R387" s="189" t="n"/>
      <c r="S387" s="189" t="n"/>
      <c r="T387" s="189" t="n"/>
      <c r="U387" s="189" t="n"/>
      <c r="V387" s="189" t="n"/>
      <c r="W387" s="189" t="n"/>
      <c r="X387" s="189" t="n"/>
      <c r="Y387" s="189" t="n"/>
      <c r="Z387" s="189" t="n"/>
      <c r="AA387" s="189" t="n"/>
      <c r="AB387" s="189" t="n"/>
      <c r="AC387" s="189" t="n"/>
      <c r="AD387" s="189" t="n"/>
      <c r="AE387" s="189" t="n"/>
      <c r="AF387" s="189" t="n"/>
      <c r="AG387" s="189" t="n"/>
      <c r="AH387" s="189" t="n"/>
      <c r="AI387" s="51" t="inlineStr">
        <is>
          <t>U1X</t>
        </is>
      </c>
    </row>
    <row r="388">
      <c r="B388" s="189" t="n"/>
      <c r="C388" s="189" t="n"/>
      <c r="D388" s="189" t="n"/>
      <c r="E388" s="189" t="n"/>
      <c r="F388" s="189" t="n"/>
      <c r="G388" s="189" t="n"/>
      <c r="H388" s="189" t="n"/>
      <c r="I388" s="189" t="n"/>
      <c r="J388" s="189" t="n"/>
      <c r="K388" s="189" t="n"/>
      <c r="L388" s="189" t="n"/>
      <c r="M388" s="189" t="n"/>
      <c r="N388" s="189" t="n"/>
      <c r="O388" s="189" t="n"/>
      <c r="P388" s="189" t="n"/>
      <c r="Q388" s="189" t="n"/>
      <c r="R388" s="189" t="n"/>
      <c r="S388" s="189" t="n"/>
      <c r="T388" s="189" t="n"/>
      <c r="U388" s="189" t="n"/>
      <c r="V388" s="189" t="n"/>
      <c r="W388" s="189" t="n"/>
      <c r="X388" s="189" t="n"/>
      <c r="Y388" s="189" t="n"/>
      <c r="Z388" s="189" t="n"/>
      <c r="AA388" s="189" t="n"/>
      <c r="AB388" s="189" t="n"/>
      <c r="AC388" s="189" t="n"/>
      <c r="AD388" s="189" t="n"/>
      <c r="AE388" s="189" t="n"/>
      <c r="AF388" s="189" t="n"/>
      <c r="AG388" s="189" t="n"/>
      <c r="AH388" s="189" t="n"/>
      <c r="AI388" s="51" t="inlineStr">
        <is>
          <t>U1Y</t>
        </is>
      </c>
    </row>
    <row r="389">
      <c r="B389" s="189" t="n"/>
      <c r="C389" s="189" t="n"/>
      <c r="D389" s="189" t="n"/>
      <c r="E389" s="189" t="n"/>
      <c r="F389" s="189" t="n"/>
      <c r="G389" s="189" t="n"/>
      <c r="H389" s="189" t="n"/>
      <c r="I389" s="189" t="n"/>
      <c r="J389" s="189" t="n"/>
      <c r="K389" s="189" t="n"/>
      <c r="L389" s="189" t="n"/>
      <c r="M389" s="189" t="n"/>
      <c r="N389" s="189" t="n"/>
      <c r="O389" s="189" t="n"/>
      <c r="P389" s="189" t="n"/>
      <c r="Q389" s="189" t="n"/>
      <c r="R389" s="189" t="n"/>
      <c r="S389" s="189" t="n"/>
      <c r="T389" s="189" t="n"/>
      <c r="U389" s="189" t="n"/>
      <c r="V389" s="189" t="n"/>
      <c r="W389" s="189" t="n"/>
      <c r="X389" s="189" t="n"/>
      <c r="Y389" s="189" t="n"/>
      <c r="Z389" s="189" t="n"/>
      <c r="AA389" s="189" t="n"/>
      <c r="AB389" s="189" t="n"/>
      <c r="AC389" s="189" t="n"/>
      <c r="AD389" s="189" t="n"/>
      <c r="AE389" s="189" t="n"/>
      <c r="AF389" s="189" t="n"/>
      <c r="AG389" s="189" t="n"/>
      <c r="AH389" s="189" t="n"/>
      <c r="AI389" s="51" t="inlineStr">
        <is>
          <t>U1θ</t>
        </is>
      </c>
    </row>
    <row r="390">
      <c r="B390" s="189" t="n"/>
      <c r="C390" s="189" t="n"/>
      <c r="D390" s="189" t="n"/>
      <c r="E390" s="189" t="n"/>
      <c r="F390" s="189" t="n"/>
      <c r="G390" s="189" t="n"/>
      <c r="H390" s="189" t="n"/>
      <c r="I390" s="189" t="n"/>
      <c r="J390" s="189" t="n"/>
      <c r="K390" s="189" t="n"/>
      <c r="L390" s="189" t="n"/>
      <c r="M390" s="189" t="n"/>
      <c r="N390" s="189" t="n"/>
      <c r="O390" s="189" t="n"/>
      <c r="P390" s="189" t="n"/>
      <c r="Q390" s="189" t="n"/>
      <c r="R390" s="189" t="n"/>
      <c r="S390" s="189" t="n"/>
      <c r="T390" s="189" t="n"/>
      <c r="U390" s="189" t="n"/>
      <c r="V390" s="189" t="n"/>
      <c r="W390" s="189" t="n"/>
      <c r="X390" s="189" t="n"/>
      <c r="Y390" s="189" t="n"/>
      <c r="Z390" s="189" t="n"/>
      <c r="AA390" s="189" t="n"/>
      <c r="AB390" s="189" t="n"/>
      <c r="AC390" s="189" t="n"/>
      <c r="AD390" s="189" t="n"/>
      <c r="AE390" s="189" t="n"/>
      <c r="AF390" s="189" t="n"/>
      <c r="AG390" s="189" t="n"/>
      <c r="AH390" s="189" t="n"/>
      <c r="AI390" s="51" t="inlineStr">
        <is>
          <t>U2X</t>
        </is>
      </c>
    </row>
    <row r="391">
      <c r="B391" s="189" t="n"/>
      <c r="C391" s="189" t="n"/>
      <c r="D391" s="189" t="n"/>
      <c r="E391" s="189" t="n"/>
      <c r="F391" s="189" t="n"/>
      <c r="G391" s="189" t="n"/>
      <c r="H391" s="189" t="n"/>
      <c r="I391" s="189" t="n"/>
      <c r="J391" s="189" t="n"/>
      <c r="K391" s="189" t="n"/>
      <c r="L391" s="189" t="n"/>
      <c r="M391" s="189" t="n"/>
      <c r="N391" s="189" t="n"/>
      <c r="O391" s="189" t="n"/>
      <c r="P391" s="189" t="n"/>
      <c r="Q391" s="189" t="n"/>
      <c r="R391" s="189" t="n"/>
      <c r="S391" s="189" t="n"/>
      <c r="T391" s="189" t="n"/>
      <c r="U391" s="189" t="n"/>
      <c r="V391" s="189" t="n"/>
      <c r="W391" s="189" t="n"/>
      <c r="X391" s="189" t="n"/>
      <c r="Y391" s="189" t="n"/>
      <c r="Z391" s="189" t="n"/>
      <c r="AA391" s="189" t="n"/>
      <c r="AB391" s="189" t="n"/>
      <c r="AC391" s="189" t="n"/>
      <c r="AD391" s="189" t="n"/>
      <c r="AE391" s="189" t="n"/>
      <c r="AF391" s="189" t="n"/>
      <c r="AG391" s="189" t="n"/>
      <c r="AH391" s="189" t="n"/>
      <c r="AI391" s="51" t="inlineStr">
        <is>
          <t>U2Y</t>
        </is>
      </c>
    </row>
    <row r="392">
      <c r="B392" s="189" t="n"/>
      <c r="C392" s="189" t="n"/>
      <c r="D392" s="189" t="n"/>
      <c r="E392" s="189" t="n"/>
      <c r="F392" s="189" t="n"/>
      <c r="G392" s="189" t="n"/>
      <c r="H392" s="189" t="n"/>
      <c r="I392" s="189" t="n"/>
      <c r="J392" s="189" t="n"/>
      <c r="K392" s="189" t="n"/>
      <c r="L392" s="189" t="n"/>
      <c r="M392" s="189" t="n"/>
      <c r="N392" s="189" t="n"/>
      <c r="O392" s="189" t="n"/>
      <c r="P392" s="189" t="n"/>
      <c r="Q392" s="189" t="n"/>
      <c r="R392" s="189" t="n"/>
      <c r="S392" s="189" t="n"/>
      <c r="T392" s="189" t="n"/>
      <c r="U392" s="189" t="n"/>
      <c r="V392" s="189" t="n"/>
      <c r="W392" s="189" t="n"/>
      <c r="X392" s="189" t="n"/>
      <c r="Y392" s="189" t="n"/>
      <c r="Z392" s="189" t="n"/>
      <c r="AA392" s="189" t="n"/>
      <c r="AB392" s="189" t="n"/>
      <c r="AC392" s="189" t="n"/>
      <c r="AD392" s="189" t="n"/>
      <c r="AE392" s="189" t="n"/>
      <c r="AF392" s="189" t="n"/>
      <c r="AG392" s="189" t="n"/>
      <c r="AH392" s="189" t="n"/>
      <c r="AI392" s="51" t="inlineStr">
        <is>
          <t>U2θ</t>
        </is>
      </c>
    </row>
    <row r="393">
      <c r="B393" s="189" t="n"/>
      <c r="C393" s="189" t="n"/>
      <c r="D393" s="189" t="n"/>
      <c r="E393" s="189" t="n"/>
      <c r="F393" s="189" t="n"/>
      <c r="G393" s="189" t="n"/>
      <c r="H393" s="189" t="n"/>
      <c r="I393" s="189" t="n"/>
      <c r="J393" s="189" t="n"/>
      <c r="K393" s="189" t="n"/>
      <c r="L393" s="189" t="n"/>
      <c r="M393" s="189" t="n"/>
      <c r="N393" s="189" t="n"/>
      <c r="O393" s="189" t="n"/>
      <c r="P393" s="189" t="n"/>
      <c r="Q393" s="189" t="n"/>
      <c r="R393" s="189" t="n"/>
      <c r="S393" s="189" t="n"/>
      <c r="T393" s="189" t="n"/>
      <c r="U393" s="189" t="n"/>
      <c r="V393" s="189" t="n"/>
      <c r="W393" s="189" t="n"/>
      <c r="X393" s="189" t="n"/>
      <c r="Y393" s="189" t="n"/>
      <c r="Z393" s="189" t="n"/>
      <c r="AA393" s="189" t="n"/>
      <c r="AB393" s="189" t="n"/>
      <c r="AC393" s="189" t="n"/>
      <c r="AD393" s="189" t="n"/>
      <c r="AE393" s="189" t="n"/>
      <c r="AF393" s="189" t="n"/>
      <c r="AG393" s="189" t="n"/>
      <c r="AH393" s="189" t="n"/>
      <c r="AI393" s="51" t="inlineStr">
        <is>
          <t>U3X</t>
        </is>
      </c>
    </row>
    <row r="394">
      <c r="B394" s="189" t="n"/>
      <c r="C394" s="189" t="n"/>
      <c r="D394" s="189" t="n"/>
      <c r="E394" s="189" t="n"/>
      <c r="F394" s="189" t="n"/>
      <c r="G394" s="189" t="n"/>
      <c r="H394" s="189" t="n"/>
      <c r="I394" s="189" t="n"/>
      <c r="J394" s="189" t="n"/>
      <c r="K394" s="189" t="n"/>
      <c r="L394" s="189" t="n"/>
      <c r="M394" s="189" t="n"/>
      <c r="N394" s="189" t="n"/>
      <c r="O394" s="189" t="n"/>
      <c r="P394" s="189" t="n"/>
      <c r="Q394" s="189" t="n"/>
      <c r="R394" s="189" t="n"/>
      <c r="S394" s="189" t="n"/>
      <c r="T394" s="189" t="n"/>
      <c r="U394" s="189" t="n"/>
      <c r="V394" s="189" t="n"/>
      <c r="W394" s="189" t="n"/>
      <c r="X394" s="189" t="n"/>
      <c r="Y394" s="189" t="n"/>
      <c r="Z394" s="189" t="n"/>
      <c r="AA394" s="189" t="n"/>
      <c r="AB394" s="189" t="n"/>
      <c r="AC394" s="189" t="n"/>
      <c r="AD394" s="189" t="n"/>
      <c r="AE394" s="189" t="n"/>
      <c r="AF394" s="189" t="n"/>
      <c r="AG394" s="189" t="n"/>
      <c r="AH394" s="189" t="n"/>
      <c r="AI394" s="51" t="inlineStr">
        <is>
          <t>U3Y</t>
        </is>
      </c>
    </row>
    <row r="395">
      <c r="B395" s="189" t="n"/>
      <c r="C395" s="189" t="n"/>
      <c r="D395" s="189" t="n"/>
      <c r="E395" s="189" t="n"/>
      <c r="F395" s="189" t="n"/>
      <c r="G395" s="189" t="n"/>
      <c r="H395" s="189" t="n"/>
      <c r="I395" s="189" t="n"/>
      <c r="J395" s="189" t="n"/>
      <c r="K395" s="189" t="n"/>
      <c r="L395" s="189" t="n"/>
      <c r="M395" s="189" t="n"/>
      <c r="N395" s="189" t="n"/>
      <c r="O395" s="189" t="n"/>
      <c r="P395" s="189" t="n"/>
      <c r="Q395" s="189" t="n"/>
      <c r="R395" s="189" t="n"/>
      <c r="S395" s="189" t="n"/>
      <c r="T395" s="189" t="n"/>
      <c r="U395" s="189" t="n"/>
      <c r="V395" s="189" t="n"/>
      <c r="W395" s="189" t="n"/>
      <c r="X395" s="189" t="n"/>
      <c r="Y395" s="189" t="n"/>
      <c r="Z395" s="189" t="n"/>
      <c r="AA395" s="189" t="n"/>
      <c r="AB395" s="189" t="n"/>
      <c r="AC395" s="189" t="n"/>
      <c r="AD395" s="189" t="n"/>
      <c r="AE395" s="189" t="n"/>
      <c r="AF395" s="189" t="n"/>
      <c r="AG395" s="189" t="n"/>
      <c r="AH395" s="189" t="n"/>
      <c r="AI395" s="51" t="inlineStr">
        <is>
          <t>U3θ</t>
        </is>
      </c>
    </row>
    <row r="396">
      <c r="B396" s="189" t="n"/>
      <c r="C396" s="189" t="n"/>
      <c r="D396" s="189" t="n"/>
      <c r="E396" s="189" t="n"/>
      <c r="F396" s="189" t="n"/>
      <c r="G396" s="189" t="n"/>
      <c r="H396" s="189" t="n"/>
      <c r="I396" s="189" t="n"/>
      <c r="J396" s="189" t="n"/>
      <c r="K396" s="189" t="n"/>
      <c r="L396" s="189" t="n"/>
      <c r="M396" s="189" t="n"/>
      <c r="N396" s="189" t="n"/>
      <c r="O396" s="189" t="n"/>
      <c r="P396" s="189" t="n"/>
      <c r="Q396" s="189" t="n"/>
      <c r="R396" s="189" t="n"/>
      <c r="S396" s="189" t="n"/>
      <c r="T396" s="189" t="n"/>
      <c r="U396" s="189" t="n"/>
      <c r="V396" s="189" t="n"/>
      <c r="W396" s="189" t="n"/>
      <c r="X396" s="189" t="n"/>
      <c r="Y396" s="189" t="n"/>
      <c r="Z396" s="189" t="n"/>
      <c r="AA396" s="189" t="n"/>
      <c r="AB396" s="189" t="n"/>
      <c r="AC396" s="189" t="n"/>
      <c r="AD396" s="189" t="n"/>
      <c r="AE396" s="189" t="n"/>
      <c r="AF396" s="189" t="n"/>
      <c r="AG396" s="189" t="n"/>
      <c r="AH396" s="189" t="n"/>
      <c r="AI396" s="51" t="inlineStr">
        <is>
          <t>U4X</t>
        </is>
      </c>
    </row>
    <row r="397">
      <c r="B397" s="189" t="n"/>
      <c r="C397" s="189" t="n"/>
      <c r="D397" s="189" t="n"/>
      <c r="E397" s="189" t="n"/>
      <c r="F397" s="189" t="n"/>
      <c r="G397" s="189" t="n"/>
      <c r="H397" s="189" t="n"/>
      <c r="I397" s="189" t="n"/>
      <c r="J397" s="189" t="n"/>
      <c r="K397" s="189" t="n"/>
      <c r="L397" s="189" t="n"/>
      <c r="M397" s="189" t="n"/>
      <c r="N397" s="189" t="n"/>
      <c r="O397" s="189" t="n"/>
      <c r="P397" s="189" t="n"/>
      <c r="Q397" s="189" t="n"/>
      <c r="R397" s="189" t="n"/>
      <c r="S397" s="189" t="n"/>
      <c r="T397" s="189" t="n"/>
      <c r="U397" s="189" t="n"/>
      <c r="V397" s="189" t="n"/>
      <c r="W397" s="189" t="n"/>
      <c r="X397" s="189" t="n"/>
      <c r="Y397" s="189" t="n"/>
      <c r="Z397" s="189" t="n"/>
      <c r="AA397" s="189" t="n"/>
      <c r="AB397" s="189" t="n"/>
      <c r="AC397" s="189" t="n"/>
      <c r="AD397" s="189" t="n"/>
      <c r="AE397" s="189" t="n"/>
      <c r="AF397" s="189" t="n"/>
      <c r="AG397" s="189" t="n"/>
      <c r="AH397" s="189" t="n"/>
      <c r="AI397" s="51" t="inlineStr">
        <is>
          <t>U4Y</t>
        </is>
      </c>
    </row>
    <row r="398">
      <c r="B398" s="189" t="n"/>
      <c r="C398" s="189" t="n"/>
      <c r="D398" s="189" t="n"/>
      <c r="E398" s="189" t="n"/>
      <c r="F398" s="189" t="n"/>
      <c r="G398" s="189" t="n"/>
      <c r="H398" s="189" t="n"/>
      <c r="I398" s="189" t="n"/>
      <c r="J398" s="189" t="n"/>
      <c r="K398" s="189" t="n"/>
      <c r="L398" s="189" t="n"/>
      <c r="M398" s="189" t="n"/>
      <c r="N398" s="189" t="n"/>
      <c r="O398" s="189" t="n"/>
      <c r="P398" s="189" t="n"/>
      <c r="Q398" s="189" t="n"/>
      <c r="R398" s="189" t="n"/>
      <c r="S398" s="189" t="n"/>
      <c r="T398" s="189" t="n"/>
      <c r="U398" s="189" t="n"/>
      <c r="V398" s="189" t="n"/>
      <c r="W398" s="189" t="n"/>
      <c r="X398" s="189" t="n"/>
      <c r="Y398" s="189" t="n"/>
      <c r="Z398" s="189" t="n"/>
      <c r="AA398" s="189" t="n"/>
      <c r="AB398" s="189" t="n"/>
      <c r="AC398" s="189" t="n"/>
      <c r="AD398" s="189" t="n"/>
      <c r="AE398" s="189" t="n"/>
      <c r="AF398" s="189" t="n"/>
      <c r="AG398" s="189" t="n"/>
      <c r="AH398" s="189" t="n"/>
      <c r="AI398" s="51" t="inlineStr">
        <is>
          <t>U4θ</t>
        </is>
      </c>
    </row>
    <row r="399">
      <c r="B399" s="189" t="n"/>
      <c r="C399" s="189" t="n"/>
      <c r="D399" s="189" t="n"/>
      <c r="E399" s="189" t="n"/>
      <c r="F399" s="189" t="n"/>
      <c r="G399" s="189" t="n"/>
      <c r="H399" s="189" t="n"/>
      <c r="I399" s="189" t="n"/>
      <c r="J399" s="189" t="n"/>
      <c r="K399" s="189" t="n"/>
      <c r="L399" s="189" t="n"/>
      <c r="M399" s="189" t="n"/>
      <c r="N399" s="189" t="n"/>
      <c r="O399" s="189" t="n"/>
      <c r="P399" s="189" t="n"/>
      <c r="Q399" s="189" t="n"/>
      <c r="R399" s="189" t="n"/>
      <c r="S399" s="189" t="n"/>
      <c r="T399" s="189" t="n"/>
      <c r="U399" s="189" t="n"/>
      <c r="V399" s="189" t="n"/>
      <c r="W399" s="189" t="n"/>
      <c r="X399" s="189" t="n"/>
      <c r="Y399" s="189" t="n"/>
      <c r="Z399" s="189" t="n"/>
      <c r="AA399" s="189" t="n"/>
      <c r="AB399" s="189" t="n"/>
      <c r="AC399" s="189" t="n"/>
      <c r="AD399" s="189" t="n"/>
      <c r="AE399" s="189" t="n"/>
      <c r="AF399" s="189" t="n"/>
      <c r="AG399" s="189" t="n"/>
      <c r="AH399" s="189" t="n"/>
      <c r="AI399" s="51" t="inlineStr">
        <is>
          <t>U5X</t>
        </is>
      </c>
    </row>
    <row r="400">
      <c r="B400" s="189" t="n"/>
      <c r="C400" s="189" t="n"/>
      <c r="D400" s="189" t="n"/>
      <c r="E400" s="189" t="n"/>
      <c r="F400" s="189" t="n"/>
      <c r="G400" s="189" t="n"/>
      <c r="H400" s="189" t="n"/>
      <c r="I400" s="189" t="n"/>
      <c r="J400" s="189" t="n"/>
      <c r="K400" s="189" t="n"/>
      <c r="L400" s="189" t="n"/>
      <c r="M400" s="189" t="n"/>
      <c r="N400" s="189" t="n"/>
      <c r="O400" s="189" t="n"/>
      <c r="P400" s="189" t="n"/>
      <c r="Q400" s="189" t="n"/>
      <c r="R400" s="189" t="n"/>
      <c r="S400" s="189" t="n"/>
      <c r="T400" s="189" t="n"/>
      <c r="U400" s="189" t="n"/>
      <c r="V400" s="189" t="n"/>
      <c r="W400" s="189" t="n"/>
      <c r="X400" s="189" t="n"/>
      <c r="Y400" s="189" t="n"/>
      <c r="Z400" s="189" t="n"/>
      <c r="AA400" s="189" t="n"/>
      <c r="AB400" s="189" t="n"/>
      <c r="AC400" s="189" t="n"/>
      <c r="AD400" s="189" t="n"/>
      <c r="AE400" s="189" t="n"/>
      <c r="AF400" s="189" t="n"/>
      <c r="AG400" s="189" t="n"/>
      <c r="AH400" s="189" t="n"/>
      <c r="AI400" s="51" t="inlineStr">
        <is>
          <t>U5Y</t>
        </is>
      </c>
    </row>
    <row r="401">
      <c r="B401" s="189" t="n"/>
      <c r="C401" s="189" t="n"/>
      <c r="D401" s="189" t="n"/>
      <c r="E401" s="189" t="n"/>
      <c r="F401" s="189" t="n"/>
      <c r="G401" s="189" t="n"/>
      <c r="H401" s="189" t="n"/>
      <c r="I401" s="189" t="n"/>
      <c r="J401" s="189" t="n"/>
      <c r="K401" s="189" t="n"/>
      <c r="L401" s="189" t="n"/>
      <c r="M401" s="189" t="n"/>
      <c r="N401" s="189" t="n"/>
      <c r="O401" s="189" t="n"/>
      <c r="P401" s="189" t="n"/>
      <c r="Q401" s="189" t="n"/>
      <c r="R401" s="189" t="n"/>
      <c r="S401" s="189" t="n"/>
      <c r="T401" s="189" t="n"/>
      <c r="U401" s="189" t="n"/>
      <c r="V401" s="189" t="n"/>
      <c r="W401" s="189" t="n"/>
      <c r="X401" s="189" t="n"/>
      <c r="Y401" s="189" t="n"/>
      <c r="Z401" s="189" t="n"/>
      <c r="AA401" s="189" t="n"/>
      <c r="AB401" s="189" t="n"/>
      <c r="AC401" s="189" t="n"/>
      <c r="AD401" s="189" t="n"/>
      <c r="AE401" s="189" t="n"/>
      <c r="AF401" s="189" t="n"/>
      <c r="AG401" s="189" t="n"/>
      <c r="AH401" s="189" t="n"/>
      <c r="AI401" s="51" t="inlineStr">
        <is>
          <t>U5θ</t>
        </is>
      </c>
    </row>
    <row r="402">
      <c r="A402" s="118" t="inlineStr">
        <is>
          <t>K9 =</t>
        </is>
      </c>
      <c r="B402" s="189" t="n"/>
      <c r="C402" s="189" t="n"/>
      <c r="D402" s="189" t="n"/>
      <c r="E402" s="189" t="n"/>
      <c r="F402" s="189" t="n"/>
      <c r="G402" s="189" t="n"/>
      <c r="H402" s="189" t="n"/>
      <c r="I402" s="189" t="n"/>
      <c r="J402" s="189" t="n"/>
      <c r="K402" s="189" t="n"/>
      <c r="L402" s="189" t="n"/>
      <c r="M402" s="189" t="n"/>
      <c r="N402" s="189" t="n"/>
      <c r="O402" s="189" t="n"/>
      <c r="P402" s="189" t="n"/>
      <c r="Q402" s="189" t="n"/>
      <c r="R402" s="189" t="n"/>
      <c r="S402" s="189" t="n"/>
      <c r="T402" s="189" t="n"/>
      <c r="U402" s="189" t="n"/>
      <c r="V402" s="189" t="n"/>
      <c r="W402" s="189" t="n"/>
      <c r="X402" s="189" t="n"/>
      <c r="Y402" s="189" t="n"/>
      <c r="Z402" s="189" t="n"/>
      <c r="AA402" s="189" t="n"/>
      <c r="AB402" s="189" t="n"/>
      <c r="AC402" s="189" t="n"/>
      <c r="AD402" s="189" t="n"/>
      <c r="AE402" s="189" t="n"/>
      <c r="AF402" s="189" t="n"/>
      <c r="AG402" s="189" t="n"/>
      <c r="AH402" s="189" t="n"/>
      <c r="AI402" s="51" t="inlineStr">
        <is>
          <t>U6X</t>
        </is>
      </c>
    </row>
    <row r="403">
      <c r="B403" s="189" t="n"/>
      <c r="C403" s="189" t="n"/>
      <c r="D403" s="189" t="n"/>
      <c r="E403" s="189" t="n"/>
      <c r="F403" s="189" t="n"/>
      <c r="G403" s="189" t="n"/>
      <c r="H403" s="189" t="n"/>
      <c r="I403" s="189" t="n"/>
      <c r="J403" s="189" t="n"/>
      <c r="K403" s="189" t="n"/>
      <c r="L403" s="189" t="n"/>
      <c r="M403" s="189" t="n"/>
      <c r="N403" s="189" t="n"/>
      <c r="O403" s="189" t="n"/>
      <c r="P403" s="189" t="n"/>
      <c r="Q403" s="189" t="n"/>
      <c r="R403" s="189" t="n"/>
      <c r="S403" s="189" t="n"/>
      <c r="T403" s="189" t="n"/>
      <c r="U403" s="189" t="n"/>
      <c r="V403" s="189" t="n"/>
      <c r="W403" s="189" t="n"/>
      <c r="X403" s="189" t="n"/>
      <c r="Y403" s="189" t="n"/>
      <c r="Z403" s="189" t="n"/>
      <c r="AA403" s="189" t="n"/>
      <c r="AB403" s="189" t="n"/>
      <c r="AC403" s="189" t="n"/>
      <c r="AD403" s="189" t="n"/>
      <c r="AE403" s="189" t="n"/>
      <c r="AF403" s="189" t="n"/>
      <c r="AG403" s="189" t="n"/>
      <c r="AH403" s="189" t="n"/>
      <c r="AI403" s="51" t="inlineStr">
        <is>
          <t>U6Y</t>
        </is>
      </c>
    </row>
    <row r="404">
      <c r="B404" s="189" t="n"/>
      <c r="C404" s="189" t="n"/>
      <c r="D404" s="189" t="n"/>
      <c r="E404" s="189" t="n"/>
      <c r="F404" s="189" t="n"/>
      <c r="G404" s="189" t="n"/>
      <c r="H404" s="189" t="n"/>
      <c r="I404" s="189" t="n"/>
      <c r="J404" s="189" t="n"/>
      <c r="K404" s="189" t="n"/>
      <c r="L404" s="189" t="n"/>
      <c r="M404" s="189" t="n"/>
      <c r="N404" s="189" t="n"/>
      <c r="O404" s="189" t="n"/>
      <c r="P404" s="189" t="n"/>
      <c r="Q404" s="189" t="n"/>
      <c r="R404" s="189" t="n"/>
      <c r="S404" s="189" t="n"/>
      <c r="T404" s="189" t="n"/>
      <c r="U404" s="189" t="n"/>
      <c r="V404" s="189" t="n"/>
      <c r="W404" s="189" t="n"/>
      <c r="X404" s="189" t="n"/>
      <c r="Y404" s="189" t="n"/>
      <c r="Z404" s="189" t="n"/>
      <c r="AA404" s="189" t="n"/>
      <c r="AB404" s="189" t="n"/>
      <c r="AC404" s="189" t="n"/>
      <c r="AD404" s="189" t="n"/>
      <c r="AE404" s="189" t="n"/>
      <c r="AF404" s="189" t="n"/>
      <c r="AG404" s="189" t="n"/>
      <c r="AH404" s="189" t="n"/>
      <c r="AI404" s="51" t="inlineStr">
        <is>
          <t>U6θ</t>
        </is>
      </c>
    </row>
    <row r="405">
      <c r="B405" s="189" t="n"/>
      <c r="C405" s="189" t="n"/>
      <c r="D405" s="189" t="n"/>
      <c r="E405" s="189" t="n"/>
      <c r="F405" s="189" t="n"/>
      <c r="G405" s="189" t="n"/>
      <c r="H405" s="189" t="n"/>
      <c r="I405" s="189" t="n"/>
      <c r="J405" s="189" t="n"/>
      <c r="K405" s="189" t="n"/>
      <c r="L405" s="189" t="n"/>
      <c r="M405" s="189" t="n"/>
      <c r="N405" s="189" t="n"/>
      <c r="O405" s="189" t="n"/>
      <c r="P405" s="189" t="n"/>
      <c r="Q405" s="189" t="n"/>
      <c r="R405" s="189" t="n"/>
      <c r="S405" s="189" t="n"/>
      <c r="T405" s="189" t="n"/>
      <c r="U405" s="189" t="n"/>
      <c r="V405" s="189" t="n"/>
      <c r="W405" s="189" t="n"/>
      <c r="X405" s="189" t="n"/>
      <c r="Y405" s="189" t="n"/>
      <c r="Z405" s="189" t="n"/>
      <c r="AA405" s="189" t="n"/>
      <c r="AB405" s="189" t="n"/>
      <c r="AC405" s="189" t="n"/>
      <c r="AD405" s="189" t="n"/>
      <c r="AE405" s="189" t="n"/>
      <c r="AF405" s="189" t="n"/>
      <c r="AG405" s="189" t="n"/>
      <c r="AH405" s="189" t="n"/>
      <c r="AI405" s="51" t="inlineStr">
        <is>
          <t>U7X</t>
        </is>
      </c>
    </row>
    <row r="406">
      <c r="B406" s="189" t="n"/>
      <c r="C406" s="189" t="n"/>
      <c r="D406" s="189" t="n"/>
      <c r="E406" s="189" t="n"/>
      <c r="F406" s="189" t="n"/>
      <c r="G406" s="189" t="n"/>
      <c r="H406" s="189" t="n"/>
      <c r="I406" s="189" t="n"/>
      <c r="J406" s="189" t="n"/>
      <c r="K406" s="189" t="n"/>
      <c r="L406" s="189" t="n"/>
      <c r="M406" s="189" t="n"/>
      <c r="N406" s="189" t="n"/>
      <c r="O406" s="189" t="n"/>
      <c r="P406" s="189" t="n"/>
      <c r="Q406" s="189" t="n"/>
      <c r="R406" s="189" t="n"/>
      <c r="S406" s="189" t="n"/>
      <c r="T406" s="189" t="n"/>
      <c r="U406" s="189" t="n"/>
      <c r="V406" s="189" t="n"/>
      <c r="W406" s="189" t="n"/>
      <c r="X406" s="189" t="n"/>
      <c r="Y406" s="189" t="n"/>
      <c r="Z406" s="189" t="n"/>
      <c r="AA406" s="189" t="n"/>
      <c r="AB406" s="189" t="n"/>
      <c r="AC406" s="189" t="n"/>
      <c r="AD406" s="189" t="n"/>
      <c r="AE406" s="189" t="n"/>
      <c r="AF406" s="189" t="n"/>
      <c r="AG406" s="189" t="n"/>
      <c r="AH406" s="189" t="n"/>
      <c r="AI406" s="51" t="inlineStr">
        <is>
          <t>U7Y</t>
        </is>
      </c>
    </row>
    <row r="407">
      <c r="B407" s="189" t="n"/>
      <c r="C407" s="189" t="n"/>
      <c r="D407" s="189" t="n"/>
      <c r="E407" s="189" t="n"/>
      <c r="F407" s="189" t="n"/>
      <c r="G407" s="189" t="n"/>
      <c r="H407" s="189" t="n"/>
      <c r="I407" s="189" t="n"/>
      <c r="J407" s="189" t="n"/>
      <c r="K407" s="189" t="n"/>
      <c r="L407" s="189" t="n"/>
      <c r="M407" s="189" t="n"/>
      <c r="N407" s="189" t="n"/>
      <c r="O407" s="189" t="n"/>
      <c r="P407" s="189" t="n"/>
      <c r="Q407" s="189" t="n"/>
      <c r="R407" s="189" t="n"/>
      <c r="S407" s="189" t="n"/>
      <c r="T407" s="189" t="n"/>
      <c r="U407" s="189" t="n"/>
      <c r="V407" s="189" t="n"/>
      <c r="W407" s="189" t="n"/>
      <c r="X407" s="189" t="n"/>
      <c r="Y407" s="189" t="n"/>
      <c r="Z407" s="189" t="n"/>
      <c r="AA407" s="189" t="n"/>
      <c r="AB407" s="189" t="n"/>
      <c r="AC407" s="189" t="n"/>
      <c r="AD407" s="189" t="n"/>
      <c r="AE407" s="189" t="n"/>
      <c r="AF407" s="189" t="n"/>
      <c r="AG407" s="189" t="n"/>
      <c r="AH407" s="189" t="n"/>
      <c r="AI407" s="51" t="inlineStr">
        <is>
          <t>U7θ</t>
        </is>
      </c>
    </row>
    <row r="408">
      <c r="B408" s="189" t="n"/>
      <c r="C408" s="189" t="n"/>
      <c r="D408" s="189" t="n"/>
      <c r="E408" s="189" t="n"/>
      <c r="F408" s="189" t="n"/>
      <c r="G408" s="189" t="n"/>
      <c r="H408" s="189" t="n"/>
      <c r="I408" s="189" t="n"/>
      <c r="J408" s="189" t="n"/>
      <c r="K408" s="189" t="n"/>
      <c r="L408" s="189" t="n"/>
      <c r="M408" s="189" t="n"/>
      <c r="N408" s="189" t="n"/>
      <c r="O408" s="189" t="n"/>
      <c r="P408" s="189" t="n"/>
      <c r="Q408" s="189" t="n"/>
      <c r="R408" s="189" t="n"/>
      <c r="S408" s="189" t="n"/>
      <c r="T408" s="189" t="n"/>
      <c r="U408" s="189" t="n"/>
      <c r="V408" s="189" t="n"/>
      <c r="W408" s="189" t="n"/>
      <c r="X408" s="189" t="n"/>
      <c r="Y408" s="189" t="n"/>
      <c r="Z408" s="189" t="n"/>
      <c r="AA408" s="189" t="n"/>
      <c r="AB408" s="189" t="n"/>
      <c r="AC408" s="189" t="n"/>
      <c r="AD408" s="189" t="n"/>
      <c r="AE408" s="189" t="n"/>
      <c r="AF408" s="189" t="n"/>
      <c r="AG408" s="189" t="n"/>
      <c r="AH408" s="189" t="n"/>
      <c r="AI408" s="51" t="inlineStr">
        <is>
          <t>U8X</t>
        </is>
      </c>
    </row>
    <row r="409">
      <c r="B409" s="189" t="n"/>
      <c r="C409" s="189" t="n"/>
      <c r="D409" s="189" t="n"/>
      <c r="E409" s="189" t="n"/>
      <c r="F409" s="189" t="n"/>
      <c r="G409" s="189" t="n"/>
      <c r="H409" s="189" t="n"/>
      <c r="I409" s="189" t="n"/>
      <c r="J409" s="189" t="n"/>
      <c r="K409" s="189" t="n"/>
      <c r="L409" s="189" t="n"/>
      <c r="M409" s="189" t="n"/>
      <c r="N409" s="189" t="n"/>
      <c r="O409" s="189" t="n"/>
      <c r="P409" s="189" t="n"/>
      <c r="Q409" s="189" t="n"/>
      <c r="R409" s="189" t="n"/>
      <c r="S409" s="189" t="n"/>
      <c r="T409" s="189" t="n"/>
      <c r="U409" s="189" t="n"/>
      <c r="V409" s="189" t="n"/>
      <c r="W409" s="189" t="n"/>
      <c r="X409" s="189" t="n"/>
      <c r="Y409" s="189" t="n"/>
      <c r="Z409" s="189" t="n"/>
      <c r="AA409" s="189" t="n"/>
      <c r="AB409" s="189" t="n"/>
      <c r="AC409" s="189" t="n"/>
      <c r="AD409" s="189" t="n"/>
      <c r="AE409" s="189" t="n"/>
      <c r="AF409" s="189" t="n"/>
      <c r="AG409" s="189" t="n"/>
      <c r="AH409" s="189" t="n"/>
      <c r="AI409" s="51" t="inlineStr">
        <is>
          <t>U8Y</t>
        </is>
      </c>
    </row>
    <row r="410">
      <c r="B410" s="189" t="n"/>
      <c r="C410" s="189" t="n"/>
      <c r="D410" s="189" t="n"/>
      <c r="E410" s="189" t="n"/>
      <c r="F410" s="189" t="n"/>
      <c r="G410" s="189" t="n"/>
      <c r="H410" s="189" t="n"/>
      <c r="I410" s="189" t="n"/>
      <c r="J410" s="189" t="n"/>
      <c r="K410" s="189" t="n"/>
      <c r="L410" s="189" t="n"/>
      <c r="M410" s="189" t="n"/>
      <c r="N410" s="189" t="n"/>
      <c r="O410" s="189" t="n"/>
      <c r="P410" s="189" t="n"/>
      <c r="Q410" s="189" t="n"/>
      <c r="R410" s="189" t="n"/>
      <c r="S410" s="189" t="n"/>
      <c r="T410" s="189" t="n"/>
      <c r="U410" s="189" t="n"/>
      <c r="V410" s="189" t="n"/>
      <c r="W410" s="189" t="n"/>
      <c r="X410" s="189" t="n"/>
      <c r="Y410" s="189" t="n"/>
      <c r="Z410" s="189" t="n"/>
      <c r="AA410" s="189" t="n"/>
      <c r="AB410" s="189" t="n"/>
      <c r="AC410" s="189" t="n"/>
      <c r="AD410" s="189" t="n"/>
      <c r="AE410" s="189" t="n"/>
      <c r="AF410" s="189" t="n"/>
      <c r="AG410" s="189" t="n"/>
      <c r="AH410" s="189" t="n"/>
      <c r="AI410" s="51" t="inlineStr">
        <is>
          <t>U8θ</t>
        </is>
      </c>
    </row>
    <row r="411">
      <c r="B411" s="189" t="n"/>
      <c r="C411" s="189" t="n"/>
      <c r="D411" s="189" t="n"/>
      <c r="E411" s="189" t="n"/>
      <c r="F411" s="189" t="n"/>
      <c r="G411" s="189" t="n"/>
      <c r="H411" s="189" t="n"/>
      <c r="I411" s="189" t="n"/>
      <c r="J411" s="189" t="n"/>
      <c r="K411" s="189" t="n"/>
      <c r="L411" s="189" t="n"/>
      <c r="M411" s="189" t="n"/>
      <c r="N411" s="189" t="n"/>
      <c r="O411" s="189" t="n"/>
      <c r="P411" s="189" t="n"/>
      <c r="Q411" s="189" t="n"/>
      <c r="R411" s="189" t="n"/>
      <c r="S411" s="189" t="n"/>
      <c r="T411" s="189" t="n"/>
      <c r="U411" s="189" t="n"/>
      <c r="V411" s="189" t="n"/>
      <c r="W411" s="189" t="n"/>
      <c r="X411" s="189" t="n"/>
      <c r="Y411" s="189" t="n"/>
      <c r="Z411" s="189">
        <f>B379</f>
        <v/>
      </c>
      <c r="AA411" s="189">
        <f>C379</f>
        <v/>
      </c>
      <c r="AB411" s="189">
        <f>D379</f>
        <v/>
      </c>
      <c r="AC411" s="189">
        <f>E379</f>
        <v/>
      </c>
      <c r="AD411" s="189">
        <f>F379</f>
        <v/>
      </c>
      <c r="AE411" s="189">
        <f>G379</f>
        <v/>
      </c>
      <c r="AF411" s="189" t="n"/>
      <c r="AG411" s="189" t="n"/>
      <c r="AH411" s="189" t="n"/>
      <c r="AI411" s="51" t="inlineStr">
        <is>
          <t>U9X</t>
        </is>
      </c>
    </row>
    <row r="412">
      <c r="B412" s="189" t="n"/>
      <c r="C412" s="189" t="n"/>
      <c r="D412" s="189" t="n"/>
      <c r="E412" s="189" t="n"/>
      <c r="F412" s="189" t="n"/>
      <c r="G412" s="189" t="n"/>
      <c r="H412" s="189" t="n"/>
      <c r="I412" s="189" t="n"/>
      <c r="J412" s="189" t="n"/>
      <c r="K412" s="189" t="n"/>
      <c r="L412" s="189" t="n"/>
      <c r="M412" s="189" t="n"/>
      <c r="N412" s="189" t="n"/>
      <c r="O412" s="189" t="n"/>
      <c r="P412" s="189" t="n"/>
      <c r="Q412" s="189" t="n"/>
      <c r="R412" s="189" t="n"/>
      <c r="S412" s="189" t="n"/>
      <c r="T412" s="189" t="n"/>
      <c r="U412" s="189" t="n"/>
      <c r="V412" s="189" t="n"/>
      <c r="W412" s="189" t="n"/>
      <c r="X412" s="189" t="n"/>
      <c r="Y412" s="189" t="n"/>
      <c r="Z412" s="189">
        <f>B380</f>
        <v/>
      </c>
      <c r="AA412" s="189">
        <f>C380</f>
        <v/>
      </c>
      <c r="AB412" s="189">
        <f>D380</f>
        <v/>
      </c>
      <c r="AC412" s="189">
        <f>E380</f>
        <v/>
      </c>
      <c r="AD412" s="189">
        <f>F380</f>
        <v/>
      </c>
      <c r="AE412" s="189">
        <f>G380</f>
        <v/>
      </c>
      <c r="AF412" s="189" t="n"/>
      <c r="AG412" s="189" t="n"/>
      <c r="AH412" s="189" t="n"/>
      <c r="AI412" s="51" t="inlineStr">
        <is>
          <t>U9Y</t>
        </is>
      </c>
    </row>
    <row r="413">
      <c r="B413" s="189" t="n"/>
      <c r="C413" s="189" t="n"/>
      <c r="D413" s="189" t="n"/>
      <c r="E413" s="189" t="n"/>
      <c r="F413" s="189" t="n"/>
      <c r="G413" s="189" t="n"/>
      <c r="H413" s="189" t="n"/>
      <c r="I413" s="189" t="n"/>
      <c r="J413" s="189" t="n"/>
      <c r="K413" s="189" t="n"/>
      <c r="L413" s="189" t="n"/>
      <c r="M413" s="189" t="n"/>
      <c r="N413" s="189" t="n"/>
      <c r="O413" s="189" t="n"/>
      <c r="P413" s="189" t="n"/>
      <c r="Q413" s="189" t="n"/>
      <c r="R413" s="189" t="n"/>
      <c r="S413" s="189" t="n"/>
      <c r="T413" s="189" t="n"/>
      <c r="U413" s="189" t="n"/>
      <c r="V413" s="189" t="n"/>
      <c r="W413" s="189" t="n"/>
      <c r="X413" s="189" t="n"/>
      <c r="Y413" s="189" t="n"/>
      <c r="Z413" s="189">
        <f>B381</f>
        <v/>
      </c>
      <c r="AA413" s="189">
        <f>C381</f>
        <v/>
      </c>
      <c r="AB413" s="189">
        <f>D381</f>
        <v/>
      </c>
      <c r="AC413" s="189">
        <f>E381</f>
        <v/>
      </c>
      <c r="AD413" s="189">
        <f>F381</f>
        <v/>
      </c>
      <c r="AE413" s="189">
        <f>G381</f>
        <v/>
      </c>
      <c r="AF413" s="189" t="n"/>
      <c r="AG413" s="189" t="n"/>
      <c r="AH413" s="189" t="n"/>
      <c r="AI413" s="51" t="inlineStr">
        <is>
          <t>U9θ</t>
        </is>
      </c>
    </row>
    <row r="414">
      <c r="B414" s="189" t="n"/>
      <c r="C414" s="189" t="n"/>
      <c r="D414" s="189" t="n"/>
      <c r="E414" s="189" t="n"/>
      <c r="F414" s="189" t="n"/>
      <c r="G414" s="189" t="n"/>
      <c r="H414" s="189" t="n"/>
      <c r="I414" s="189" t="n"/>
      <c r="J414" s="189" t="n"/>
      <c r="K414" s="189" t="n"/>
      <c r="L414" s="189" t="n"/>
      <c r="M414" s="189" t="n"/>
      <c r="N414" s="189" t="n"/>
      <c r="O414" s="189" t="n"/>
      <c r="P414" s="189" t="n"/>
      <c r="Q414" s="189" t="n"/>
      <c r="R414" s="189" t="n"/>
      <c r="S414" s="189" t="n"/>
      <c r="T414" s="189" t="n"/>
      <c r="U414" s="189" t="n"/>
      <c r="V414" s="189" t="n"/>
      <c r="W414" s="189" t="n"/>
      <c r="X414" s="189" t="n"/>
      <c r="Y414" s="189" t="n"/>
      <c r="Z414" s="189">
        <f>B382</f>
        <v/>
      </c>
      <c r="AA414" s="189">
        <f>C382</f>
        <v/>
      </c>
      <c r="AB414" s="189">
        <f>D382</f>
        <v/>
      </c>
      <c r="AC414" s="189">
        <f>E382</f>
        <v/>
      </c>
      <c r="AD414" s="189">
        <f>F382</f>
        <v/>
      </c>
      <c r="AE414" s="189">
        <f>G382</f>
        <v/>
      </c>
      <c r="AF414" s="189" t="n"/>
      <c r="AG414" s="189" t="n"/>
      <c r="AH414" s="189" t="n"/>
      <c r="AI414" s="51" t="inlineStr">
        <is>
          <t>U10X</t>
        </is>
      </c>
    </row>
    <row r="415">
      <c r="B415" s="189" t="n"/>
      <c r="C415" s="189" t="n"/>
      <c r="D415" s="189" t="n"/>
      <c r="E415" s="189" t="n"/>
      <c r="F415" s="189" t="n"/>
      <c r="G415" s="189" t="n"/>
      <c r="H415" s="189" t="n"/>
      <c r="I415" s="189" t="n"/>
      <c r="J415" s="189" t="n"/>
      <c r="K415" s="189" t="n"/>
      <c r="L415" s="189" t="n"/>
      <c r="M415" s="189" t="n"/>
      <c r="N415" s="189" t="n"/>
      <c r="O415" s="189" t="n"/>
      <c r="P415" s="189" t="n"/>
      <c r="Q415" s="189" t="n"/>
      <c r="R415" s="189" t="n"/>
      <c r="S415" s="189" t="n"/>
      <c r="T415" s="189" t="n"/>
      <c r="U415" s="189" t="n"/>
      <c r="V415" s="189" t="n"/>
      <c r="W415" s="189" t="n"/>
      <c r="X415" s="189" t="n"/>
      <c r="Y415" s="189" t="n"/>
      <c r="Z415" s="189">
        <f>B383</f>
        <v/>
      </c>
      <c r="AA415" s="189">
        <f>C383</f>
        <v/>
      </c>
      <c r="AB415" s="189">
        <f>D383</f>
        <v/>
      </c>
      <c r="AC415" s="189">
        <f>E383</f>
        <v/>
      </c>
      <c r="AD415" s="189">
        <f>F383</f>
        <v/>
      </c>
      <c r="AE415" s="189">
        <f>G383</f>
        <v/>
      </c>
      <c r="AF415" s="189" t="n"/>
      <c r="AG415" s="189" t="n"/>
      <c r="AH415" s="189" t="n"/>
      <c r="AI415" s="51" t="inlineStr">
        <is>
          <t>U10Y</t>
        </is>
      </c>
    </row>
    <row r="416">
      <c r="B416" s="189" t="n"/>
      <c r="C416" s="189" t="n"/>
      <c r="D416" s="189" t="n"/>
      <c r="E416" s="189" t="n"/>
      <c r="F416" s="189" t="n"/>
      <c r="G416" s="189" t="n"/>
      <c r="H416" s="189" t="n"/>
      <c r="I416" s="189" t="n"/>
      <c r="J416" s="189" t="n"/>
      <c r="K416" s="189" t="n"/>
      <c r="L416" s="189" t="n"/>
      <c r="M416" s="189" t="n"/>
      <c r="N416" s="189" t="n"/>
      <c r="O416" s="189" t="n"/>
      <c r="P416" s="189" t="n"/>
      <c r="Q416" s="189" t="n"/>
      <c r="R416" s="189" t="n"/>
      <c r="S416" s="189" t="n"/>
      <c r="T416" s="189" t="n"/>
      <c r="U416" s="189" t="n"/>
      <c r="V416" s="189" t="n"/>
      <c r="W416" s="189" t="n"/>
      <c r="X416" s="189" t="n"/>
      <c r="Y416" s="189" t="n"/>
      <c r="Z416" s="189">
        <f>B384</f>
        <v/>
      </c>
      <c r="AA416" s="189">
        <f>C384</f>
        <v/>
      </c>
      <c r="AB416" s="189">
        <f>D384</f>
        <v/>
      </c>
      <c r="AC416" s="189">
        <f>E384</f>
        <v/>
      </c>
      <c r="AD416" s="189">
        <f>F384</f>
        <v/>
      </c>
      <c r="AE416" s="189">
        <f>G384</f>
        <v/>
      </c>
      <c r="AF416" s="189" t="n"/>
      <c r="AG416" s="189" t="n"/>
      <c r="AH416" s="189" t="n"/>
      <c r="AI416" s="51" t="inlineStr">
        <is>
          <t>U10θ</t>
        </is>
      </c>
    </row>
    <row r="417">
      <c r="B417" s="189" t="n"/>
      <c r="C417" s="189" t="n"/>
      <c r="D417" s="189" t="n"/>
      <c r="E417" s="189" t="n"/>
      <c r="F417" s="189" t="n"/>
      <c r="G417" s="189" t="n"/>
      <c r="H417" s="189" t="n"/>
      <c r="I417" s="189" t="n"/>
      <c r="J417" s="189" t="n"/>
      <c r="K417" s="189" t="n"/>
      <c r="L417" s="189" t="n"/>
      <c r="M417" s="189" t="n"/>
      <c r="N417" s="189" t="n"/>
      <c r="O417" s="189" t="n"/>
      <c r="P417" s="189" t="n"/>
      <c r="Q417" s="189" t="n"/>
      <c r="R417" s="189" t="n"/>
      <c r="S417" s="189" t="n"/>
      <c r="T417" s="189" t="n"/>
      <c r="U417" s="189" t="n"/>
      <c r="V417" s="189" t="n"/>
      <c r="W417" s="189" t="n"/>
      <c r="X417" s="189" t="n"/>
      <c r="Y417" s="189" t="n"/>
      <c r="Z417" s="189" t="n"/>
      <c r="AA417" s="189" t="n"/>
      <c r="AB417" s="189" t="n"/>
      <c r="AC417" s="189" t="n"/>
      <c r="AD417" s="189" t="n"/>
      <c r="AE417" s="189" t="n"/>
      <c r="AF417" s="189" t="n"/>
      <c r="AG417" s="189" t="n"/>
      <c r="AH417" s="189" t="n"/>
      <c r="AI417" s="51" t="inlineStr">
        <is>
          <t>U11X</t>
        </is>
      </c>
    </row>
    <row r="418">
      <c r="B418" s="189" t="n"/>
      <c r="C418" s="189" t="n"/>
      <c r="D418" s="189" t="n"/>
      <c r="E418" s="189" t="n"/>
      <c r="F418" s="189" t="n"/>
      <c r="G418" s="189" t="n"/>
      <c r="H418" s="189" t="n"/>
      <c r="I418" s="189" t="n"/>
      <c r="J418" s="189" t="n"/>
      <c r="K418" s="189" t="n"/>
      <c r="L418" s="189" t="n"/>
      <c r="M418" s="189" t="n"/>
      <c r="N418" s="189" t="n"/>
      <c r="O418" s="189" t="n"/>
      <c r="P418" s="189" t="n"/>
      <c r="Q418" s="189" t="n"/>
      <c r="R418" s="189" t="n"/>
      <c r="S418" s="189" t="n"/>
      <c r="T418" s="189" t="n"/>
      <c r="U418" s="189" t="n"/>
      <c r="V418" s="189" t="n"/>
      <c r="W418" s="189" t="n"/>
      <c r="X418" s="189" t="n"/>
      <c r="Y418" s="189" t="n"/>
      <c r="Z418" s="189" t="n"/>
      <c r="AA418" s="189" t="n"/>
      <c r="AB418" s="189" t="n"/>
      <c r="AC418" s="189" t="n"/>
      <c r="AD418" s="189" t="n"/>
      <c r="AE418" s="189" t="n"/>
      <c r="AF418" s="189" t="n"/>
      <c r="AG418" s="189" t="n"/>
      <c r="AH418" s="189" t="n"/>
      <c r="AI418" s="51" t="inlineStr">
        <is>
          <t>U11Y</t>
        </is>
      </c>
    </row>
    <row r="419">
      <c r="B419" s="189" t="n"/>
      <c r="C419" s="189" t="n"/>
      <c r="D419" s="189" t="n"/>
      <c r="E419" s="189" t="n"/>
      <c r="F419" s="189" t="n"/>
      <c r="G419" s="189" t="n"/>
      <c r="H419" s="189" t="n"/>
      <c r="I419" s="189" t="n"/>
      <c r="J419" s="189" t="n"/>
      <c r="K419" s="189" t="n"/>
      <c r="L419" s="189" t="n"/>
      <c r="M419" s="189" t="n"/>
      <c r="N419" s="189" t="n"/>
      <c r="O419" s="189" t="n"/>
      <c r="P419" s="189" t="n"/>
      <c r="Q419" s="189" t="n"/>
      <c r="R419" s="189" t="n"/>
      <c r="S419" s="189" t="n"/>
      <c r="T419" s="189" t="n"/>
      <c r="U419" s="189" t="n"/>
      <c r="V419" s="189" t="n"/>
      <c r="W419" s="189" t="n"/>
      <c r="X419" s="189" t="n"/>
      <c r="Y419" s="189" t="n"/>
      <c r="Z419" s="189" t="n"/>
      <c r="AA419" s="189" t="n"/>
      <c r="AB419" s="189" t="n"/>
      <c r="AC419" s="189" t="n"/>
      <c r="AD419" s="189" t="n"/>
      <c r="AE419" s="189" t="n"/>
      <c r="AF419" s="189" t="n"/>
      <c r="AG419" s="189" t="n"/>
      <c r="AH419" s="189" t="n"/>
      <c r="AI419" s="51" t="inlineStr">
        <is>
          <t>U11θ</t>
        </is>
      </c>
    </row>
    <row r="421">
      <c r="B421" s="51">
        <f>IF(C31="","", CONCATENATE("U",C31,C$21))</f>
        <v/>
      </c>
      <c r="C421" s="51">
        <f>IF(D31="","", CONCATENATE("U",D31,D$21))</f>
        <v/>
      </c>
      <c r="D421" s="51">
        <f>IF(E31="","", CONCATENATE("U",E31,E$21))</f>
        <v/>
      </c>
      <c r="E421" s="51">
        <f>IF(F31="","", CONCATENATE("U",F31,F$21))</f>
        <v/>
      </c>
      <c r="F421" s="51">
        <f>IF(G31="","", CONCATENATE("U",G31,G$21))</f>
        <v/>
      </c>
      <c r="G421" s="51">
        <f>IF(H31="","", CONCATENATE("U",H31,H$21))</f>
        <v/>
      </c>
    </row>
    <row r="422">
      <c r="B422" s="8">
        <f>IF(I18="", 0, O18*J18*J18+P18*K18*K18)</f>
        <v/>
      </c>
      <c r="C422" s="189">
        <f>IF(I18="", 0, (O18-P18)*(J18*K18))</f>
        <v/>
      </c>
      <c r="D422" s="189">
        <f>IF(I18="", 0, -Q18*K18)</f>
        <v/>
      </c>
      <c r="E422" s="189">
        <f>-B422</f>
        <v/>
      </c>
      <c r="F422" s="189">
        <f>-C422</f>
        <v/>
      </c>
      <c r="G422" s="189">
        <f>D422</f>
        <v/>
      </c>
      <c r="H422" s="51">
        <f>B421</f>
        <v/>
      </c>
    </row>
    <row r="423">
      <c r="B423" s="189">
        <f>C422</f>
        <v/>
      </c>
      <c r="C423" s="8">
        <f>IF(I18="", 0, O18*K18*K18+P18*J18*J18)</f>
        <v/>
      </c>
      <c r="D423" s="189">
        <f>IF(I18="", 0, Q18*J18)</f>
        <v/>
      </c>
      <c r="E423" s="189">
        <f>-B423</f>
        <v/>
      </c>
      <c r="F423" s="189">
        <f>-C423</f>
        <v/>
      </c>
      <c r="G423" s="189">
        <f>D423</f>
        <v/>
      </c>
      <c r="H423" s="51">
        <f>C421</f>
        <v/>
      </c>
    </row>
    <row r="424">
      <c r="A424" s="118" t="inlineStr">
        <is>
          <t>K10 =</t>
        </is>
      </c>
      <c r="B424" s="189">
        <f>D422</f>
        <v/>
      </c>
      <c r="C424" s="189">
        <f>D423</f>
        <v/>
      </c>
      <c r="D424" s="8">
        <f>IF(I18="", 0, R18)</f>
        <v/>
      </c>
      <c r="E424" s="189">
        <f>-B424</f>
        <v/>
      </c>
      <c r="F424" s="189">
        <f>-C424</f>
        <v/>
      </c>
      <c r="G424" s="189">
        <f>IF(I18="", 0, S18)</f>
        <v/>
      </c>
      <c r="H424" s="51">
        <f>D421</f>
        <v/>
      </c>
    </row>
    <row r="425">
      <c r="B425" s="189">
        <f>E422</f>
        <v/>
      </c>
      <c r="C425" s="189">
        <f>E423</f>
        <v/>
      </c>
      <c r="D425" s="189">
        <f>E424</f>
        <v/>
      </c>
      <c r="E425" s="8">
        <f>B422</f>
        <v/>
      </c>
      <c r="F425" s="189">
        <f>C422</f>
        <v/>
      </c>
      <c r="G425" s="189">
        <f>-D422</f>
        <v/>
      </c>
      <c r="H425" s="51">
        <f>E421</f>
        <v/>
      </c>
    </row>
    <row r="426">
      <c r="B426" s="189">
        <f>F422</f>
        <v/>
      </c>
      <c r="C426" s="189">
        <f>F423</f>
        <v/>
      </c>
      <c r="D426" s="189">
        <f>F424</f>
        <v/>
      </c>
      <c r="E426" s="189">
        <f>F425</f>
        <v/>
      </c>
      <c r="F426" s="8">
        <f>C423</f>
        <v/>
      </c>
      <c r="G426" s="189">
        <f>-D423</f>
        <v/>
      </c>
      <c r="H426" s="51">
        <f>F421</f>
        <v/>
      </c>
    </row>
    <row r="427">
      <c r="B427" s="189">
        <f>G422</f>
        <v/>
      </c>
      <c r="C427" s="189">
        <f>G423</f>
        <v/>
      </c>
      <c r="D427" s="189">
        <f>G424</f>
        <v/>
      </c>
      <c r="E427" s="189">
        <f>G425</f>
        <v/>
      </c>
      <c r="F427" s="189">
        <f>G426</f>
        <v/>
      </c>
      <c r="G427" s="8">
        <f>D424</f>
        <v/>
      </c>
      <c r="H427" s="51">
        <f>G421</f>
        <v/>
      </c>
    </row>
    <row r="429">
      <c r="B429" s="51" t="inlineStr">
        <is>
          <t>U1X</t>
        </is>
      </c>
      <c r="C429" s="51" t="inlineStr">
        <is>
          <t>U1Y</t>
        </is>
      </c>
      <c r="D429" s="51" t="inlineStr">
        <is>
          <t>U1θ</t>
        </is>
      </c>
      <c r="E429" s="51" t="inlineStr">
        <is>
          <t>U2X</t>
        </is>
      </c>
      <c r="F429" s="51" t="inlineStr">
        <is>
          <t>U2Y</t>
        </is>
      </c>
      <c r="G429" s="51" t="inlineStr">
        <is>
          <t>U2θ</t>
        </is>
      </c>
      <c r="H429" s="51" t="inlineStr">
        <is>
          <t>U3X</t>
        </is>
      </c>
      <c r="I429" s="51" t="inlineStr">
        <is>
          <t>U3Y</t>
        </is>
      </c>
      <c r="J429" s="51" t="inlineStr">
        <is>
          <t>U3θ</t>
        </is>
      </c>
      <c r="K429" s="51" t="inlineStr">
        <is>
          <t>U4X</t>
        </is>
      </c>
      <c r="L429" s="51" t="inlineStr">
        <is>
          <t>U4Y</t>
        </is>
      </c>
      <c r="M429" s="51" t="inlineStr">
        <is>
          <t>U4θ</t>
        </is>
      </c>
      <c r="N429" s="51" t="inlineStr">
        <is>
          <t>U5X</t>
        </is>
      </c>
      <c r="O429" s="51" t="inlineStr">
        <is>
          <t>U5Y</t>
        </is>
      </c>
      <c r="P429" s="51" t="inlineStr">
        <is>
          <t>U5θ</t>
        </is>
      </c>
      <c r="Q429" s="51" t="inlineStr">
        <is>
          <t>U6X</t>
        </is>
      </c>
      <c r="R429" s="51" t="inlineStr">
        <is>
          <t>U6Y</t>
        </is>
      </c>
      <c r="S429" s="51" t="inlineStr">
        <is>
          <t>U6θ</t>
        </is>
      </c>
      <c r="T429" s="51" t="inlineStr">
        <is>
          <t>U7X</t>
        </is>
      </c>
      <c r="U429" s="51" t="inlineStr">
        <is>
          <t>U7Y</t>
        </is>
      </c>
      <c r="V429" s="51" t="inlineStr">
        <is>
          <t>U7θ</t>
        </is>
      </c>
      <c r="W429" s="51" t="inlineStr">
        <is>
          <t>U8X</t>
        </is>
      </c>
      <c r="X429" s="51" t="inlineStr">
        <is>
          <t>U8Y</t>
        </is>
      </c>
      <c r="Y429" s="51" t="inlineStr">
        <is>
          <t>U8θ</t>
        </is>
      </c>
      <c r="Z429" s="51" t="inlineStr">
        <is>
          <t>U9X</t>
        </is>
      </c>
      <c r="AA429" s="51" t="inlineStr">
        <is>
          <t>U9Y</t>
        </is>
      </c>
      <c r="AB429" s="51" t="inlineStr">
        <is>
          <t>U9θ</t>
        </is>
      </c>
      <c r="AC429" s="51" t="inlineStr">
        <is>
          <t>U10X</t>
        </is>
      </c>
      <c r="AD429" s="51" t="inlineStr">
        <is>
          <t>U10Y</t>
        </is>
      </c>
      <c r="AE429" s="51" t="inlineStr">
        <is>
          <t>U10θ</t>
        </is>
      </c>
      <c r="AF429" s="51" t="inlineStr">
        <is>
          <t>U11X</t>
        </is>
      </c>
      <c r="AG429" s="51" t="inlineStr">
        <is>
          <t>U11Y</t>
        </is>
      </c>
      <c r="AH429" s="51" t="inlineStr">
        <is>
          <t>U11θ</t>
        </is>
      </c>
    </row>
    <row r="430">
      <c r="B430" s="189" t="n"/>
      <c r="C430" s="189" t="n"/>
      <c r="D430" s="189" t="n"/>
      <c r="E430" s="189" t="n"/>
      <c r="F430" s="189" t="n"/>
      <c r="G430" s="189" t="n"/>
      <c r="H430" s="189" t="n"/>
      <c r="I430" s="189" t="n"/>
      <c r="J430" s="189" t="n"/>
      <c r="K430" s="189" t="n"/>
      <c r="L430" s="189" t="n"/>
      <c r="M430" s="189" t="n"/>
      <c r="N430" s="189" t="n"/>
      <c r="O430" s="189" t="n"/>
      <c r="P430" s="189" t="n"/>
      <c r="Q430" s="189" t="n"/>
      <c r="R430" s="189" t="n"/>
      <c r="S430" s="189" t="n"/>
      <c r="T430" s="189" t="n"/>
      <c r="U430" s="189" t="n"/>
      <c r="V430" s="189" t="n"/>
      <c r="W430" s="189" t="n"/>
      <c r="X430" s="189" t="n"/>
      <c r="Y430" s="189" t="n"/>
      <c r="Z430" s="189" t="n"/>
      <c r="AA430" s="189" t="n"/>
      <c r="AB430" s="189" t="n"/>
      <c r="AC430" s="189" t="n"/>
      <c r="AD430" s="189" t="n"/>
      <c r="AE430" s="189" t="n"/>
      <c r="AF430" s="189" t="n"/>
      <c r="AG430" s="189" t="n"/>
      <c r="AH430" s="189" t="n"/>
      <c r="AI430" s="51" t="inlineStr">
        <is>
          <t>U1X</t>
        </is>
      </c>
    </row>
    <row r="431">
      <c r="B431" s="189" t="n"/>
      <c r="C431" s="189" t="n"/>
      <c r="D431" s="189" t="n"/>
      <c r="E431" s="189" t="n"/>
      <c r="F431" s="189" t="n"/>
      <c r="G431" s="189" t="n"/>
      <c r="H431" s="189" t="n"/>
      <c r="I431" s="189" t="n"/>
      <c r="J431" s="189" t="n"/>
      <c r="K431" s="189" t="n"/>
      <c r="L431" s="189" t="n"/>
      <c r="M431" s="189" t="n"/>
      <c r="N431" s="189" t="n"/>
      <c r="O431" s="189" t="n"/>
      <c r="P431" s="189" t="n"/>
      <c r="Q431" s="189" t="n"/>
      <c r="R431" s="189" t="n"/>
      <c r="S431" s="189" t="n"/>
      <c r="T431" s="189" t="n"/>
      <c r="U431" s="189" t="n"/>
      <c r="V431" s="189" t="n"/>
      <c r="W431" s="189" t="n"/>
      <c r="X431" s="189" t="n"/>
      <c r="Y431" s="189" t="n"/>
      <c r="Z431" s="189" t="n"/>
      <c r="AA431" s="189" t="n"/>
      <c r="AB431" s="189" t="n"/>
      <c r="AC431" s="189" t="n"/>
      <c r="AD431" s="189" t="n"/>
      <c r="AE431" s="189" t="n"/>
      <c r="AF431" s="189" t="n"/>
      <c r="AG431" s="189" t="n"/>
      <c r="AH431" s="189" t="n"/>
      <c r="AI431" s="51" t="inlineStr">
        <is>
          <t>U1Y</t>
        </is>
      </c>
    </row>
    <row r="432">
      <c r="B432" s="189" t="n"/>
      <c r="C432" s="189" t="n"/>
      <c r="D432" s="189" t="n"/>
      <c r="E432" s="189" t="n"/>
      <c r="F432" s="189" t="n"/>
      <c r="G432" s="189" t="n"/>
      <c r="H432" s="189" t="n"/>
      <c r="I432" s="189" t="n"/>
      <c r="J432" s="189" t="n"/>
      <c r="K432" s="189" t="n"/>
      <c r="L432" s="189" t="n"/>
      <c r="M432" s="189" t="n"/>
      <c r="N432" s="189" t="n"/>
      <c r="O432" s="189" t="n"/>
      <c r="P432" s="189" t="n"/>
      <c r="Q432" s="189" t="n"/>
      <c r="R432" s="189" t="n"/>
      <c r="S432" s="189" t="n"/>
      <c r="T432" s="189" t="n"/>
      <c r="U432" s="189" t="n"/>
      <c r="V432" s="189" t="n"/>
      <c r="W432" s="189" t="n"/>
      <c r="X432" s="189" t="n"/>
      <c r="Y432" s="189" t="n"/>
      <c r="Z432" s="189" t="n"/>
      <c r="AA432" s="189" t="n"/>
      <c r="AB432" s="189" t="n"/>
      <c r="AC432" s="189" t="n"/>
      <c r="AD432" s="189" t="n"/>
      <c r="AE432" s="189" t="n"/>
      <c r="AF432" s="189" t="n"/>
      <c r="AG432" s="189" t="n"/>
      <c r="AH432" s="189" t="n"/>
      <c r="AI432" s="51" t="inlineStr">
        <is>
          <t>U1θ</t>
        </is>
      </c>
    </row>
    <row r="433">
      <c r="B433" s="189" t="n"/>
      <c r="C433" s="189" t="n"/>
      <c r="D433" s="189" t="n"/>
      <c r="E433" s="189" t="n"/>
      <c r="F433" s="189" t="n"/>
      <c r="G433" s="189" t="n"/>
      <c r="H433" s="189" t="n"/>
      <c r="I433" s="189" t="n"/>
      <c r="J433" s="189" t="n"/>
      <c r="K433" s="189" t="n"/>
      <c r="L433" s="189" t="n"/>
      <c r="M433" s="189" t="n"/>
      <c r="N433" s="189" t="n"/>
      <c r="O433" s="189" t="n"/>
      <c r="P433" s="189" t="n"/>
      <c r="Q433" s="189" t="n"/>
      <c r="R433" s="189" t="n"/>
      <c r="S433" s="189" t="n"/>
      <c r="T433" s="189" t="n"/>
      <c r="U433" s="189" t="n"/>
      <c r="V433" s="189" t="n"/>
      <c r="W433" s="189" t="n"/>
      <c r="X433" s="189" t="n"/>
      <c r="Y433" s="189" t="n"/>
      <c r="Z433" s="189" t="n"/>
      <c r="AA433" s="189" t="n"/>
      <c r="AB433" s="189" t="n"/>
      <c r="AC433" s="189" t="n"/>
      <c r="AD433" s="189" t="n"/>
      <c r="AE433" s="189" t="n"/>
      <c r="AF433" s="189" t="n"/>
      <c r="AG433" s="189" t="n"/>
      <c r="AH433" s="189" t="n"/>
      <c r="AI433" s="51" t="inlineStr">
        <is>
          <t>U2X</t>
        </is>
      </c>
    </row>
    <row r="434">
      <c r="B434" s="189" t="n"/>
      <c r="C434" s="189" t="n"/>
      <c r="D434" s="189" t="n"/>
      <c r="E434" s="189" t="n"/>
      <c r="F434" s="189" t="n"/>
      <c r="G434" s="189" t="n"/>
      <c r="H434" s="189" t="n"/>
      <c r="I434" s="189" t="n"/>
      <c r="J434" s="189" t="n"/>
      <c r="K434" s="189" t="n"/>
      <c r="L434" s="189" t="n"/>
      <c r="M434" s="189" t="n"/>
      <c r="N434" s="189" t="n"/>
      <c r="O434" s="189" t="n"/>
      <c r="P434" s="189" t="n"/>
      <c r="Q434" s="189" t="n"/>
      <c r="R434" s="189" t="n"/>
      <c r="S434" s="189" t="n"/>
      <c r="T434" s="189" t="n"/>
      <c r="U434" s="189" t="n"/>
      <c r="V434" s="189" t="n"/>
      <c r="W434" s="189" t="n"/>
      <c r="X434" s="189" t="n"/>
      <c r="Y434" s="189" t="n"/>
      <c r="Z434" s="189" t="n"/>
      <c r="AA434" s="189" t="n"/>
      <c r="AB434" s="189" t="n"/>
      <c r="AC434" s="189" t="n"/>
      <c r="AD434" s="189" t="n"/>
      <c r="AE434" s="189" t="n"/>
      <c r="AF434" s="189" t="n"/>
      <c r="AG434" s="189" t="n"/>
      <c r="AH434" s="189" t="n"/>
      <c r="AI434" s="51" t="inlineStr">
        <is>
          <t>U2Y</t>
        </is>
      </c>
    </row>
    <row r="435">
      <c r="B435" s="189" t="n"/>
      <c r="C435" s="189" t="n"/>
      <c r="D435" s="189" t="n"/>
      <c r="E435" s="189" t="n"/>
      <c r="F435" s="189" t="n"/>
      <c r="G435" s="189" t="n"/>
      <c r="H435" s="189" t="n"/>
      <c r="I435" s="189" t="n"/>
      <c r="J435" s="189" t="n"/>
      <c r="K435" s="189" t="n"/>
      <c r="L435" s="189" t="n"/>
      <c r="M435" s="189" t="n"/>
      <c r="N435" s="189" t="n"/>
      <c r="O435" s="189" t="n"/>
      <c r="P435" s="189" t="n"/>
      <c r="Q435" s="189" t="n"/>
      <c r="R435" s="189" t="n"/>
      <c r="S435" s="189" t="n"/>
      <c r="T435" s="189" t="n"/>
      <c r="U435" s="189" t="n"/>
      <c r="V435" s="189" t="n"/>
      <c r="W435" s="189" t="n"/>
      <c r="X435" s="189" t="n"/>
      <c r="Y435" s="189" t="n"/>
      <c r="Z435" s="189" t="n"/>
      <c r="AA435" s="189" t="n"/>
      <c r="AB435" s="189" t="n"/>
      <c r="AC435" s="189" t="n"/>
      <c r="AD435" s="189" t="n"/>
      <c r="AE435" s="189" t="n"/>
      <c r="AF435" s="189" t="n"/>
      <c r="AG435" s="189" t="n"/>
      <c r="AH435" s="189" t="n"/>
      <c r="AI435" s="51" t="inlineStr">
        <is>
          <t>U2θ</t>
        </is>
      </c>
    </row>
    <row r="436">
      <c r="B436" s="189" t="n"/>
      <c r="C436" s="189" t="n"/>
      <c r="D436" s="189" t="n"/>
      <c r="E436" s="189" t="n"/>
      <c r="F436" s="189" t="n"/>
      <c r="G436" s="189" t="n"/>
      <c r="H436" s="189" t="n"/>
      <c r="I436" s="189" t="n"/>
      <c r="J436" s="189" t="n"/>
      <c r="K436" s="189" t="n"/>
      <c r="L436" s="189" t="n"/>
      <c r="M436" s="189" t="n"/>
      <c r="N436" s="189" t="n"/>
      <c r="O436" s="189" t="n"/>
      <c r="P436" s="189" t="n"/>
      <c r="Q436" s="189" t="n"/>
      <c r="R436" s="189" t="n"/>
      <c r="S436" s="189" t="n"/>
      <c r="T436" s="189" t="n"/>
      <c r="U436" s="189" t="n"/>
      <c r="V436" s="189" t="n"/>
      <c r="W436" s="189" t="n"/>
      <c r="X436" s="189" t="n"/>
      <c r="Y436" s="189" t="n"/>
      <c r="Z436" s="189" t="n"/>
      <c r="AA436" s="189" t="n"/>
      <c r="AB436" s="189" t="n"/>
      <c r="AC436" s="189" t="n"/>
      <c r="AD436" s="189" t="n"/>
      <c r="AE436" s="189" t="n"/>
      <c r="AF436" s="189" t="n"/>
      <c r="AG436" s="189" t="n"/>
      <c r="AH436" s="189" t="n"/>
      <c r="AI436" s="51" t="inlineStr">
        <is>
          <t>U3X</t>
        </is>
      </c>
    </row>
    <row r="437">
      <c r="B437" s="189" t="n"/>
      <c r="C437" s="189" t="n"/>
      <c r="D437" s="189" t="n"/>
      <c r="E437" s="189" t="n"/>
      <c r="F437" s="189" t="n"/>
      <c r="G437" s="189" t="n"/>
      <c r="H437" s="189" t="n"/>
      <c r="I437" s="189" t="n"/>
      <c r="J437" s="189" t="n"/>
      <c r="K437" s="189" t="n"/>
      <c r="L437" s="189" t="n"/>
      <c r="M437" s="189" t="n"/>
      <c r="N437" s="189" t="n"/>
      <c r="O437" s="189" t="n"/>
      <c r="P437" s="189" t="n"/>
      <c r="Q437" s="189" t="n"/>
      <c r="R437" s="189" t="n"/>
      <c r="S437" s="189" t="n"/>
      <c r="T437" s="189" t="n"/>
      <c r="U437" s="189" t="n"/>
      <c r="V437" s="189" t="n"/>
      <c r="W437" s="189" t="n"/>
      <c r="X437" s="189" t="n"/>
      <c r="Y437" s="189" t="n"/>
      <c r="Z437" s="189" t="n"/>
      <c r="AA437" s="189" t="n"/>
      <c r="AB437" s="189" t="n"/>
      <c r="AC437" s="189" t="n"/>
      <c r="AD437" s="189" t="n"/>
      <c r="AE437" s="189" t="n"/>
      <c r="AF437" s="189" t="n"/>
      <c r="AG437" s="189" t="n"/>
      <c r="AH437" s="189" t="n"/>
      <c r="AI437" s="51" t="inlineStr">
        <is>
          <t>U3Y</t>
        </is>
      </c>
    </row>
    <row r="438">
      <c r="B438" s="189" t="n"/>
      <c r="C438" s="189" t="n"/>
      <c r="D438" s="189" t="n"/>
      <c r="E438" s="189" t="n"/>
      <c r="F438" s="189" t="n"/>
      <c r="G438" s="189" t="n"/>
      <c r="H438" s="189" t="n"/>
      <c r="I438" s="189" t="n"/>
      <c r="J438" s="189" t="n"/>
      <c r="K438" s="189" t="n"/>
      <c r="L438" s="189" t="n"/>
      <c r="M438" s="189" t="n"/>
      <c r="N438" s="189" t="n"/>
      <c r="O438" s="189" t="n"/>
      <c r="P438" s="189" t="n"/>
      <c r="Q438" s="189" t="n"/>
      <c r="R438" s="189" t="n"/>
      <c r="S438" s="189" t="n"/>
      <c r="T438" s="189" t="n"/>
      <c r="U438" s="189" t="n"/>
      <c r="V438" s="189" t="n"/>
      <c r="W438" s="189" t="n"/>
      <c r="X438" s="189" t="n"/>
      <c r="Y438" s="189" t="n"/>
      <c r="Z438" s="189" t="n"/>
      <c r="AA438" s="189" t="n"/>
      <c r="AB438" s="189" t="n"/>
      <c r="AC438" s="189" t="n"/>
      <c r="AD438" s="189" t="n"/>
      <c r="AE438" s="189" t="n"/>
      <c r="AF438" s="189" t="n"/>
      <c r="AG438" s="189" t="n"/>
      <c r="AH438" s="189" t="n"/>
      <c r="AI438" s="51" t="inlineStr">
        <is>
          <t>U3θ</t>
        </is>
      </c>
    </row>
    <row r="439">
      <c r="B439" s="189" t="n"/>
      <c r="C439" s="189" t="n"/>
      <c r="D439" s="189" t="n"/>
      <c r="E439" s="189" t="n"/>
      <c r="F439" s="189" t="n"/>
      <c r="G439" s="189" t="n"/>
      <c r="H439" s="189" t="n"/>
      <c r="I439" s="189" t="n"/>
      <c r="J439" s="189" t="n"/>
      <c r="K439" s="189" t="n"/>
      <c r="L439" s="189" t="n"/>
      <c r="M439" s="189" t="n"/>
      <c r="N439" s="189" t="n"/>
      <c r="O439" s="189" t="n"/>
      <c r="P439" s="189" t="n"/>
      <c r="Q439" s="189" t="n"/>
      <c r="R439" s="189" t="n"/>
      <c r="S439" s="189" t="n"/>
      <c r="T439" s="189" t="n"/>
      <c r="U439" s="189" t="n"/>
      <c r="V439" s="189" t="n"/>
      <c r="W439" s="189" t="n"/>
      <c r="X439" s="189" t="n"/>
      <c r="Y439" s="189" t="n"/>
      <c r="Z439" s="189" t="n"/>
      <c r="AA439" s="189" t="n"/>
      <c r="AB439" s="189" t="n"/>
      <c r="AC439" s="189" t="n"/>
      <c r="AD439" s="189" t="n"/>
      <c r="AE439" s="189" t="n"/>
      <c r="AF439" s="189" t="n"/>
      <c r="AG439" s="189" t="n"/>
      <c r="AH439" s="189" t="n"/>
      <c r="AI439" s="51" t="inlineStr">
        <is>
          <t>U4X</t>
        </is>
      </c>
    </row>
    <row r="440">
      <c r="B440" s="189" t="n"/>
      <c r="C440" s="189" t="n"/>
      <c r="D440" s="189" t="n"/>
      <c r="E440" s="189" t="n"/>
      <c r="F440" s="189" t="n"/>
      <c r="G440" s="189" t="n"/>
      <c r="H440" s="189" t="n"/>
      <c r="I440" s="189" t="n"/>
      <c r="J440" s="189" t="n"/>
      <c r="K440" s="189" t="n"/>
      <c r="L440" s="189" t="n"/>
      <c r="M440" s="189" t="n"/>
      <c r="N440" s="189" t="n"/>
      <c r="O440" s="189" t="n"/>
      <c r="P440" s="189" t="n"/>
      <c r="Q440" s="189" t="n"/>
      <c r="R440" s="189" t="n"/>
      <c r="S440" s="189" t="n"/>
      <c r="T440" s="189" t="n"/>
      <c r="U440" s="189" t="n"/>
      <c r="V440" s="189" t="n"/>
      <c r="W440" s="189" t="n"/>
      <c r="X440" s="189" t="n"/>
      <c r="Y440" s="189" t="n"/>
      <c r="Z440" s="189" t="n"/>
      <c r="AA440" s="189" t="n"/>
      <c r="AB440" s="189" t="n"/>
      <c r="AC440" s="189" t="n"/>
      <c r="AD440" s="189" t="n"/>
      <c r="AE440" s="189" t="n"/>
      <c r="AF440" s="189" t="n"/>
      <c r="AG440" s="189" t="n"/>
      <c r="AH440" s="189" t="n"/>
      <c r="AI440" s="51" t="inlineStr">
        <is>
          <t>U4Y</t>
        </is>
      </c>
    </row>
    <row r="441">
      <c r="B441" s="189" t="n"/>
      <c r="C441" s="189" t="n"/>
      <c r="D441" s="189" t="n"/>
      <c r="E441" s="189" t="n"/>
      <c r="F441" s="189" t="n"/>
      <c r="G441" s="189" t="n"/>
      <c r="H441" s="189" t="n"/>
      <c r="I441" s="189" t="n"/>
      <c r="J441" s="189" t="n"/>
      <c r="K441" s="189" t="n"/>
      <c r="L441" s="189" t="n"/>
      <c r="M441" s="189" t="n"/>
      <c r="N441" s="189" t="n"/>
      <c r="O441" s="189" t="n"/>
      <c r="P441" s="189" t="n"/>
      <c r="Q441" s="189" t="n"/>
      <c r="R441" s="189" t="n"/>
      <c r="S441" s="189" t="n"/>
      <c r="T441" s="189" t="n"/>
      <c r="U441" s="189" t="n"/>
      <c r="V441" s="189" t="n"/>
      <c r="W441" s="189" t="n"/>
      <c r="X441" s="189" t="n"/>
      <c r="Y441" s="189" t="n"/>
      <c r="Z441" s="189" t="n"/>
      <c r="AA441" s="189" t="n"/>
      <c r="AB441" s="189" t="n"/>
      <c r="AC441" s="189" t="n"/>
      <c r="AD441" s="189" t="n"/>
      <c r="AE441" s="189" t="n"/>
      <c r="AF441" s="189" t="n"/>
      <c r="AG441" s="189" t="n"/>
      <c r="AH441" s="189" t="n"/>
      <c r="AI441" s="51" t="inlineStr">
        <is>
          <t>U4θ</t>
        </is>
      </c>
    </row>
    <row r="442">
      <c r="B442" s="189" t="n"/>
      <c r="C442" s="189" t="n"/>
      <c r="D442" s="189" t="n"/>
      <c r="E442" s="189" t="n"/>
      <c r="F442" s="189" t="n"/>
      <c r="G442" s="189" t="n"/>
      <c r="H442" s="189" t="n"/>
      <c r="I442" s="189" t="n"/>
      <c r="J442" s="189" t="n"/>
      <c r="K442" s="189" t="n"/>
      <c r="L442" s="189" t="n"/>
      <c r="M442" s="189" t="n"/>
      <c r="N442" s="189" t="n"/>
      <c r="O442" s="189" t="n"/>
      <c r="P442" s="189" t="n"/>
      <c r="Q442" s="189" t="n"/>
      <c r="R442" s="189" t="n"/>
      <c r="S442" s="189" t="n"/>
      <c r="T442" s="189" t="n"/>
      <c r="U442" s="189" t="n"/>
      <c r="V442" s="189" t="n"/>
      <c r="W442" s="189" t="n"/>
      <c r="X442" s="189" t="n"/>
      <c r="Y442" s="189" t="n"/>
      <c r="Z442" s="189" t="n"/>
      <c r="AA442" s="189" t="n"/>
      <c r="AB442" s="189" t="n"/>
      <c r="AC442" s="189" t="n"/>
      <c r="AD442" s="189" t="n"/>
      <c r="AE442" s="189" t="n"/>
      <c r="AF442" s="189" t="n"/>
      <c r="AG442" s="189" t="n"/>
      <c r="AH442" s="189" t="n"/>
      <c r="AI442" s="51" t="inlineStr">
        <is>
          <t>U5X</t>
        </is>
      </c>
    </row>
    <row r="443">
      <c r="B443" s="189" t="n"/>
      <c r="C443" s="189" t="n"/>
      <c r="D443" s="189" t="n"/>
      <c r="E443" s="189" t="n"/>
      <c r="F443" s="189" t="n"/>
      <c r="G443" s="189" t="n"/>
      <c r="H443" s="189" t="n"/>
      <c r="I443" s="189" t="n"/>
      <c r="J443" s="189" t="n"/>
      <c r="K443" s="189" t="n"/>
      <c r="L443" s="189" t="n"/>
      <c r="M443" s="189" t="n"/>
      <c r="N443" s="189" t="n"/>
      <c r="O443" s="189" t="n"/>
      <c r="P443" s="189" t="n"/>
      <c r="Q443" s="189" t="n"/>
      <c r="R443" s="189" t="n"/>
      <c r="S443" s="189" t="n"/>
      <c r="T443" s="189" t="n"/>
      <c r="U443" s="189" t="n"/>
      <c r="V443" s="189" t="n"/>
      <c r="W443" s="189" t="n"/>
      <c r="X443" s="189" t="n"/>
      <c r="Y443" s="189" t="n"/>
      <c r="Z443" s="189" t="n"/>
      <c r="AA443" s="189" t="n"/>
      <c r="AB443" s="189" t="n"/>
      <c r="AC443" s="189" t="n"/>
      <c r="AD443" s="189" t="n"/>
      <c r="AE443" s="189" t="n"/>
      <c r="AF443" s="189" t="n"/>
      <c r="AG443" s="189" t="n"/>
      <c r="AH443" s="189" t="n"/>
      <c r="AI443" s="51" t="inlineStr">
        <is>
          <t>U5Y</t>
        </is>
      </c>
    </row>
    <row r="444">
      <c r="B444" s="189" t="n"/>
      <c r="C444" s="189" t="n"/>
      <c r="D444" s="189" t="n"/>
      <c r="E444" s="189" t="n"/>
      <c r="F444" s="189" t="n"/>
      <c r="G444" s="189" t="n"/>
      <c r="H444" s="189" t="n"/>
      <c r="I444" s="189" t="n"/>
      <c r="J444" s="189" t="n"/>
      <c r="K444" s="189" t="n"/>
      <c r="L444" s="189" t="n"/>
      <c r="M444" s="189" t="n"/>
      <c r="N444" s="189" t="n"/>
      <c r="O444" s="189" t="n"/>
      <c r="P444" s="189" t="n"/>
      <c r="Q444" s="189" t="n"/>
      <c r="R444" s="189" t="n"/>
      <c r="S444" s="189" t="n"/>
      <c r="T444" s="189" t="n"/>
      <c r="U444" s="189" t="n"/>
      <c r="V444" s="189" t="n"/>
      <c r="W444" s="189" t="n"/>
      <c r="X444" s="189" t="n"/>
      <c r="Y444" s="189" t="n"/>
      <c r="Z444" s="189" t="n"/>
      <c r="AA444" s="189" t="n"/>
      <c r="AB444" s="189" t="n"/>
      <c r="AC444" s="189" t="n"/>
      <c r="AD444" s="189" t="n"/>
      <c r="AE444" s="189" t="n"/>
      <c r="AF444" s="189" t="n"/>
      <c r="AG444" s="189" t="n"/>
      <c r="AH444" s="189" t="n"/>
      <c r="AI444" s="51" t="inlineStr">
        <is>
          <t>U5θ</t>
        </is>
      </c>
    </row>
    <row r="445">
      <c r="A445" s="118" t="inlineStr">
        <is>
          <t>K10 =</t>
        </is>
      </c>
      <c r="B445" s="189" t="n"/>
      <c r="C445" s="189" t="n"/>
      <c r="D445" s="189" t="n"/>
      <c r="E445" s="189" t="n"/>
      <c r="F445" s="189" t="n"/>
      <c r="G445" s="189" t="n"/>
      <c r="H445" s="189" t="n"/>
      <c r="I445" s="189" t="n"/>
      <c r="J445" s="189" t="n"/>
      <c r="K445" s="189" t="n"/>
      <c r="L445" s="189" t="n"/>
      <c r="M445" s="189" t="n"/>
      <c r="N445" s="189" t="n"/>
      <c r="O445" s="189" t="n"/>
      <c r="P445" s="189" t="n"/>
      <c r="Q445" s="189" t="n"/>
      <c r="R445" s="189" t="n"/>
      <c r="S445" s="189" t="n"/>
      <c r="T445" s="189" t="n"/>
      <c r="U445" s="189" t="n"/>
      <c r="V445" s="189" t="n"/>
      <c r="W445" s="189" t="n"/>
      <c r="X445" s="189" t="n"/>
      <c r="Y445" s="189" t="n"/>
      <c r="Z445" s="189" t="n"/>
      <c r="AA445" s="189" t="n"/>
      <c r="AB445" s="189" t="n"/>
      <c r="AC445" s="189" t="n"/>
      <c r="AD445" s="189" t="n"/>
      <c r="AE445" s="189" t="n"/>
      <c r="AF445" s="189" t="n"/>
      <c r="AG445" s="189" t="n"/>
      <c r="AH445" s="189" t="n"/>
      <c r="AI445" s="51" t="inlineStr">
        <is>
          <t>U6X</t>
        </is>
      </c>
    </row>
    <row r="446">
      <c r="B446" s="189" t="n"/>
      <c r="C446" s="189" t="n"/>
      <c r="D446" s="189" t="n"/>
      <c r="E446" s="189" t="n"/>
      <c r="F446" s="189" t="n"/>
      <c r="G446" s="189" t="n"/>
      <c r="H446" s="189" t="n"/>
      <c r="I446" s="189" t="n"/>
      <c r="J446" s="189" t="n"/>
      <c r="K446" s="189" t="n"/>
      <c r="L446" s="189" t="n"/>
      <c r="M446" s="189" t="n"/>
      <c r="N446" s="189" t="n"/>
      <c r="O446" s="189" t="n"/>
      <c r="P446" s="189" t="n"/>
      <c r="Q446" s="189" t="n"/>
      <c r="R446" s="189" t="n"/>
      <c r="S446" s="189" t="n"/>
      <c r="T446" s="189" t="n"/>
      <c r="U446" s="189" t="n"/>
      <c r="V446" s="189" t="n"/>
      <c r="W446" s="189" t="n"/>
      <c r="X446" s="189" t="n"/>
      <c r="Y446" s="189" t="n"/>
      <c r="Z446" s="189" t="n"/>
      <c r="AA446" s="189" t="n"/>
      <c r="AB446" s="189" t="n"/>
      <c r="AC446" s="189" t="n"/>
      <c r="AD446" s="189" t="n"/>
      <c r="AE446" s="189" t="n"/>
      <c r="AF446" s="189" t="n"/>
      <c r="AG446" s="189" t="n"/>
      <c r="AH446" s="189" t="n"/>
      <c r="AI446" s="51" t="inlineStr">
        <is>
          <t>U6Y</t>
        </is>
      </c>
    </row>
    <row r="447">
      <c r="B447" s="189" t="n"/>
      <c r="C447" s="189" t="n"/>
      <c r="D447" s="189" t="n"/>
      <c r="E447" s="189" t="n"/>
      <c r="F447" s="189" t="n"/>
      <c r="G447" s="189" t="n"/>
      <c r="H447" s="189" t="n"/>
      <c r="I447" s="189" t="n"/>
      <c r="J447" s="189" t="n"/>
      <c r="K447" s="189" t="n"/>
      <c r="L447" s="189" t="n"/>
      <c r="M447" s="189" t="n"/>
      <c r="N447" s="189" t="n"/>
      <c r="O447" s="189" t="n"/>
      <c r="P447" s="189" t="n"/>
      <c r="Q447" s="189" t="n"/>
      <c r="R447" s="189" t="n"/>
      <c r="S447" s="189" t="n"/>
      <c r="T447" s="189" t="n"/>
      <c r="U447" s="189" t="n"/>
      <c r="V447" s="189" t="n"/>
      <c r="W447" s="189" t="n"/>
      <c r="X447" s="189" t="n"/>
      <c r="Y447" s="189" t="n"/>
      <c r="Z447" s="189" t="n"/>
      <c r="AA447" s="189" t="n"/>
      <c r="AB447" s="189" t="n"/>
      <c r="AC447" s="189" t="n"/>
      <c r="AD447" s="189" t="n"/>
      <c r="AE447" s="189" t="n"/>
      <c r="AF447" s="189" t="n"/>
      <c r="AG447" s="189" t="n"/>
      <c r="AH447" s="189" t="n"/>
      <c r="AI447" s="51" t="inlineStr">
        <is>
          <t>U6θ</t>
        </is>
      </c>
    </row>
    <row r="448">
      <c r="B448" s="189" t="n"/>
      <c r="C448" s="189" t="n"/>
      <c r="D448" s="189" t="n"/>
      <c r="E448" s="189" t="n"/>
      <c r="F448" s="189" t="n"/>
      <c r="G448" s="189" t="n"/>
      <c r="H448" s="189" t="n"/>
      <c r="I448" s="189" t="n"/>
      <c r="J448" s="189" t="n"/>
      <c r="K448" s="189" t="n"/>
      <c r="L448" s="189" t="n"/>
      <c r="M448" s="189" t="n"/>
      <c r="N448" s="189" t="n"/>
      <c r="O448" s="189" t="n"/>
      <c r="P448" s="189" t="n"/>
      <c r="Q448" s="189" t="n"/>
      <c r="R448" s="189" t="n"/>
      <c r="S448" s="189" t="n"/>
      <c r="T448" s="189" t="n"/>
      <c r="U448" s="189" t="n"/>
      <c r="V448" s="189" t="n"/>
      <c r="W448" s="189" t="n"/>
      <c r="X448" s="189" t="n"/>
      <c r="Y448" s="189" t="n"/>
      <c r="Z448" s="189" t="n"/>
      <c r="AA448" s="189" t="n"/>
      <c r="AB448" s="189" t="n"/>
      <c r="AC448" s="189" t="n"/>
      <c r="AD448" s="189" t="n"/>
      <c r="AE448" s="189" t="n"/>
      <c r="AF448" s="189" t="n"/>
      <c r="AG448" s="189" t="n"/>
      <c r="AH448" s="189" t="n"/>
      <c r="AI448" s="51" t="inlineStr">
        <is>
          <t>U7X</t>
        </is>
      </c>
    </row>
    <row r="449">
      <c r="B449" s="189" t="n"/>
      <c r="C449" s="189" t="n"/>
      <c r="D449" s="189" t="n"/>
      <c r="E449" s="189" t="n"/>
      <c r="F449" s="189" t="n"/>
      <c r="G449" s="189" t="n"/>
      <c r="H449" s="189" t="n"/>
      <c r="I449" s="189" t="n"/>
      <c r="J449" s="189" t="n"/>
      <c r="K449" s="189" t="n"/>
      <c r="L449" s="189" t="n"/>
      <c r="M449" s="189" t="n"/>
      <c r="N449" s="189" t="n"/>
      <c r="O449" s="189" t="n"/>
      <c r="P449" s="189" t="n"/>
      <c r="Q449" s="189" t="n"/>
      <c r="R449" s="189" t="n"/>
      <c r="S449" s="189" t="n"/>
      <c r="T449" s="189" t="n"/>
      <c r="U449" s="189" t="n"/>
      <c r="V449" s="189" t="n"/>
      <c r="W449" s="189" t="n"/>
      <c r="X449" s="189" t="n"/>
      <c r="Y449" s="189" t="n"/>
      <c r="Z449" s="189" t="n"/>
      <c r="AA449" s="189" t="n"/>
      <c r="AB449" s="189" t="n"/>
      <c r="AC449" s="189" t="n"/>
      <c r="AD449" s="189" t="n"/>
      <c r="AE449" s="189" t="n"/>
      <c r="AF449" s="189" t="n"/>
      <c r="AG449" s="189" t="n"/>
      <c r="AH449" s="189" t="n"/>
      <c r="AI449" s="51" t="inlineStr">
        <is>
          <t>U7Y</t>
        </is>
      </c>
    </row>
    <row r="450">
      <c r="B450" s="189" t="n"/>
      <c r="C450" s="189" t="n"/>
      <c r="D450" s="189" t="n"/>
      <c r="E450" s="189" t="n"/>
      <c r="F450" s="189" t="n"/>
      <c r="G450" s="189" t="n"/>
      <c r="H450" s="189" t="n"/>
      <c r="I450" s="189" t="n"/>
      <c r="J450" s="189" t="n"/>
      <c r="K450" s="189" t="n"/>
      <c r="L450" s="189" t="n"/>
      <c r="M450" s="189" t="n"/>
      <c r="N450" s="189" t="n"/>
      <c r="O450" s="189" t="n"/>
      <c r="P450" s="189" t="n"/>
      <c r="Q450" s="189" t="n"/>
      <c r="R450" s="189" t="n"/>
      <c r="S450" s="189" t="n"/>
      <c r="T450" s="189" t="n"/>
      <c r="U450" s="189" t="n"/>
      <c r="V450" s="189" t="n"/>
      <c r="W450" s="189" t="n"/>
      <c r="X450" s="189" t="n"/>
      <c r="Y450" s="189" t="n"/>
      <c r="Z450" s="189" t="n"/>
      <c r="AA450" s="189" t="n"/>
      <c r="AB450" s="189" t="n"/>
      <c r="AC450" s="189" t="n"/>
      <c r="AD450" s="189" t="n"/>
      <c r="AE450" s="189" t="n"/>
      <c r="AF450" s="189" t="n"/>
      <c r="AG450" s="189" t="n"/>
      <c r="AH450" s="189" t="n"/>
      <c r="AI450" s="51" t="inlineStr">
        <is>
          <t>U7θ</t>
        </is>
      </c>
    </row>
    <row r="451">
      <c r="B451" s="189" t="n"/>
      <c r="C451" s="189" t="n"/>
      <c r="D451" s="189" t="n"/>
      <c r="E451" s="189" t="n"/>
      <c r="F451" s="189" t="n"/>
      <c r="G451" s="189" t="n"/>
      <c r="H451" s="189" t="n"/>
      <c r="I451" s="189" t="n"/>
      <c r="J451" s="189" t="n"/>
      <c r="K451" s="189" t="n"/>
      <c r="L451" s="189" t="n"/>
      <c r="M451" s="189" t="n"/>
      <c r="N451" s="189" t="n"/>
      <c r="O451" s="189" t="n"/>
      <c r="P451" s="189" t="n"/>
      <c r="Q451" s="189" t="n"/>
      <c r="R451" s="189" t="n"/>
      <c r="S451" s="189" t="n"/>
      <c r="T451" s="189" t="n"/>
      <c r="U451" s="189" t="n"/>
      <c r="V451" s="189" t="n"/>
      <c r="W451" s="189" t="n"/>
      <c r="X451" s="189" t="n"/>
      <c r="Y451" s="189" t="n"/>
      <c r="Z451" s="189" t="n"/>
      <c r="AA451" s="189" t="n"/>
      <c r="AB451" s="189" t="n"/>
      <c r="AC451" s="189" t="n"/>
      <c r="AD451" s="189" t="n"/>
      <c r="AE451" s="189" t="n"/>
      <c r="AF451" s="189" t="n"/>
      <c r="AG451" s="189" t="n"/>
      <c r="AH451" s="189" t="n"/>
      <c r="AI451" s="51" t="inlineStr">
        <is>
          <t>U8X</t>
        </is>
      </c>
    </row>
    <row r="452">
      <c r="B452" s="189" t="n"/>
      <c r="C452" s="189" t="n"/>
      <c r="D452" s="189" t="n"/>
      <c r="E452" s="189" t="n"/>
      <c r="F452" s="189" t="n"/>
      <c r="G452" s="189" t="n"/>
      <c r="H452" s="189" t="n"/>
      <c r="I452" s="189" t="n"/>
      <c r="J452" s="189" t="n"/>
      <c r="K452" s="189" t="n"/>
      <c r="L452" s="189" t="n"/>
      <c r="M452" s="189" t="n"/>
      <c r="N452" s="189" t="n"/>
      <c r="O452" s="189" t="n"/>
      <c r="P452" s="189" t="n"/>
      <c r="Q452" s="189" t="n"/>
      <c r="R452" s="189" t="n"/>
      <c r="S452" s="189" t="n"/>
      <c r="T452" s="189" t="n"/>
      <c r="U452" s="189" t="n"/>
      <c r="V452" s="189" t="n"/>
      <c r="W452" s="189" t="n"/>
      <c r="X452" s="189" t="n"/>
      <c r="Y452" s="189" t="n"/>
      <c r="Z452" s="189" t="n"/>
      <c r="AA452" s="189" t="n"/>
      <c r="AB452" s="189" t="n"/>
      <c r="AC452" s="189" t="n"/>
      <c r="AD452" s="189" t="n"/>
      <c r="AE452" s="189" t="n"/>
      <c r="AF452" s="189" t="n"/>
      <c r="AG452" s="189" t="n"/>
      <c r="AH452" s="189" t="n"/>
      <c r="AI452" s="51" t="inlineStr">
        <is>
          <t>U8Y</t>
        </is>
      </c>
    </row>
    <row r="453">
      <c r="B453" s="189" t="n"/>
      <c r="C453" s="189" t="n"/>
      <c r="D453" s="189" t="n"/>
      <c r="E453" s="189" t="n"/>
      <c r="F453" s="189" t="n"/>
      <c r="G453" s="189" t="n"/>
      <c r="H453" s="189" t="n"/>
      <c r="I453" s="189" t="n"/>
      <c r="J453" s="189" t="n"/>
      <c r="K453" s="189" t="n"/>
      <c r="L453" s="189" t="n"/>
      <c r="M453" s="189" t="n"/>
      <c r="N453" s="189" t="n"/>
      <c r="O453" s="189" t="n"/>
      <c r="P453" s="189" t="n"/>
      <c r="Q453" s="189" t="n"/>
      <c r="R453" s="189" t="n"/>
      <c r="S453" s="189" t="n"/>
      <c r="T453" s="189" t="n"/>
      <c r="U453" s="189" t="n"/>
      <c r="V453" s="189" t="n"/>
      <c r="W453" s="189" t="n"/>
      <c r="X453" s="189" t="n"/>
      <c r="Y453" s="189" t="n"/>
      <c r="Z453" s="189" t="n"/>
      <c r="AA453" s="189" t="n"/>
      <c r="AB453" s="189" t="n"/>
      <c r="AC453" s="189" t="n"/>
      <c r="AD453" s="189" t="n"/>
      <c r="AE453" s="189" t="n"/>
      <c r="AF453" s="189" t="n"/>
      <c r="AG453" s="189" t="n"/>
      <c r="AH453" s="189" t="n"/>
      <c r="AI453" s="51" t="inlineStr">
        <is>
          <t>U8θ</t>
        </is>
      </c>
    </row>
    <row r="454">
      <c r="B454" s="189" t="n"/>
      <c r="C454" s="189" t="n"/>
      <c r="D454" s="189" t="n"/>
      <c r="E454" s="189" t="n"/>
      <c r="F454" s="189" t="n"/>
      <c r="G454" s="189" t="n"/>
      <c r="H454" s="189" t="n"/>
      <c r="I454" s="189" t="n"/>
      <c r="J454" s="189" t="n"/>
      <c r="K454" s="189" t="n"/>
      <c r="L454" s="189" t="n"/>
      <c r="M454" s="189" t="n"/>
      <c r="N454" s="189" t="n"/>
      <c r="O454" s="189" t="n"/>
      <c r="P454" s="189" t="n"/>
      <c r="Q454" s="189" t="n"/>
      <c r="R454" s="189" t="n"/>
      <c r="S454" s="189" t="n"/>
      <c r="T454" s="189" t="n"/>
      <c r="U454" s="189" t="n"/>
      <c r="V454" s="189" t="n"/>
      <c r="W454" s="189" t="n"/>
      <c r="X454" s="189" t="n"/>
      <c r="Y454" s="189" t="n"/>
      <c r="Z454" s="189" t="n"/>
      <c r="AA454" s="189" t="n"/>
      <c r="AB454" s="189" t="n"/>
      <c r="AC454" s="189" t="n"/>
      <c r="AD454" s="189" t="n"/>
      <c r="AE454" s="189" t="n"/>
      <c r="AF454" s="189" t="n"/>
      <c r="AG454" s="189" t="n"/>
      <c r="AH454" s="189" t="n"/>
      <c r="AI454" s="51" t="inlineStr">
        <is>
          <t>U9X</t>
        </is>
      </c>
    </row>
    <row r="455">
      <c r="B455" s="189" t="n"/>
      <c r="C455" s="189" t="n"/>
      <c r="D455" s="189" t="n"/>
      <c r="E455" s="189" t="n"/>
      <c r="F455" s="189" t="n"/>
      <c r="G455" s="189" t="n"/>
      <c r="H455" s="189" t="n"/>
      <c r="I455" s="189" t="n"/>
      <c r="J455" s="189" t="n"/>
      <c r="K455" s="189" t="n"/>
      <c r="L455" s="189" t="n"/>
      <c r="M455" s="189" t="n"/>
      <c r="N455" s="189" t="n"/>
      <c r="O455" s="189" t="n"/>
      <c r="P455" s="189" t="n"/>
      <c r="Q455" s="189" t="n"/>
      <c r="R455" s="189" t="n"/>
      <c r="S455" s="189" t="n"/>
      <c r="T455" s="189" t="n"/>
      <c r="U455" s="189" t="n"/>
      <c r="V455" s="189" t="n"/>
      <c r="W455" s="189" t="n"/>
      <c r="X455" s="189" t="n"/>
      <c r="Y455" s="189" t="n"/>
      <c r="Z455" s="189" t="n"/>
      <c r="AA455" s="189" t="n"/>
      <c r="AB455" s="189" t="n"/>
      <c r="AC455" s="189" t="n"/>
      <c r="AD455" s="189" t="n"/>
      <c r="AE455" s="189" t="n"/>
      <c r="AF455" s="189" t="n"/>
      <c r="AG455" s="189" t="n"/>
      <c r="AH455" s="189" t="n"/>
      <c r="AI455" s="51" t="inlineStr">
        <is>
          <t>U9Y</t>
        </is>
      </c>
    </row>
    <row r="456">
      <c r="B456" s="189" t="n"/>
      <c r="C456" s="189" t="n"/>
      <c r="D456" s="189" t="n"/>
      <c r="E456" s="189" t="n"/>
      <c r="F456" s="189" t="n"/>
      <c r="G456" s="189" t="n"/>
      <c r="H456" s="189" t="n"/>
      <c r="I456" s="189" t="n"/>
      <c r="J456" s="189" t="n"/>
      <c r="K456" s="189" t="n"/>
      <c r="L456" s="189" t="n"/>
      <c r="M456" s="189" t="n"/>
      <c r="N456" s="189" t="n"/>
      <c r="O456" s="189" t="n"/>
      <c r="P456" s="189" t="n"/>
      <c r="Q456" s="189" t="n"/>
      <c r="R456" s="189" t="n"/>
      <c r="S456" s="189" t="n"/>
      <c r="T456" s="189" t="n"/>
      <c r="U456" s="189" t="n"/>
      <c r="V456" s="189" t="n"/>
      <c r="W456" s="189" t="n"/>
      <c r="X456" s="189" t="n"/>
      <c r="Y456" s="189" t="n"/>
      <c r="Z456" s="189" t="n"/>
      <c r="AA456" s="189" t="n"/>
      <c r="AB456" s="189" t="n"/>
      <c r="AC456" s="189" t="n"/>
      <c r="AD456" s="189" t="n"/>
      <c r="AE456" s="189" t="n"/>
      <c r="AF456" s="189" t="n"/>
      <c r="AG456" s="189" t="n"/>
      <c r="AH456" s="189" t="n"/>
      <c r="AI456" s="51" t="inlineStr">
        <is>
          <t>U9θ</t>
        </is>
      </c>
    </row>
    <row r="457">
      <c r="B457" s="189" t="n"/>
      <c r="C457" s="189" t="n"/>
      <c r="D457" s="189" t="n"/>
      <c r="E457" s="189" t="n"/>
      <c r="F457" s="189" t="n"/>
      <c r="G457" s="189" t="n"/>
      <c r="H457" s="189" t="n"/>
      <c r="I457" s="189" t="n"/>
      <c r="J457" s="189" t="n"/>
      <c r="K457" s="189" t="n"/>
      <c r="L457" s="189" t="n"/>
      <c r="M457" s="189" t="n"/>
      <c r="N457" s="189" t="n"/>
      <c r="O457" s="189" t="n"/>
      <c r="P457" s="189" t="n"/>
      <c r="Q457" s="189" t="n"/>
      <c r="R457" s="189" t="n"/>
      <c r="S457" s="189" t="n"/>
      <c r="T457" s="189" t="n"/>
      <c r="U457" s="189" t="n"/>
      <c r="V457" s="189" t="n"/>
      <c r="W457" s="189" t="n"/>
      <c r="X457" s="189" t="n"/>
      <c r="Y457" s="189" t="n"/>
      <c r="Z457" s="189" t="n"/>
      <c r="AA457" s="189" t="n"/>
      <c r="AB457" s="189" t="n"/>
      <c r="AC457" s="189">
        <f>B422</f>
        <v/>
      </c>
      <c r="AD457" s="189">
        <f>C422</f>
        <v/>
      </c>
      <c r="AE457" s="189">
        <f>D422</f>
        <v/>
      </c>
      <c r="AF457" s="189">
        <f>E422</f>
        <v/>
      </c>
      <c r="AG457" s="189">
        <f>F422</f>
        <v/>
      </c>
      <c r="AH457" s="189">
        <f>G422</f>
        <v/>
      </c>
      <c r="AI457" s="51" t="inlineStr">
        <is>
          <t>U10X</t>
        </is>
      </c>
    </row>
    <row r="458">
      <c r="B458" s="189" t="n"/>
      <c r="C458" s="189" t="n"/>
      <c r="D458" s="189" t="n"/>
      <c r="E458" s="189" t="n"/>
      <c r="F458" s="189" t="n"/>
      <c r="G458" s="189" t="n"/>
      <c r="H458" s="189" t="n"/>
      <c r="I458" s="189" t="n"/>
      <c r="J458" s="189" t="n"/>
      <c r="K458" s="189" t="n"/>
      <c r="L458" s="189" t="n"/>
      <c r="M458" s="189" t="n"/>
      <c r="N458" s="189" t="n"/>
      <c r="O458" s="189" t="n"/>
      <c r="P458" s="189" t="n"/>
      <c r="Q458" s="189" t="n"/>
      <c r="R458" s="189" t="n"/>
      <c r="S458" s="189" t="n"/>
      <c r="T458" s="189" t="n"/>
      <c r="U458" s="189" t="n"/>
      <c r="V458" s="189" t="n"/>
      <c r="W458" s="189" t="n"/>
      <c r="X458" s="189" t="n"/>
      <c r="Y458" s="189" t="n"/>
      <c r="Z458" s="189" t="n"/>
      <c r="AA458" s="189" t="n"/>
      <c r="AB458" s="189" t="n"/>
      <c r="AC458" s="189">
        <f>B423</f>
        <v/>
      </c>
      <c r="AD458" s="189">
        <f>C423</f>
        <v/>
      </c>
      <c r="AE458" s="189">
        <f>D423</f>
        <v/>
      </c>
      <c r="AF458" s="189">
        <f>E423</f>
        <v/>
      </c>
      <c r="AG458" s="189">
        <f>F423</f>
        <v/>
      </c>
      <c r="AH458" s="189">
        <f>G423</f>
        <v/>
      </c>
      <c r="AI458" s="51" t="inlineStr">
        <is>
          <t>U10Y</t>
        </is>
      </c>
    </row>
    <row r="459">
      <c r="B459" s="189" t="n"/>
      <c r="C459" s="189" t="n"/>
      <c r="D459" s="189" t="n"/>
      <c r="E459" s="189" t="n"/>
      <c r="F459" s="189" t="n"/>
      <c r="G459" s="189" t="n"/>
      <c r="H459" s="189" t="n"/>
      <c r="I459" s="189" t="n"/>
      <c r="J459" s="189" t="n"/>
      <c r="K459" s="189" t="n"/>
      <c r="L459" s="189" t="n"/>
      <c r="M459" s="189" t="n"/>
      <c r="N459" s="189" t="n"/>
      <c r="O459" s="189" t="n"/>
      <c r="P459" s="189" t="n"/>
      <c r="Q459" s="189" t="n"/>
      <c r="R459" s="189" t="n"/>
      <c r="S459" s="189" t="n"/>
      <c r="T459" s="189" t="n"/>
      <c r="U459" s="189" t="n"/>
      <c r="V459" s="189" t="n"/>
      <c r="W459" s="189" t="n"/>
      <c r="X459" s="189" t="n"/>
      <c r="Y459" s="189" t="n"/>
      <c r="Z459" s="189" t="n"/>
      <c r="AA459" s="189" t="n"/>
      <c r="AB459" s="189" t="n"/>
      <c r="AC459" s="189">
        <f>B424</f>
        <v/>
      </c>
      <c r="AD459" s="189">
        <f>C424</f>
        <v/>
      </c>
      <c r="AE459" s="189">
        <f>D424</f>
        <v/>
      </c>
      <c r="AF459" s="189">
        <f>E424</f>
        <v/>
      </c>
      <c r="AG459" s="189">
        <f>F424</f>
        <v/>
      </c>
      <c r="AH459" s="189">
        <f>G424</f>
        <v/>
      </c>
      <c r="AI459" s="51" t="inlineStr">
        <is>
          <t>U10θ</t>
        </is>
      </c>
    </row>
    <row r="460">
      <c r="B460" s="189" t="n"/>
      <c r="C460" s="189" t="n"/>
      <c r="D460" s="189" t="n"/>
      <c r="E460" s="189" t="n"/>
      <c r="F460" s="189" t="n"/>
      <c r="G460" s="189" t="n"/>
      <c r="H460" s="189" t="n"/>
      <c r="I460" s="189" t="n"/>
      <c r="J460" s="189" t="n"/>
      <c r="K460" s="189" t="n"/>
      <c r="L460" s="189" t="n"/>
      <c r="M460" s="189" t="n"/>
      <c r="N460" s="189" t="n"/>
      <c r="O460" s="189" t="n"/>
      <c r="P460" s="189" t="n"/>
      <c r="Q460" s="189" t="n"/>
      <c r="R460" s="189" t="n"/>
      <c r="S460" s="189" t="n"/>
      <c r="T460" s="189" t="n"/>
      <c r="U460" s="189" t="n"/>
      <c r="V460" s="189" t="n"/>
      <c r="W460" s="189" t="n"/>
      <c r="X460" s="189" t="n"/>
      <c r="Y460" s="189" t="n"/>
      <c r="Z460" s="189" t="n"/>
      <c r="AA460" s="189" t="n"/>
      <c r="AB460" s="189" t="n"/>
      <c r="AC460" s="189">
        <f>B425</f>
        <v/>
      </c>
      <c r="AD460" s="189">
        <f>C425</f>
        <v/>
      </c>
      <c r="AE460" s="189">
        <f>D425</f>
        <v/>
      </c>
      <c r="AF460" s="189">
        <f>E425</f>
        <v/>
      </c>
      <c r="AG460" s="189">
        <f>F425</f>
        <v/>
      </c>
      <c r="AH460" s="189">
        <f>G425</f>
        <v/>
      </c>
      <c r="AI460" s="51" t="inlineStr">
        <is>
          <t>U11X</t>
        </is>
      </c>
    </row>
    <row r="461">
      <c r="B461" s="189" t="n"/>
      <c r="C461" s="189" t="n"/>
      <c r="D461" s="189" t="n"/>
      <c r="E461" s="189" t="n"/>
      <c r="F461" s="189" t="n"/>
      <c r="G461" s="189" t="n"/>
      <c r="H461" s="189" t="n"/>
      <c r="I461" s="189" t="n"/>
      <c r="J461" s="189" t="n"/>
      <c r="K461" s="189" t="n"/>
      <c r="L461" s="189" t="n"/>
      <c r="M461" s="189" t="n"/>
      <c r="N461" s="189" t="n"/>
      <c r="O461" s="189" t="n"/>
      <c r="P461" s="189" t="n"/>
      <c r="Q461" s="189" t="n"/>
      <c r="R461" s="189" t="n"/>
      <c r="S461" s="189" t="n"/>
      <c r="T461" s="189" t="n"/>
      <c r="U461" s="189" t="n"/>
      <c r="V461" s="189" t="n"/>
      <c r="W461" s="189" t="n"/>
      <c r="X461" s="189" t="n"/>
      <c r="Y461" s="189" t="n"/>
      <c r="Z461" s="189" t="n"/>
      <c r="AA461" s="189" t="n"/>
      <c r="AB461" s="189" t="n"/>
      <c r="AC461" s="189">
        <f>B426</f>
        <v/>
      </c>
      <c r="AD461" s="189">
        <f>C426</f>
        <v/>
      </c>
      <c r="AE461" s="189">
        <f>D426</f>
        <v/>
      </c>
      <c r="AF461" s="189">
        <f>E426</f>
        <v/>
      </c>
      <c r="AG461" s="189">
        <f>F426</f>
        <v/>
      </c>
      <c r="AH461" s="189">
        <f>G426</f>
        <v/>
      </c>
      <c r="AI461" s="51" t="inlineStr">
        <is>
          <t>U11Y</t>
        </is>
      </c>
    </row>
    <row r="462">
      <c r="B462" s="189" t="n"/>
      <c r="C462" s="189" t="n"/>
      <c r="D462" s="189" t="n"/>
      <c r="E462" s="189" t="n"/>
      <c r="F462" s="189" t="n"/>
      <c r="G462" s="189" t="n"/>
      <c r="H462" s="189" t="n"/>
      <c r="I462" s="189" t="n"/>
      <c r="J462" s="189" t="n"/>
      <c r="K462" s="189" t="n"/>
      <c r="L462" s="189" t="n"/>
      <c r="M462" s="189" t="n"/>
      <c r="N462" s="189" t="n"/>
      <c r="O462" s="189" t="n"/>
      <c r="P462" s="189" t="n"/>
      <c r="Q462" s="189" t="n"/>
      <c r="R462" s="189" t="n"/>
      <c r="S462" s="189" t="n"/>
      <c r="T462" s="189" t="n"/>
      <c r="U462" s="189" t="n"/>
      <c r="V462" s="189" t="n"/>
      <c r="W462" s="189" t="n"/>
      <c r="X462" s="189" t="n"/>
      <c r="Y462" s="189" t="n"/>
      <c r="Z462" s="189" t="n"/>
      <c r="AA462" s="189" t="n"/>
      <c r="AB462" s="189" t="n"/>
      <c r="AC462" s="189">
        <f>B427</f>
        <v/>
      </c>
      <c r="AD462" s="189">
        <f>C427</f>
        <v/>
      </c>
      <c r="AE462" s="189">
        <f>D427</f>
        <v/>
      </c>
      <c r="AF462" s="189">
        <f>E427</f>
        <v/>
      </c>
      <c r="AG462" s="189">
        <f>F427</f>
        <v/>
      </c>
      <c r="AH462" s="189">
        <f>G427</f>
        <v/>
      </c>
      <c r="AI462" s="51" t="inlineStr">
        <is>
          <t>U11θ</t>
        </is>
      </c>
    </row>
    <row r="465" ht="15" customHeight="1" s="183" thickBot="1">
      <c r="B465" s="53" t="inlineStr">
        <is>
          <t>MATRIZ DE RIGIDEZ GLOBAL DE LA VIGA [Kviga] (ENSAMBLE COMPLETO 10 TRAMOS / 11 NODOS / 33 GDL)</t>
        </is>
      </c>
      <c r="C465" s="190" t="n"/>
      <c r="D465" s="190" t="n"/>
      <c r="E465" s="190" t="n"/>
      <c r="F465" s="190" t="n"/>
      <c r="G465" s="190" t="n"/>
      <c r="H465" s="190" t="n"/>
      <c r="I465" s="190" t="n"/>
      <c r="J465" s="190" t="n"/>
      <c r="K465" s="190" t="n"/>
      <c r="L465" s="190" t="n"/>
      <c r="M465" s="190" t="n"/>
      <c r="N465" s="190" t="n"/>
      <c r="O465" s="190" t="n"/>
      <c r="P465" s="190" t="n"/>
      <c r="Q465" s="190" t="n"/>
      <c r="R465" s="190" t="n"/>
      <c r="S465" s="190" t="n"/>
      <c r="T465" s="190" t="n"/>
      <c r="U465" s="190" t="n"/>
      <c r="V465" s="190" t="n"/>
      <c r="W465" s="190" t="n"/>
      <c r="X465" s="190" t="n"/>
      <c r="Y465" s="190" t="n"/>
      <c r="Z465" s="190" t="n"/>
      <c r="AA465" s="190" t="n"/>
      <c r="AB465" s="190" t="n"/>
      <c r="AC465" s="190" t="n"/>
      <c r="AD465" s="190" t="n"/>
      <c r="AE465" s="190" t="n"/>
      <c r="AF465" s="190" t="n"/>
      <c r="AG465" s="190" t="n"/>
      <c r="AH465" s="191" t="n"/>
    </row>
    <row r="466">
      <c r="B466" s="82" t="inlineStr">
        <is>
          <t>U1X</t>
        </is>
      </c>
      <c r="C466" s="83" t="inlineStr">
        <is>
          <t>U1Y</t>
        </is>
      </c>
      <c r="D466" s="83" t="inlineStr">
        <is>
          <t>U1θ</t>
        </is>
      </c>
      <c r="E466" s="83" t="inlineStr">
        <is>
          <t>U2X</t>
        </is>
      </c>
      <c r="F466" s="83" t="inlineStr">
        <is>
          <t>U2Y</t>
        </is>
      </c>
      <c r="G466" s="83" t="inlineStr">
        <is>
          <t>U2θ</t>
        </is>
      </c>
      <c r="H466" s="83" t="inlineStr">
        <is>
          <t>U3X</t>
        </is>
      </c>
      <c r="I466" s="83" t="inlineStr">
        <is>
          <t>U3Y</t>
        </is>
      </c>
      <c r="J466" s="83" t="inlineStr">
        <is>
          <t>U3θ</t>
        </is>
      </c>
      <c r="K466" s="83" t="inlineStr">
        <is>
          <t>U4X</t>
        </is>
      </c>
      <c r="L466" s="83" t="inlineStr">
        <is>
          <t>U4Y</t>
        </is>
      </c>
      <c r="M466" s="83" t="inlineStr">
        <is>
          <t>U4θ</t>
        </is>
      </c>
      <c r="N466" s="83" t="inlineStr">
        <is>
          <t>U5X</t>
        </is>
      </c>
      <c r="O466" s="83" t="inlineStr">
        <is>
          <t>U5Y</t>
        </is>
      </c>
      <c r="P466" s="83" t="inlineStr">
        <is>
          <t>U5θ</t>
        </is>
      </c>
      <c r="Q466" s="83" t="inlineStr">
        <is>
          <t>U6X</t>
        </is>
      </c>
      <c r="R466" s="83" t="inlineStr">
        <is>
          <t>U6Y</t>
        </is>
      </c>
      <c r="S466" s="84" t="inlineStr">
        <is>
          <t>U6θ</t>
        </is>
      </c>
      <c r="T466" s="77" t="inlineStr">
        <is>
          <t>U7X</t>
        </is>
      </c>
      <c r="U466" s="51" t="inlineStr">
        <is>
          <t>U7Y</t>
        </is>
      </c>
      <c r="V466" s="51" t="inlineStr">
        <is>
          <t>U7θ</t>
        </is>
      </c>
      <c r="W466" s="51" t="inlineStr">
        <is>
          <t>U8X</t>
        </is>
      </c>
      <c r="X466" s="51" t="inlineStr">
        <is>
          <t>U8Y</t>
        </is>
      </c>
      <c r="Y466" s="51" t="inlineStr">
        <is>
          <t>U8θ</t>
        </is>
      </c>
      <c r="Z466" s="51" t="inlineStr">
        <is>
          <t>U9X</t>
        </is>
      </c>
      <c r="AA466" s="51" t="inlineStr">
        <is>
          <t>U9Y</t>
        </is>
      </c>
      <c r="AB466" s="51" t="inlineStr">
        <is>
          <t>U9θ</t>
        </is>
      </c>
      <c r="AC466" s="51" t="inlineStr">
        <is>
          <t>U10X</t>
        </is>
      </c>
      <c r="AD466" s="51" t="inlineStr">
        <is>
          <t>U10Y</t>
        </is>
      </c>
      <c r="AE466" s="51" t="inlineStr">
        <is>
          <t>U10θ</t>
        </is>
      </c>
      <c r="AF466" s="51" t="inlineStr">
        <is>
          <t>U11X</t>
        </is>
      </c>
      <c r="AG466" s="51" t="inlineStr">
        <is>
          <t>U11Y</t>
        </is>
      </c>
      <c r="AH466" s="51" t="inlineStr">
        <is>
          <t>U11θ</t>
        </is>
      </c>
    </row>
    <row r="467">
      <c r="B467" s="85">
        <f>B43+B86+B129+B172+B215+B258+B301+B344+B387+B430</f>
        <v/>
      </c>
      <c r="C467" s="189">
        <f>C43+C86+C129+C172+C215+C258+C301+C344+C387+C430</f>
        <v/>
      </c>
      <c r="D467" s="189">
        <f>D43+D86+D129+D172+D215+D258+D301+D344+D387+D430</f>
        <v/>
      </c>
      <c r="E467" s="189">
        <f>E43+E86+E129+E172+E215+E258+E301+E344+E387+E430</f>
        <v/>
      </c>
      <c r="F467" s="189">
        <f>F43+F86+F129+F172+F215+F258+F301+F344+F387+F430</f>
        <v/>
      </c>
      <c r="G467" s="189">
        <f>G43+G86+G129+G172+G215+G258+G301+G344+G387+G430</f>
        <v/>
      </c>
      <c r="H467" s="189">
        <f>H43+H86+H129+H172+H215+H258+H301+H344+H387+H430</f>
        <v/>
      </c>
      <c r="I467" s="189">
        <f>I43+I86+I129+I172+I215+I258+I301+I344+I387+I430</f>
        <v/>
      </c>
      <c r="J467" s="189">
        <f>J43+J86+J129+J172+J215+J258+J301+J344+J387+J430</f>
        <v/>
      </c>
      <c r="K467" s="189">
        <f>K43+K86+K129+K172+K215+K258+K301+K344+K387+K430</f>
        <v/>
      </c>
      <c r="L467" s="189">
        <f>L43+L86+L129+L172+L215+L258+L301+L344+L387+L430</f>
        <v/>
      </c>
      <c r="M467" s="189">
        <f>M43+M86+M129+M172+M215+M258+M301+M344+M387+M430</f>
        <v/>
      </c>
      <c r="N467" s="189">
        <f>N43+N86+N129+N172+N215+N258+N301+N344+N387+N430</f>
        <v/>
      </c>
      <c r="O467" s="189">
        <f>O43+O86+O129+O172+O215+O258+O301+O344+O387+O430</f>
        <v/>
      </c>
      <c r="P467" s="189">
        <f>P43+P86+P129+P172+P215+P258+P301+P344+P387+P430</f>
        <v/>
      </c>
      <c r="Q467" s="189">
        <f>Q43+Q86+Q129+Q172+Q215+Q258+Q301+Q344+Q387+Q430</f>
        <v/>
      </c>
      <c r="R467" s="189">
        <f>R43+R86+R129+R172+R215+R258+R301+R344+R387+R430</f>
        <v/>
      </c>
      <c r="S467" s="86">
        <f>S43+S86+S129+S172+S215+S258+S301+S344+S387+S430</f>
        <v/>
      </c>
      <c r="T467" s="78">
        <f>T43+T86+T129+T172+T215+T258+T301+T344+T387+T430</f>
        <v/>
      </c>
      <c r="U467" s="189">
        <f>U43+U86+U129+U172+U215+U258+U301+U344+U387+U430</f>
        <v/>
      </c>
      <c r="V467" s="189">
        <f>V43+V86+V129+V172+V215+V258+V301+V344+V387+V430</f>
        <v/>
      </c>
      <c r="W467" s="189">
        <f>W43+W86+W129+W172+W215+W258+W301+W344+W387+W430</f>
        <v/>
      </c>
      <c r="X467" s="189">
        <f>X43+X86+X129+X172+X215+X258+X301+X344+X387+X430</f>
        <v/>
      </c>
      <c r="Y467" s="189">
        <f>Y43+Y86+Y129+Y172+Y215+Y258+Y301+Y344+Y387+Y430</f>
        <v/>
      </c>
      <c r="Z467" s="189">
        <f>Z43+Z86+Z129+Z172+Z215+Z258+Z301+Z344+Z387+Z430</f>
        <v/>
      </c>
      <c r="AA467" s="189">
        <f>AA43+AA86+AA129+AA172+AA215+AA258+AA301+AA344+AA387+AA430</f>
        <v/>
      </c>
      <c r="AB467" s="189">
        <f>AB43+AB86+AB129+AB172+AB215+AB258+AB301+AB344+AB387+AB430</f>
        <v/>
      </c>
      <c r="AC467" s="189">
        <f>AC43+AC86+AC129+AC172+AC215+AC258+AC301+AC344+AC387+AC430</f>
        <v/>
      </c>
      <c r="AD467" s="189">
        <f>AD43+AD86+AD129+AD172+AD215+AD258+AD301+AD344+AD387+AD430</f>
        <v/>
      </c>
      <c r="AE467" s="189">
        <f>AE43+AE86+AE129+AE172+AE215+AE258+AE301+AE344+AE387+AE430</f>
        <v/>
      </c>
      <c r="AF467" s="189">
        <f>AF43+AF86+AF129+AF172+AF215+AF258+AF301+AF344+AF387+AF430</f>
        <v/>
      </c>
      <c r="AG467" s="189">
        <f>AG43+AG86+AG129+AG172+AG215+AG258+AG301+AG344+AG387+AG430</f>
        <v/>
      </c>
      <c r="AH467" s="189">
        <f>AH43+AH86+AH129+AH172+AH215+AH258+AH301+AH344+AH387+AH430</f>
        <v/>
      </c>
      <c r="AI467" s="51" t="inlineStr">
        <is>
          <t>U1X</t>
        </is>
      </c>
    </row>
    <row r="468">
      <c r="B468" s="87">
        <f>B44+B87+B130+B173+B216+B259+B302+B345+B388+B431</f>
        <v/>
      </c>
      <c r="C468" s="10">
        <f>C44+C87+C130+C173+C216+C259+C302+C345+C388+C431</f>
        <v/>
      </c>
      <c r="D468" s="189">
        <f>D44+D87+D130+D173+D216+D259+D302+D345+D388+D431</f>
        <v/>
      </c>
      <c r="E468" s="189">
        <f>E44+E87+E130+E173+E216+E259+E302+E345+E388+E431</f>
        <v/>
      </c>
      <c r="F468" s="189">
        <f>F44+F87+F130+F173+F216+F259+F302+F345+F388+F431</f>
        <v/>
      </c>
      <c r="G468" s="189">
        <f>G44+G87+G130+G173+G216+G259+G302+G345+G388+G431</f>
        <v/>
      </c>
      <c r="H468" s="189">
        <f>H44+H87+H130+H173+H216+H259+H302+H345+H388+H431</f>
        <v/>
      </c>
      <c r="I468" s="189">
        <f>I44+I87+I130+I173+I216+I259+I302+I345+I388+I431</f>
        <v/>
      </c>
      <c r="J468" s="189">
        <f>J44+J87+J130+J173+J216+J259+J302+J345+J388+J431</f>
        <v/>
      </c>
      <c r="K468" s="189">
        <f>K44+K87+K130+K173+K216+K259+K302+K345+K388+K431</f>
        <v/>
      </c>
      <c r="L468" s="189">
        <f>L44+L87+L130+L173+L216+L259+L302+L345+L388+L431</f>
        <v/>
      </c>
      <c r="M468" s="189">
        <f>M44+M87+M130+M173+M216+M259+M302+M345+M388+M431</f>
        <v/>
      </c>
      <c r="N468" s="189">
        <f>N44+N87+N130+N173+N216+N259+N302+N345+N388+N431</f>
        <v/>
      </c>
      <c r="O468" s="189">
        <f>O44+O87+O130+O173+O216+O259+O302+O345+O388+O431</f>
        <v/>
      </c>
      <c r="P468" s="189">
        <f>P44+P87+P130+P173+P216+P259+P302+P345+P388+P431</f>
        <v/>
      </c>
      <c r="Q468" s="189">
        <f>Q44+Q87+Q130+Q173+Q216+Q259+Q302+Q345+Q388+Q431</f>
        <v/>
      </c>
      <c r="R468" s="189">
        <f>R44+R87+R130+R173+R216+R259+R302+R345+R388+R431</f>
        <v/>
      </c>
      <c r="S468" s="86">
        <f>S44+S87+S130+S173+S216+S259+S302+S345+S388+S431</f>
        <v/>
      </c>
      <c r="T468" s="78">
        <f>T44+T87+T130+T173+T216+T259+T302+T345+T388+T431</f>
        <v/>
      </c>
      <c r="U468" s="189">
        <f>U44+U87+U130+U173+U216+U259+U302+U345+U388+U431</f>
        <v/>
      </c>
      <c r="V468" s="189">
        <f>V44+V87+V130+V173+V216+V259+V302+V345+V388+V431</f>
        <v/>
      </c>
      <c r="W468" s="189">
        <f>W44+W87+W130+W173+W216+W259+W302+W345+W388+W431</f>
        <v/>
      </c>
      <c r="X468" s="189">
        <f>X44+X87+X130+X173+X216+X259+X302+X345+X388+X431</f>
        <v/>
      </c>
      <c r="Y468" s="189">
        <f>Y44+Y87+Y130+Y173+Y216+Y259+Y302+Y345+Y388+Y431</f>
        <v/>
      </c>
      <c r="Z468" s="189">
        <f>Z44+Z87+Z130+Z173+Z216+Z259+Z302+Z345+Z388+Z431</f>
        <v/>
      </c>
      <c r="AA468" s="189">
        <f>AA44+AA87+AA130+AA173+AA216+AA259+AA302+AA345+AA388+AA431</f>
        <v/>
      </c>
      <c r="AB468" s="189">
        <f>AB44+AB87+AB130+AB173+AB216+AB259+AB302+AB345+AB388+AB431</f>
        <v/>
      </c>
      <c r="AC468" s="189">
        <f>AC44+AC87+AC130+AC173+AC216+AC259+AC302+AC345+AC388+AC431</f>
        <v/>
      </c>
      <c r="AD468" s="189">
        <f>AD44+AD87+AD130+AD173+AD216+AD259+AD302+AD345+AD388+AD431</f>
        <v/>
      </c>
      <c r="AE468" s="189">
        <f>AE44+AE87+AE130+AE173+AE216+AE259+AE302+AE345+AE388+AE431</f>
        <v/>
      </c>
      <c r="AF468" s="189">
        <f>AF44+AF87+AF130+AF173+AF216+AF259+AF302+AF345+AF388+AF431</f>
        <v/>
      </c>
      <c r="AG468" s="189">
        <f>AG44+AG87+AG130+AG173+AG216+AG259+AG302+AG345+AG388+AG431</f>
        <v/>
      </c>
      <c r="AH468" s="189">
        <f>AH44+AH87+AH130+AH173+AH216+AH259+AH302+AH345+AH388+AH431</f>
        <v/>
      </c>
      <c r="AI468" s="51" t="inlineStr">
        <is>
          <t>U1Y</t>
        </is>
      </c>
    </row>
    <row r="469">
      <c r="B469" s="87">
        <f>B45+B88+B131+B174+B217+B260+B303+B346+B389+B432</f>
        <v/>
      </c>
      <c r="C469" s="189">
        <f>C45+C88+C131+C174+C217+C260+C303+C346+C389+C432</f>
        <v/>
      </c>
      <c r="D469" s="10">
        <f>D45+D88+D131+D174+D217+D260+D303+D346+D389+D432</f>
        <v/>
      </c>
      <c r="E469" s="189">
        <f>E45+E88+E131+E174+E217+E260+E303+E346+E389+E432</f>
        <v/>
      </c>
      <c r="F469" s="189">
        <f>F45+F88+F131+F174+F217+F260+F303+F346+F389+F432</f>
        <v/>
      </c>
      <c r="G469" s="189">
        <f>G45+G88+G131+G174+G217+G260+G303+G346+G389+G432</f>
        <v/>
      </c>
      <c r="H469" s="189">
        <f>H45+H88+H131+H174+H217+H260+H303+H346+H389+H432</f>
        <v/>
      </c>
      <c r="I469" s="189">
        <f>I45+I88+I131+I174+I217+I260+I303+I346+I389+I432</f>
        <v/>
      </c>
      <c r="J469" s="189">
        <f>J45+J88+J131+J174+J217+J260+J303+J346+J389+J432</f>
        <v/>
      </c>
      <c r="K469" s="189">
        <f>K45+K88+K131+K174+K217+K260+K303+K346+K389+K432</f>
        <v/>
      </c>
      <c r="L469" s="189">
        <f>L45+L88+L131+L174+L217+L260+L303+L346+L389+L432</f>
        <v/>
      </c>
      <c r="M469" s="189">
        <f>M45+M88+M131+M174+M217+M260+M303+M346+M389+M432</f>
        <v/>
      </c>
      <c r="N469" s="189">
        <f>N45+N88+N131+N174+N217+N260+N303+N346+N389+N432</f>
        <v/>
      </c>
      <c r="O469" s="189">
        <f>O45+O88+O131+O174+O217+O260+O303+O346+O389+O432</f>
        <v/>
      </c>
      <c r="P469" s="189">
        <f>P45+P88+P131+P174+P217+P260+P303+P346+P389+P432</f>
        <v/>
      </c>
      <c r="Q469" s="189">
        <f>Q45+Q88+Q131+Q174+Q217+Q260+Q303+Q346+Q389+Q432</f>
        <v/>
      </c>
      <c r="R469" s="189">
        <f>R45+R88+R131+R174+R217+R260+R303+R346+R389+R432</f>
        <v/>
      </c>
      <c r="S469" s="86">
        <f>S45+S88+S131+S174+S217+S260+S303+S346+S389+S432</f>
        <v/>
      </c>
      <c r="T469" s="78">
        <f>T45+T88+T131+T174+T217+T260+T303+T346+T389+T432</f>
        <v/>
      </c>
      <c r="U469" s="189">
        <f>U45+U88+U131+U174+U217+U260+U303+U346+U389+U432</f>
        <v/>
      </c>
      <c r="V469" s="189">
        <f>V45+V88+V131+V174+V217+V260+V303+V346+V389+V432</f>
        <v/>
      </c>
      <c r="W469" s="189">
        <f>W45+W88+W131+W174+W217+W260+W303+W346+W389+W432</f>
        <v/>
      </c>
      <c r="X469" s="189">
        <f>X45+X88+X131+X174+X217+X260+X303+X346+X389+X432</f>
        <v/>
      </c>
      <c r="Y469" s="189">
        <f>Y45+Y88+Y131+Y174+Y217+Y260+Y303+Y346+Y389+Y432</f>
        <v/>
      </c>
      <c r="Z469" s="189">
        <f>Z45+Z88+Z131+Z174+Z217+Z260+Z303+Z346+Z389+Z432</f>
        <v/>
      </c>
      <c r="AA469" s="189">
        <f>AA45+AA88+AA131+AA174+AA217+AA260+AA303+AA346+AA389+AA432</f>
        <v/>
      </c>
      <c r="AB469" s="189">
        <f>AB45+AB88+AB131+AB174+AB217+AB260+AB303+AB346+AB389+AB432</f>
        <v/>
      </c>
      <c r="AC469" s="189">
        <f>AC45+AC88+AC131+AC174+AC217+AC260+AC303+AC346+AC389+AC432</f>
        <v/>
      </c>
      <c r="AD469" s="189">
        <f>AD45+AD88+AD131+AD174+AD217+AD260+AD303+AD346+AD389+AD432</f>
        <v/>
      </c>
      <c r="AE469" s="189">
        <f>AE45+AE88+AE131+AE174+AE217+AE260+AE303+AE346+AE389+AE432</f>
        <v/>
      </c>
      <c r="AF469" s="189">
        <f>AF45+AF88+AF131+AF174+AF217+AF260+AF303+AF346+AF389+AF432</f>
        <v/>
      </c>
      <c r="AG469" s="189">
        <f>AG45+AG88+AG131+AG174+AG217+AG260+AG303+AG346+AG389+AG432</f>
        <v/>
      </c>
      <c r="AH469" s="189">
        <f>AH45+AH88+AH131+AH174+AH217+AH260+AH303+AH346+AH389+AH432</f>
        <v/>
      </c>
      <c r="AI469" s="51" t="inlineStr">
        <is>
          <t>U1θ</t>
        </is>
      </c>
    </row>
    <row r="470">
      <c r="B470" s="87">
        <f>B46+B89+B132+B175+B218+B261+B304+B347+B390+B433</f>
        <v/>
      </c>
      <c r="C470" s="189">
        <f>C46+C89+C132+C175+C218+C261+C304+C347+C390+C433</f>
        <v/>
      </c>
      <c r="D470" s="189">
        <f>D46+D89+D132+D175+D218+D261+D304+D347+D390+D433</f>
        <v/>
      </c>
      <c r="E470" s="10">
        <f>E46+E89+E132+E175+E218+E261+E304+E347+E390+E433</f>
        <v/>
      </c>
      <c r="F470" s="189">
        <f>F46+F89+F132+F175+F218+F261+F304+F347+F390+F433</f>
        <v/>
      </c>
      <c r="G470" s="189">
        <f>G46+G89+G132+G175+G218+G261+G304+G347+G390+G433</f>
        <v/>
      </c>
      <c r="H470" s="189">
        <f>H46+H89+H132+H175+H218+H261+H304+H347+H390+H433</f>
        <v/>
      </c>
      <c r="I470" s="189">
        <f>I46+I89+I132+I175+I218+I261+I304+I347+I390+I433</f>
        <v/>
      </c>
      <c r="J470" s="189">
        <f>J46+J89+J132+J175+J218+J261+J304+J347+J390+J433</f>
        <v/>
      </c>
      <c r="K470" s="189">
        <f>K46+K89+K132+K175+K218+K261+K304+K347+K390+K433</f>
        <v/>
      </c>
      <c r="L470" s="189">
        <f>L46+L89+L132+L175+L218+L261+L304+L347+L390+L433</f>
        <v/>
      </c>
      <c r="M470" s="189">
        <f>M46+M89+M132+M175+M218+M261+M304+M347+M390+M433</f>
        <v/>
      </c>
      <c r="N470" s="189">
        <f>N46+N89+N132+N175+N218+N261+N304+N347+N390+N433</f>
        <v/>
      </c>
      <c r="O470" s="189">
        <f>O46+O89+O132+O175+O218+O261+O304+O347+O390+O433</f>
        <v/>
      </c>
      <c r="P470" s="189">
        <f>P46+P89+P132+P175+P218+P261+P304+P347+P390+P433</f>
        <v/>
      </c>
      <c r="Q470" s="189">
        <f>Q46+Q89+Q132+Q175+Q218+Q261+Q304+Q347+Q390+Q433</f>
        <v/>
      </c>
      <c r="R470" s="189">
        <f>R46+R89+R132+R175+R218+R261+R304+R347+R390+R433</f>
        <v/>
      </c>
      <c r="S470" s="86">
        <f>S46+S89+S132+S175+S218+S261+S304+S347+S390+S433</f>
        <v/>
      </c>
      <c r="T470" s="78">
        <f>T46+T89+T132+T175+T218+T261+T304+T347+T390+T433</f>
        <v/>
      </c>
      <c r="U470" s="189">
        <f>U46+U89+U132+U175+U218+U261+U304+U347+U390+U433</f>
        <v/>
      </c>
      <c r="V470" s="189">
        <f>V46+V89+V132+V175+V218+V261+V304+V347+V390+V433</f>
        <v/>
      </c>
      <c r="W470" s="189">
        <f>W46+W89+W132+W175+W218+W261+W304+W347+W390+W433</f>
        <v/>
      </c>
      <c r="X470" s="189">
        <f>X46+X89+X132+X175+X218+X261+X304+X347+X390+X433</f>
        <v/>
      </c>
      <c r="Y470" s="189">
        <f>Y46+Y89+Y132+Y175+Y218+Y261+Y304+Y347+Y390+Y433</f>
        <v/>
      </c>
      <c r="Z470" s="189">
        <f>Z46+Z89+Z132+Z175+Z218+Z261+Z304+Z347+Z390+Z433</f>
        <v/>
      </c>
      <c r="AA470" s="189">
        <f>AA46+AA89+AA132+AA175+AA218+AA261+AA304+AA347+AA390+AA433</f>
        <v/>
      </c>
      <c r="AB470" s="189">
        <f>AB46+AB89+AB132+AB175+AB218+AB261+AB304+AB347+AB390+AB433</f>
        <v/>
      </c>
      <c r="AC470" s="189">
        <f>AC46+AC89+AC132+AC175+AC218+AC261+AC304+AC347+AC390+AC433</f>
        <v/>
      </c>
      <c r="AD470" s="189">
        <f>AD46+AD89+AD132+AD175+AD218+AD261+AD304+AD347+AD390+AD433</f>
        <v/>
      </c>
      <c r="AE470" s="189">
        <f>AE46+AE89+AE132+AE175+AE218+AE261+AE304+AE347+AE390+AE433</f>
        <v/>
      </c>
      <c r="AF470" s="189">
        <f>AF46+AF89+AF132+AF175+AF218+AF261+AF304+AF347+AF390+AF433</f>
        <v/>
      </c>
      <c r="AG470" s="189">
        <f>AG46+AG89+AG132+AG175+AG218+AG261+AG304+AG347+AG390+AG433</f>
        <v/>
      </c>
      <c r="AH470" s="189">
        <f>AH46+AH89+AH132+AH175+AH218+AH261+AH304+AH347+AH390+AH433</f>
        <v/>
      </c>
      <c r="AI470" s="51" t="inlineStr">
        <is>
          <t>U2X</t>
        </is>
      </c>
    </row>
    <row r="471">
      <c r="B471" s="87">
        <f>B47+B90+B133+B176+B219+B262+B305+B348+B391+B434</f>
        <v/>
      </c>
      <c r="C471" s="189">
        <f>C47+C90+C133+C176+C219+C262+C305+C348+C391+C434</f>
        <v/>
      </c>
      <c r="D471" s="189">
        <f>D47+D90+D133+D176+D219+D262+D305+D348+D391+D434</f>
        <v/>
      </c>
      <c r="E471" s="189">
        <f>E47+E90+E133+E176+E219+E262+E305+E348+E391+E434</f>
        <v/>
      </c>
      <c r="F471" s="10">
        <f>F47+F90+F133+F176+F219+F262+F305+F348+F391+F434</f>
        <v/>
      </c>
      <c r="G471" s="189">
        <f>G47+G90+G133+G176+G219+G262+G305+G348+G391+G434</f>
        <v/>
      </c>
      <c r="H471" s="189">
        <f>H47+H90+H133+H176+H219+H262+H305+H348+H391+H434</f>
        <v/>
      </c>
      <c r="I471" s="189">
        <f>I47+I90+I133+I176+I219+I262+I305+I348+I391+I434</f>
        <v/>
      </c>
      <c r="J471" s="189">
        <f>J47+J90+J133+J176+J219+J262+J305+J348+J391+J434</f>
        <v/>
      </c>
      <c r="K471" s="189">
        <f>K47+K90+K133+K176+K219+K262+K305+K348+K391+K434</f>
        <v/>
      </c>
      <c r="L471" s="189">
        <f>L47+L90+L133+L176+L219+L262+L305+L348+L391+L434</f>
        <v/>
      </c>
      <c r="M471" s="189">
        <f>M47+M90+M133+M176+M219+M262+M305+M348+M391+M434</f>
        <v/>
      </c>
      <c r="N471" s="189">
        <f>N47+N90+N133+N176+N219+N262+N305+N348+N391+N434</f>
        <v/>
      </c>
      <c r="O471" s="189">
        <f>O47+O90+O133+O176+O219+O262+O305+O348+O391+O434</f>
        <v/>
      </c>
      <c r="P471" s="189">
        <f>P47+P90+P133+P176+P219+P262+P305+P348+P391+P434</f>
        <v/>
      </c>
      <c r="Q471" s="189">
        <f>Q47+Q90+Q133+Q176+Q219+Q262+Q305+Q348+Q391+Q434</f>
        <v/>
      </c>
      <c r="R471" s="189">
        <f>R47+R90+R133+R176+R219+R262+R305+R348+R391+R434</f>
        <v/>
      </c>
      <c r="S471" s="86">
        <f>S47+S90+S133+S176+S219+S262+S305+S348+S391+S434</f>
        <v/>
      </c>
      <c r="T471" s="78">
        <f>T47+T90+T133+T176+T219+T262+T305+T348+T391+T434</f>
        <v/>
      </c>
      <c r="U471" s="189">
        <f>U47+U90+U133+U176+U219+U262+U305+U348+U391+U434</f>
        <v/>
      </c>
      <c r="V471" s="189">
        <f>V47+V90+V133+V176+V219+V262+V305+V348+V391+V434</f>
        <v/>
      </c>
      <c r="W471" s="189">
        <f>W47+W90+W133+W176+W219+W262+W305+W348+W391+W434</f>
        <v/>
      </c>
      <c r="X471" s="189">
        <f>X47+X90+X133+X176+X219+X262+X305+X348+X391+X434</f>
        <v/>
      </c>
      <c r="Y471" s="189">
        <f>Y47+Y90+Y133+Y176+Y219+Y262+Y305+Y348+Y391+Y434</f>
        <v/>
      </c>
      <c r="Z471" s="189">
        <f>Z47+Z90+Z133+Z176+Z219+Z262+Z305+Z348+Z391+Z434</f>
        <v/>
      </c>
      <c r="AA471" s="189">
        <f>AA47+AA90+AA133+AA176+AA219+AA262+AA305+AA348+AA391+AA434</f>
        <v/>
      </c>
      <c r="AB471" s="189">
        <f>AB47+AB90+AB133+AB176+AB219+AB262+AB305+AB348+AB391+AB434</f>
        <v/>
      </c>
      <c r="AC471" s="189">
        <f>AC47+AC90+AC133+AC176+AC219+AC262+AC305+AC348+AC391+AC434</f>
        <v/>
      </c>
      <c r="AD471" s="189">
        <f>AD47+AD90+AD133+AD176+AD219+AD262+AD305+AD348+AD391+AD434</f>
        <v/>
      </c>
      <c r="AE471" s="189">
        <f>AE47+AE90+AE133+AE176+AE219+AE262+AE305+AE348+AE391+AE434</f>
        <v/>
      </c>
      <c r="AF471" s="189">
        <f>AF47+AF90+AF133+AF176+AF219+AF262+AF305+AF348+AF391+AF434</f>
        <v/>
      </c>
      <c r="AG471" s="189">
        <f>AG47+AG90+AG133+AG176+AG219+AG262+AG305+AG348+AG391+AG434</f>
        <v/>
      </c>
      <c r="AH471" s="189">
        <f>AH47+AH90+AH133+AH176+AH219+AH262+AH305+AH348+AH391+AH434</f>
        <v/>
      </c>
      <c r="AI471" s="51" t="inlineStr">
        <is>
          <t>U2Y</t>
        </is>
      </c>
    </row>
    <row r="472">
      <c r="B472" s="87">
        <f>B48+B91+B134+B177+B220+B263+B306+B349+B392+B435</f>
        <v/>
      </c>
      <c r="C472" s="189">
        <f>C48+C91+C134+C177+C220+C263+C306+C349+C392+C435</f>
        <v/>
      </c>
      <c r="D472" s="189">
        <f>D48+D91+D134+D177+D220+D263+D306+D349+D392+D435</f>
        <v/>
      </c>
      <c r="E472" s="189">
        <f>E48+E91+E134+E177+E220+E263+E306+E349+E392+E435</f>
        <v/>
      </c>
      <c r="F472" s="189">
        <f>F48+F91+F134+F177+F220+F263+F306+F349+F392+F435</f>
        <v/>
      </c>
      <c r="G472" s="10">
        <f>G48+G91+G134+G177+G220+G263+G306+G349+G392+G435</f>
        <v/>
      </c>
      <c r="H472" s="189">
        <f>H48+H91+H134+H177+H220+H263+H306+H349+H392+H435</f>
        <v/>
      </c>
      <c r="I472" s="189">
        <f>I48+I91+I134+I177+I220+I263+I306+I349+I392+I435</f>
        <v/>
      </c>
      <c r="J472" s="189">
        <f>J48+J91+J134+J177+J220+J263+J306+J349+J392+J435</f>
        <v/>
      </c>
      <c r="K472" s="189">
        <f>K48+K91+K134+K177+K220+K263+K306+K349+K392+K435</f>
        <v/>
      </c>
      <c r="L472" s="189">
        <f>L48+L91+L134+L177+L220+L263+L306+L349+L392+L435</f>
        <v/>
      </c>
      <c r="M472" s="189">
        <f>M48+M91+M134+M177+M220+M263+M306+M349+M392+M435</f>
        <v/>
      </c>
      <c r="N472" s="189">
        <f>N48+N91+N134+N177+N220+N263+N306+N349+N392+N435</f>
        <v/>
      </c>
      <c r="O472" s="189">
        <f>O48+O91+O134+O177+O220+O263+O306+O349+O392+O435</f>
        <v/>
      </c>
      <c r="P472" s="189">
        <f>P48+P91+P134+P177+P220+P263+P306+P349+P392+P435</f>
        <v/>
      </c>
      <c r="Q472" s="189">
        <f>Q48+Q91+Q134+Q177+Q220+Q263+Q306+Q349+Q392+Q435</f>
        <v/>
      </c>
      <c r="R472" s="189">
        <f>R48+R91+R134+R177+R220+R263+R306+R349+R392+R435</f>
        <v/>
      </c>
      <c r="S472" s="86">
        <f>S48+S91+S134+S177+S220+S263+S306+S349+S392+S435</f>
        <v/>
      </c>
      <c r="T472" s="78">
        <f>T48+T91+T134+T177+T220+T263+T306+T349+T392+T435</f>
        <v/>
      </c>
      <c r="U472" s="189">
        <f>U48+U91+U134+U177+U220+U263+U306+U349+U392+U435</f>
        <v/>
      </c>
      <c r="V472" s="189">
        <f>V48+V91+V134+V177+V220+V263+V306+V349+V392+V435</f>
        <v/>
      </c>
      <c r="W472" s="189">
        <f>W48+W91+W134+W177+W220+W263+W306+W349+W392+W435</f>
        <v/>
      </c>
      <c r="X472" s="189">
        <f>X48+X91+X134+X177+X220+X263+X306+X349+X392+X435</f>
        <v/>
      </c>
      <c r="Y472" s="189">
        <f>Y48+Y91+Y134+Y177+Y220+Y263+Y306+Y349+Y392+Y435</f>
        <v/>
      </c>
      <c r="Z472" s="189">
        <f>Z48+Z91+Z134+Z177+Z220+Z263+Z306+Z349+Z392+Z435</f>
        <v/>
      </c>
      <c r="AA472" s="189">
        <f>AA48+AA91+AA134+AA177+AA220+AA263+AA306+AA349+AA392+AA435</f>
        <v/>
      </c>
      <c r="AB472" s="189">
        <f>AB48+AB91+AB134+AB177+AB220+AB263+AB306+AB349+AB392+AB435</f>
        <v/>
      </c>
      <c r="AC472" s="189">
        <f>AC48+AC91+AC134+AC177+AC220+AC263+AC306+AC349+AC392+AC435</f>
        <v/>
      </c>
      <c r="AD472" s="189">
        <f>AD48+AD91+AD134+AD177+AD220+AD263+AD306+AD349+AD392+AD435</f>
        <v/>
      </c>
      <c r="AE472" s="189">
        <f>AE48+AE91+AE134+AE177+AE220+AE263+AE306+AE349+AE392+AE435</f>
        <v/>
      </c>
      <c r="AF472" s="189">
        <f>AF48+AF91+AF134+AF177+AF220+AF263+AF306+AF349+AF392+AF435</f>
        <v/>
      </c>
      <c r="AG472" s="189">
        <f>AG48+AG91+AG134+AG177+AG220+AG263+AG306+AG349+AG392+AG435</f>
        <v/>
      </c>
      <c r="AH472" s="189">
        <f>AH48+AH91+AH134+AH177+AH220+AH263+AH306+AH349+AH392+AH435</f>
        <v/>
      </c>
      <c r="AI472" s="51" t="inlineStr">
        <is>
          <t>U2θ</t>
        </is>
      </c>
    </row>
    <row r="473">
      <c r="B473" s="87">
        <f>B49+B92+B135+B178+B221+B264+B307+B350+B393+B436</f>
        <v/>
      </c>
      <c r="C473" s="189">
        <f>C49+C92+C135+C178+C221+C264+C307+C350+C393+C436</f>
        <v/>
      </c>
      <c r="D473" s="189">
        <f>D49+D92+D135+D178+D221+D264+D307+D350+D393+D436</f>
        <v/>
      </c>
      <c r="E473" s="189">
        <f>E49+E92+E135+E178+E221+E264+E307+E350+E393+E436</f>
        <v/>
      </c>
      <c r="F473" s="189">
        <f>F49+F92+F135+F178+F221+F264+F307+F350+F393+F436</f>
        <v/>
      </c>
      <c r="G473" s="189">
        <f>G49+G92+G135+G178+G221+G264+G307+G350+G393+G436</f>
        <v/>
      </c>
      <c r="H473" s="10">
        <f>H49+H92+H135+H178+H221+H264+H307+H350+H393+H436</f>
        <v/>
      </c>
      <c r="I473" s="189">
        <f>I49+I92+I135+I178+I221+I264+I307+I350+I393+I436</f>
        <v/>
      </c>
      <c r="J473" s="189">
        <f>J49+J92+J135+J178+J221+J264+J307+J350+J393+J436</f>
        <v/>
      </c>
      <c r="K473" s="189">
        <f>K49+K92+K135+K178+K221+K264+K307+K350+K393+K436</f>
        <v/>
      </c>
      <c r="L473" s="189">
        <f>L49+L92+L135+L178+L221+L264+L307+L350+L393+L436</f>
        <v/>
      </c>
      <c r="M473" s="189">
        <f>M49+M92+M135+M178+M221+M264+M307+M350+M393+M436</f>
        <v/>
      </c>
      <c r="N473" s="189">
        <f>N49+N92+N135+N178+N221+N264+N307+N350+N393+N436</f>
        <v/>
      </c>
      <c r="O473" s="189">
        <f>O49+O92+O135+O178+O221+O264+O307+O350+O393+O436</f>
        <v/>
      </c>
      <c r="P473" s="189">
        <f>P49+P92+P135+P178+P221+P264+P307+P350+P393+P436</f>
        <v/>
      </c>
      <c r="Q473" s="189">
        <f>Q49+Q92+Q135+Q178+Q221+Q264+Q307+Q350+Q393+Q436</f>
        <v/>
      </c>
      <c r="R473" s="189">
        <f>R49+R92+R135+R178+R221+R264+R307+R350+R393+R436</f>
        <v/>
      </c>
      <c r="S473" s="86">
        <f>S49+S92+S135+S178+S221+S264+S307+S350+S393+S436</f>
        <v/>
      </c>
      <c r="T473" s="78">
        <f>T49+T92+T135+T178+T221+T264+T307+T350+T393+T436</f>
        <v/>
      </c>
      <c r="U473" s="189">
        <f>U49+U92+U135+U178+U221+U264+U307+U350+U393+U436</f>
        <v/>
      </c>
      <c r="V473" s="189">
        <f>V49+V92+V135+V178+V221+V264+V307+V350+V393+V436</f>
        <v/>
      </c>
      <c r="W473" s="189">
        <f>W49+W92+W135+W178+W221+W264+W307+W350+W393+W436</f>
        <v/>
      </c>
      <c r="X473" s="189">
        <f>X49+X92+X135+X178+X221+X264+X307+X350+X393+X436</f>
        <v/>
      </c>
      <c r="Y473" s="189">
        <f>Y49+Y92+Y135+Y178+Y221+Y264+Y307+Y350+Y393+Y436</f>
        <v/>
      </c>
      <c r="Z473" s="189">
        <f>Z49+Z92+Z135+Z178+Z221+Z264+Z307+Z350+Z393+Z436</f>
        <v/>
      </c>
      <c r="AA473" s="189">
        <f>AA49+AA92+AA135+AA178+AA221+AA264+AA307+AA350+AA393+AA436</f>
        <v/>
      </c>
      <c r="AB473" s="189">
        <f>AB49+AB92+AB135+AB178+AB221+AB264+AB307+AB350+AB393+AB436</f>
        <v/>
      </c>
      <c r="AC473" s="189">
        <f>AC49+AC92+AC135+AC178+AC221+AC264+AC307+AC350+AC393+AC436</f>
        <v/>
      </c>
      <c r="AD473" s="189">
        <f>AD49+AD92+AD135+AD178+AD221+AD264+AD307+AD350+AD393+AD436</f>
        <v/>
      </c>
      <c r="AE473" s="189">
        <f>AE49+AE92+AE135+AE178+AE221+AE264+AE307+AE350+AE393+AE436</f>
        <v/>
      </c>
      <c r="AF473" s="189">
        <f>AF49+AF92+AF135+AF178+AF221+AF264+AF307+AF350+AF393+AF436</f>
        <v/>
      </c>
      <c r="AG473" s="189">
        <f>AG49+AG92+AG135+AG178+AG221+AG264+AG307+AG350+AG393+AG436</f>
        <v/>
      </c>
      <c r="AH473" s="189">
        <f>AH49+AH92+AH135+AH178+AH221+AH264+AH307+AH350+AH393+AH436</f>
        <v/>
      </c>
      <c r="AI473" s="51" t="inlineStr">
        <is>
          <t>U3X</t>
        </is>
      </c>
    </row>
    <row r="474">
      <c r="B474" s="87">
        <f>B50+B93+B136+B179+B222+B265+B308+B351+B394+B437</f>
        <v/>
      </c>
      <c r="C474" s="189">
        <f>C50+C93+C136+C179+C222+C265+C308+C351+C394+C437</f>
        <v/>
      </c>
      <c r="D474" s="189">
        <f>D50+D93+D136+D179+D222+D265+D308+D351+D394+D437</f>
        <v/>
      </c>
      <c r="E474" s="189">
        <f>E50+E93+E136+E179+E222+E265+E308+E351+E394+E437</f>
        <v/>
      </c>
      <c r="F474" s="189">
        <f>F50+F93+F136+F179+F222+F265+F308+F351+F394+F437</f>
        <v/>
      </c>
      <c r="G474" s="189">
        <f>G50+G93+G136+G179+G222+G265+G308+G351+G394+G437</f>
        <v/>
      </c>
      <c r="H474" s="189">
        <f>H50+H93+H136+H179+H222+H265+H308+H351+H394+H437</f>
        <v/>
      </c>
      <c r="I474" s="10">
        <f>I50+I93+I136+I179+I222+I265+I308+I351+I394+I437</f>
        <v/>
      </c>
      <c r="J474" s="189">
        <f>J50+J93+J136+J179+J222+J265+J308+J351+J394+J437</f>
        <v/>
      </c>
      <c r="K474" s="189">
        <f>K50+K93+K136+K179+K222+K265+K308+K351+K394+K437</f>
        <v/>
      </c>
      <c r="L474" s="189">
        <f>L50+L93+L136+L179+L222+L265+L308+L351+L394+L437</f>
        <v/>
      </c>
      <c r="M474" s="189">
        <f>M50+M93+M136+M179+M222+M265+M308+M351+M394+M437</f>
        <v/>
      </c>
      <c r="N474" s="189">
        <f>N50+N93+N136+N179+N222+N265+N308+N351+N394+N437</f>
        <v/>
      </c>
      <c r="O474" s="189">
        <f>O50+O93+O136+O179+O222+O265+O308+O351+O394+O437</f>
        <v/>
      </c>
      <c r="P474" s="189">
        <f>P50+P93+P136+P179+P222+P265+P308+P351+P394+P437</f>
        <v/>
      </c>
      <c r="Q474" s="189">
        <f>Q50+Q93+Q136+Q179+Q222+Q265+Q308+Q351+Q394+Q437</f>
        <v/>
      </c>
      <c r="R474" s="189">
        <f>R50+R93+R136+R179+R222+R265+R308+R351+R394+R437</f>
        <v/>
      </c>
      <c r="S474" s="86">
        <f>S50+S93+S136+S179+S222+S265+S308+S351+S394+S437</f>
        <v/>
      </c>
      <c r="T474" s="78">
        <f>T50+T93+T136+T179+T222+T265+T308+T351+T394+T437</f>
        <v/>
      </c>
      <c r="U474" s="189">
        <f>U50+U93+U136+U179+U222+U265+U308+U351+U394+U437</f>
        <v/>
      </c>
      <c r="V474" s="189">
        <f>V50+V93+V136+V179+V222+V265+V308+V351+V394+V437</f>
        <v/>
      </c>
      <c r="W474" s="189">
        <f>W50+W93+W136+W179+W222+W265+W308+W351+W394+W437</f>
        <v/>
      </c>
      <c r="X474" s="189">
        <f>X50+X93+X136+X179+X222+X265+X308+X351+X394+X437</f>
        <v/>
      </c>
      <c r="Y474" s="189">
        <f>Y50+Y93+Y136+Y179+Y222+Y265+Y308+Y351+Y394+Y437</f>
        <v/>
      </c>
      <c r="Z474" s="189">
        <f>Z50+Z93+Z136+Z179+Z222+Z265+Z308+Z351+Z394+Z437</f>
        <v/>
      </c>
      <c r="AA474" s="189">
        <f>AA50+AA93+AA136+AA179+AA222+AA265+AA308+AA351+AA394+AA437</f>
        <v/>
      </c>
      <c r="AB474" s="189">
        <f>AB50+AB93+AB136+AB179+AB222+AB265+AB308+AB351+AB394+AB437</f>
        <v/>
      </c>
      <c r="AC474" s="189">
        <f>AC50+AC93+AC136+AC179+AC222+AC265+AC308+AC351+AC394+AC437</f>
        <v/>
      </c>
      <c r="AD474" s="189">
        <f>AD50+AD93+AD136+AD179+AD222+AD265+AD308+AD351+AD394+AD437</f>
        <v/>
      </c>
      <c r="AE474" s="189">
        <f>AE50+AE93+AE136+AE179+AE222+AE265+AE308+AE351+AE394+AE437</f>
        <v/>
      </c>
      <c r="AF474" s="189">
        <f>AF50+AF93+AF136+AF179+AF222+AF265+AF308+AF351+AF394+AF437</f>
        <v/>
      </c>
      <c r="AG474" s="189">
        <f>AG50+AG93+AG136+AG179+AG222+AG265+AG308+AG351+AG394+AG437</f>
        <v/>
      </c>
      <c r="AH474" s="189">
        <f>AH50+AH93+AH136+AH179+AH222+AH265+AH308+AH351+AH394+AH437</f>
        <v/>
      </c>
      <c r="AI474" s="51" t="inlineStr">
        <is>
          <t>U3Y</t>
        </is>
      </c>
    </row>
    <row r="475">
      <c r="B475" s="87">
        <f>B51+B94+B137+B180+B223+B266+B309+B352+B395+B438</f>
        <v/>
      </c>
      <c r="C475" s="189">
        <f>C51+C94+C137+C180+C223+C266+C309+C352+C395+C438</f>
        <v/>
      </c>
      <c r="D475" s="189">
        <f>D51+D94+D137+D180+D223+D266+D309+D352+D395+D438</f>
        <v/>
      </c>
      <c r="E475" s="189">
        <f>E51+E94+E137+E180+E223+E266+E309+E352+E395+E438</f>
        <v/>
      </c>
      <c r="F475" s="189">
        <f>F51+F94+F137+F180+F223+F266+F309+F352+F395+F438</f>
        <v/>
      </c>
      <c r="G475" s="189">
        <f>G51+G94+G137+G180+G223+G266+G309+G352+G395+G438</f>
        <v/>
      </c>
      <c r="H475" s="189">
        <f>H51+H94+H137+H180+H223+H266+H309+H352+H395+H438</f>
        <v/>
      </c>
      <c r="I475" s="189">
        <f>I51+I94+I137+I180+I223+I266+I309+I352+I395+I438</f>
        <v/>
      </c>
      <c r="J475" s="10">
        <f>J51+J94+J137+J180+J223+J266+J309+J352+J395+J438</f>
        <v/>
      </c>
      <c r="K475" s="189">
        <f>K51+K94+K137+K180+K223+K266+K309+K352+K395+K438</f>
        <v/>
      </c>
      <c r="L475" s="189">
        <f>L51+L94+L137+L180+L223+L266+L309+L352+L395+L438</f>
        <v/>
      </c>
      <c r="M475" s="189">
        <f>M51+M94+M137+M180+M223+M266+M309+M352+M395+M438</f>
        <v/>
      </c>
      <c r="N475" s="189">
        <f>N51+N94+N137+N180+N223+N266+N309+N352+N395+N438</f>
        <v/>
      </c>
      <c r="O475" s="189">
        <f>O51+O94+O137+O180+O223+O266+O309+O352+O395+O438</f>
        <v/>
      </c>
      <c r="P475" s="189">
        <f>P51+P94+P137+P180+P223+P266+P309+P352+P395+P438</f>
        <v/>
      </c>
      <c r="Q475" s="189">
        <f>Q51+Q94+Q137+Q180+Q223+Q266+Q309+Q352+Q395+Q438</f>
        <v/>
      </c>
      <c r="R475" s="189">
        <f>R51+R94+R137+R180+R223+R266+R309+R352+R395+R438</f>
        <v/>
      </c>
      <c r="S475" s="86">
        <f>S51+S94+S137+S180+S223+S266+S309+S352+S395+S438</f>
        <v/>
      </c>
      <c r="T475" s="78">
        <f>T51+T94+T137+T180+T223+T266+T309+T352+T395+T438</f>
        <v/>
      </c>
      <c r="U475" s="189">
        <f>U51+U94+U137+U180+U223+U266+U309+U352+U395+U438</f>
        <v/>
      </c>
      <c r="V475" s="189">
        <f>V51+V94+V137+V180+V223+V266+V309+V352+V395+V438</f>
        <v/>
      </c>
      <c r="W475" s="189">
        <f>W51+W94+W137+W180+W223+W266+W309+W352+W395+W438</f>
        <v/>
      </c>
      <c r="X475" s="189">
        <f>X51+X94+X137+X180+X223+X266+X309+X352+X395+X438</f>
        <v/>
      </c>
      <c r="Y475" s="189">
        <f>Y51+Y94+Y137+Y180+Y223+Y266+Y309+Y352+Y395+Y438</f>
        <v/>
      </c>
      <c r="Z475" s="189">
        <f>Z51+Z94+Z137+Z180+Z223+Z266+Z309+Z352+Z395+Z438</f>
        <v/>
      </c>
      <c r="AA475" s="189">
        <f>AA51+AA94+AA137+AA180+AA223+AA266+AA309+AA352+AA395+AA438</f>
        <v/>
      </c>
      <c r="AB475" s="189">
        <f>AB51+AB94+AB137+AB180+AB223+AB266+AB309+AB352+AB395+AB438</f>
        <v/>
      </c>
      <c r="AC475" s="189">
        <f>AC51+AC94+AC137+AC180+AC223+AC266+AC309+AC352+AC395+AC438</f>
        <v/>
      </c>
      <c r="AD475" s="189">
        <f>AD51+AD94+AD137+AD180+AD223+AD266+AD309+AD352+AD395+AD438</f>
        <v/>
      </c>
      <c r="AE475" s="189">
        <f>AE51+AE94+AE137+AE180+AE223+AE266+AE309+AE352+AE395+AE438</f>
        <v/>
      </c>
      <c r="AF475" s="189">
        <f>AF51+AF94+AF137+AF180+AF223+AF266+AF309+AF352+AF395+AF438</f>
        <v/>
      </c>
      <c r="AG475" s="189">
        <f>AG51+AG94+AG137+AG180+AG223+AG266+AG309+AG352+AG395+AG438</f>
        <v/>
      </c>
      <c r="AH475" s="189">
        <f>AH51+AH94+AH137+AH180+AH223+AH266+AH309+AH352+AH395+AH438</f>
        <v/>
      </c>
      <c r="AI475" s="51" t="inlineStr">
        <is>
          <t>U3θ</t>
        </is>
      </c>
    </row>
    <row r="476">
      <c r="B476" s="87">
        <f>B52+B95+B138+B181+B224+B267+B310+B353+B396+B439</f>
        <v/>
      </c>
      <c r="C476" s="189">
        <f>C52+C95+C138+C181+C224+C267+C310+C353+C396+C439</f>
        <v/>
      </c>
      <c r="D476" s="189">
        <f>D52+D95+D138+D181+D224+D267+D310+D353+D396+D439</f>
        <v/>
      </c>
      <c r="E476" s="189">
        <f>E52+E95+E138+E181+E224+E267+E310+E353+E396+E439</f>
        <v/>
      </c>
      <c r="F476" s="189">
        <f>F52+F95+F138+F181+F224+F267+F310+F353+F396+F439</f>
        <v/>
      </c>
      <c r="G476" s="189">
        <f>G52+G95+G138+G181+G224+G267+G310+G353+G396+G439</f>
        <v/>
      </c>
      <c r="H476" s="189">
        <f>H52+H95+H138+H181+H224+H267+H310+H353+H396+H439</f>
        <v/>
      </c>
      <c r="I476" s="189">
        <f>I52+I95+I138+I181+I224+I267+I310+I353+I396+I439</f>
        <v/>
      </c>
      <c r="J476" s="189">
        <f>J52+J95+J138+J181+J224+J267+J310+J353+J396+J439</f>
        <v/>
      </c>
      <c r="K476" s="10">
        <f>K52+K95+K138+K181+K224+K267+K310+K353+K396+K439</f>
        <v/>
      </c>
      <c r="L476" s="189">
        <f>L52+L95+L138+L181+L224+L267+L310+L353+L396+L439</f>
        <v/>
      </c>
      <c r="M476" s="189">
        <f>M52+M95+M138+M181+M224+M267+M310+M353+M396+M439</f>
        <v/>
      </c>
      <c r="N476" s="189">
        <f>N52+N95+N138+N181+N224+N267+N310+N353+N396+N439</f>
        <v/>
      </c>
      <c r="O476" s="189">
        <f>O52+O95+O138+O181+O224+O267+O310+O353+O396+O439</f>
        <v/>
      </c>
      <c r="P476" s="189">
        <f>P52+P95+P138+P181+P224+P267+P310+P353+P396+P439</f>
        <v/>
      </c>
      <c r="Q476" s="189">
        <f>Q52+Q95+Q138+Q181+Q224+Q267+Q310+Q353+Q396+Q439</f>
        <v/>
      </c>
      <c r="R476" s="189">
        <f>R52+R95+R138+R181+R224+R267+R310+R353+R396+R439</f>
        <v/>
      </c>
      <c r="S476" s="86">
        <f>S52+S95+S138+S181+S224+S267+S310+S353+S396+S439</f>
        <v/>
      </c>
      <c r="T476" s="78">
        <f>T52+T95+T138+T181+T224+T267+T310+T353+T396+T439</f>
        <v/>
      </c>
      <c r="U476" s="189">
        <f>U52+U95+U138+U181+U224+U267+U310+U353+U396+U439</f>
        <v/>
      </c>
      <c r="V476" s="189">
        <f>V52+V95+V138+V181+V224+V267+V310+V353+V396+V439</f>
        <v/>
      </c>
      <c r="W476" s="189">
        <f>W52+W95+W138+W181+W224+W267+W310+W353+W396+W439</f>
        <v/>
      </c>
      <c r="X476" s="189">
        <f>X52+X95+X138+X181+X224+X267+X310+X353+X396+X439</f>
        <v/>
      </c>
      <c r="Y476" s="189">
        <f>Y52+Y95+Y138+Y181+Y224+Y267+Y310+Y353+Y396+Y439</f>
        <v/>
      </c>
      <c r="Z476" s="189">
        <f>Z52+Z95+Z138+Z181+Z224+Z267+Z310+Z353+Z396+Z439</f>
        <v/>
      </c>
      <c r="AA476" s="189">
        <f>AA52+AA95+AA138+AA181+AA224+AA267+AA310+AA353+AA396+AA439</f>
        <v/>
      </c>
      <c r="AB476" s="189">
        <f>AB52+AB95+AB138+AB181+AB224+AB267+AB310+AB353+AB396+AB439</f>
        <v/>
      </c>
      <c r="AC476" s="189">
        <f>AC52+AC95+AC138+AC181+AC224+AC267+AC310+AC353+AC396+AC439</f>
        <v/>
      </c>
      <c r="AD476" s="189">
        <f>AD52+AD95+AD138+AD181+AD224+AD267+AD310+AD353+AD396+AD439</f>
        <v/>
      </c>
      <c r="AE476" s="189">
        <f>AE52+AE95+AE138+AE181+AE224+AE267+AE310+AE353+AE396+AE439</f>
        <v/>
      </c>
      <c r="AF476" s="189">
        <f>AF52+AF95+AF138+AF181+AF224+AF267+AF310+AF353+AF396+AF439</f>
        <v/>
      </c>
      <c r="AG476" s="189">
        <f>AG52+AG95+AG138+AG181+AG224+AG267+AG310+AG353+AG396+AG439</f>
        <v/>
      </c>
      <c r="AH476" s="189">
        <f>AH52+AH95+AH138+AH181+AH224+AH267+AH310+AH353+AH396+AH439</f>
        <v/>
      </c>
      <c r="AI476" s="51" t="inlineStr">
        <is>
          <t>U4X</t>
        </is>
      </c>
    </row>
    <row r="477">
      <c r="B477" s="87">
        <f>B53+B96+B139+B182+B225+B268+B311+B354+B397+B440</f>
        <v/>
      </c>
      <c r="C477" s="189">
        <f>C53+C96+C139+C182+C225+C268+C311+C354+C397+C440</f>
        <v/>
      </c>
      <c r="D477" s="189">
        <f>D53+D96+D139+D182+D225+D268+D311+D354+D397+D440</f>
        <v/>
      </c>
      <c r="E477" s="189">
        <f>E53+E96+E139+E182+E225+E268+E311+E354+E397+E440</f>
        <v/>
      </c>
      <c r="F477" s="189">
        <f>F53+F96+F139+F182+F225+F268+F311+F354+F397+F440</f>
        <v/>
      </c>
      <c r="G477" s="189">
        <f>G53+G96+G139+G182+G225+G268+G311+G354+G397+G440</f>
        <v/>
      </c>
      <c r="H477" s="189">
        <f>H53+H96+H139+H182+H225+H268+H311+H354+H397+H440</f>
        <v/>
      </c>
      <c r="I477" s="189">
        <f>I53+I96+I139+I182+I225+I268+I311+I354+I397+I440</f>
        <v/>
      </c>
      <c r="J477" s="189">
        <f>J53+J96+J139+J182+J225+J268+J311+J354+J397+J440</f>
        <v/>
      </c>
      <c r="K477" s="189">
        <f>K53+K96+K139+K182+K225+K268+K311+K354+K397+K440</f>
        <v/>
      </c>
      <c r="L477" s="10">
        <f>L53+L96+L139+L182+L225+L268+L311+L354+L397+L440</f>
        <v/>
      </c>
      <c r="M477" s="189">
        <f>M53+M96+M139+M182+M225+M268+M311+M354+M397+M440</f>
        <v/>
      </c>
      <c r="N477" s="189">
        <f>N53+N96+N139+N182+N225+N268+N311+N354+N397+N440</f>
        <v/>
      </c>
      <c r="O477" s="189">
        <f>O53+O96+O139+O182+O225+O268+O311+O354+O397+O440</f>
        <v/>
      </c>
      <c r="P477" s="189">
        <f>P53+P96+P139+P182+P225+P268+P311+P354+P397+P440</f>
        <v/>
      </c>
      <c r="Q477" s="189">
        <f>Q53+Q96+Q139+Q182+Q225+Q268+Q311+Q354+Q397+Q440</f>
        <v/>
      </c>
      <c r="R477" s="189">
        <f>R53+R96+R139+R182+R225+R268+R311+R354+R397+R440</f>
        <v/>
      </c>
      <c r="S477" s="86">
        <f>S53+S96+S139+S182+S225+S268+S311+S354+S397+S440</f>
        <v/>
      </c>
      <c r="T477" s="78">
        <f>T53+T96+T139+T182+T225+T268+T311+T354+T397+T440</f>
        <v/>
      </c>
      <c r="U477" s="189">
        <f>U53+U96+U139+U182+U225+U268+U311+U354+U397+U440</f>
        <v/>
      </c>
      <c r="V477" s="189">
        <f>V53+V96+V139+V182+V225+V268+V311+V354+V397+V440</f>
        <v/>
      </c>
      <c r="W477" s="189">
        <f>W53+W96+W139+W182+W225+W268+W311+W354+W397+W440</f>
        <v/>
      </c>
      <c r="X477" s="189">
        <f>X53+X96+X139+X182+X225+X268+X311+X354+X397+X440</f>
        <v/>
      </c>
      <c r="Y477" s="189">
        <f>Y53+Y96+Y139+Y182+Y225+Y268+Y311+Y354+Y397+Y440</f>
        <v/>
      </c>
      <c r="Z477" s="189">
        <f>Z53+Z96+Z139+Z182+Z225+Z268+Z311+Z354+Z397+Z440</f>
        <v/>
      </c>
      <c r="AA477" s="189">
        <f>AA53+AA96+AA139+AA182+AA225+AA268+AA311+AA354+AA397+AA440</f>
        <v/>
      </c>
      <c r="AB477" s="189">
        <f>AB53+AB96+AB139+AB182+AB225+AB268+AB311+AB354+AB397+AB440</f>
        <v/>
      </c>
      <c r="AC477" s="189">
        <f>AC53+AC96+AC139+AC182+AC225+AC268+AC311+AC354+AC397+AC440</f>
        <v/>
      </c>
      <c r="AD477" s="189">
        <f>AD53+AD96+AD139+AD182+AD225+AD268+AD311+AD354+AD397+AD440</f>
        <v/>
      </c>
      <c r="AE477" s="189">
        <f>AE53+AE96+AE139+AE182+AE225+AE268+AE311+AE354+AE397+AE440</f>
        <v/>
      </c>
      <c r="AF477" s="189">
        <f>AF53+AF96+AF139+AF182+AF225+AF268+AF311+AF354+AF397+AF440</f>
        <v/>
      </c>
      <c r="AG477" s="189">
        <f>AG53+AG96+AG139+AG182+AG225+AG268+AG311+AG354+AG397+AG440</f>
        <v/>
      </c>
      <c r="AH477" s="189">
        <f>AH53+AH96+AH139+AH182+AH225+AH268+AH311+AH354+AH397+AH440</f>
        <v/>
      </c>
      <c r="AI477" s="51" t="inlineStr">
        <is>
          <t>U4Y</t>
        </is>
      </c>
    </row>
    <row r="478">
      <c r="B478" s="87">
        <f>B54+B97+B140+B183+B226+B269+B312+B355+B398+B441</f>
        <v/>
      </c>
      <c r="C478" s="189">
        <f>C54+C97+C140+C183+C226+C269+C312+C355+C398+C441</f>
        <v/>
      </c>
      <c r="D478" s="189">
        <f>D54+D97+D140+D183+D226+D269+D312+D355+D398+D441</f>
        <v/>
      </c>
      <c r="E478" s="189">
        <f>E54+E97+E140+E183+E226+E269+E312+E355+E398+E441</f>
        <v/>
      </c>
      <c r="F478" s="189">
        <f>F54+F97+F140+F183+F226+F269+F312+F355+F398+F441</f>
        <v/>
      </c>
      <c r="G478" s="189">
        <f>G54+G97+G140+G183+G226+G269+G312+G355+G398+G441</f>
        <v/>
      </c>
      <c r="H478" s="189">
        <f>H54+H97+H140+H183+H226+H269+H312+H355+H398+H441</f>
        <v/>
      </c>
      <c r="I478" s="189">
        <f>I54+I97+I140+I183+I226+I269+I312+I355+I398+I441</f>
        <v/>
      </c>
      <c r="J478" s="189">
        <f>J54+J97+J140+J183+J226+J269+J312+J355+J398+J441</f>
        <v/>
      </c>
      <c r="K478" s="189">
        <f>K54+K97+K140+K183+K226+K269+K312+K355+K398+K441</f>
        <v/>
      </c>
      <c r="L478" s="189">
        <f>L54+L97+L140+L183+L226+L269+L312+L355+L398+L441</f>
        <v/>
      </c>
      <c r="M478" s="10">
        <f>M54+M97+M140+M183+M226+M269+M312+M355+M398+M441</f>
        <v/>
      </c>
      <c r="N478" s="189">
        <f>N54+N97+N140+N183+N226+N269+N312+N355+N398+N441</f>
        <v/>
      </c>
      <c r="O478" s="189">
        <f>O54+O97+O140+O183+O226+O269+O312+O355+O398+O441</f>
        <v/>
      </c>
      <c r="P478" s="189">
        <f>P54+P97+P140+P183+P226+P269+P312+P355+P398+P441</f>
        <v/>
      </c>
      <c r="Q478" s="189">
        <f>Q54+Q97+Q140+Q183+Q226+Q269+Q312+Q355+Q398+Q441</f>
        <v/>
      </c>
      <c r="R478" s="189">
        <f>R54+R97+R140+R183+R226+R269+R312+R355+R398+R441</f>
        <v/>
      </c>
      <c r="S478" s="86">
        <f>S54+S97+S140+S183+S226+S269+S312+S355+S398+S441</f>
        <v/>
      </c>
      <c r="T478" s="78">
        <f>T54+T97+T140+T183+T226+T269+T312+T355+T398+T441</f>
        <v/>
      </c>
      <c r="U478" s="189">
        <f>U54+U97+U140+U183+U226+U269+U312+U355+U398+U441</f>
        <v/>
      </c>
      <c r="V478" s="189">
        <f>V54+V97+V140+V183+V226+V269+V312+V355+V398+V441</f>
        <v/>
      </c>
      <c r="W478" s="189">
        <f>W54+W97+W140+W183+W226+W269+W312+W355+W398+W441</f>
        <v/>
      </c>
      <c r="X478" s="189">
        <f>X54+X97+X140+X183+X226+X269+X312+X355+X398+X441</f>
        <v/>
      </c>
      <c r="Y478" s="189">
        <f>Y54+Y97+Y140+Y183+Y226+Y269+Y312+Y355+Y398+Y441</f>
        <v/>
      </c>
      <c r="Z478" s="189">
        <f>Z54+Z97+Z140+Z183+Z226+Z269+Z312+Z355+Z398+Z441</f>
        <v/>
      </c>
      <c r="AA478" s="189">
        <f>AA54+AA97+AA140+AA183+AA226+AA269+AA312+AA355+AA398+AA441</f>
        <v/>
      </c>
      <c r="AB478" s="189">
        <f>AB54+AB97+AB140+AB183+AB226+AB269+AB312+AB355+AB398+AB441</f>
        <v/>
      </c>
      <c r="AC478" s="189">
        <f>AC54+AC97+AC140+AC183+AC226+AC269+AC312+AC355+AC398+AC441</f>
        <v/>
      </c>
      <c r="AD478" s="189">
        <f>AD54+AD97+AD140+AD183+AD226+AD269+AD312+AD355+AD398+AD441</f>
        <v/>
      </c>
      <c r="AE478" s="189">
        <f>AE54+AE97+AE140+AE183+AE226+AE269+AE312+AE355+AE398+AE441</f>
        <v/>
      </c>
      <c r="AF478" s="189">
        <f>AF54+AF97+AF140+AF183+AF226+AF269+AF312+AF355+AF398+AF441</f>
        <v/>
      </c>
      <c r="AG478" s="189">
        <f>AG54+AG97+AG140+AG183+AG226+AG269+AG312+AG355+AG398+AG441</f>
        <v/>
      </c>
      <c r="AH478" s="189">
        <f>AH54+AH97+AH140+AH183+AH226+AH269+AH312+AH355+AH398+AH441</f>
        <v/>
      </c>
      <c r="AI478" s="51" t="inlineStr">
        <is>
          <t>U4θ</t>
        </is>
      </c>
    </row>
    <row r="479">
      <c r="B479" s="87">
        <f>B55+B98+B141+B184+B227+B270+B313+B356+B399+B442</f>
        <v/>
      </c>
      <c r="C479" s="189">
        <f>C55+C98+C141+C184+C227+C270+C313+C356+C399+C442</f>
        <v/>
      </c>
      <c r="D479" s="189">
        <f>D55+D98+D141+D184+D227+D270+D313+D356+D399+D442</f>
        <v/>
      </c>
      <c r="E479" s="189">
        <f>E55+E98+E141+E184+E227+E270+E313+E356+E399+E442</f>
        <v/>
      </c>
      <c r="F479" s="189">
        <f>F55+F98+F141+F184+F227+F270+F313+F356+F399+F442</f>
        <v/>
      </c>
      <c r="G479" s="189">
        <f>G55+G98+G141+G184+G227+G270+G313+G356+G399+G442</f>
        <v/>
      </c>
      <c r="H479" s="189">
        <f>H55+H98+H141+H184+H227+H270+H313+H356+H399+H442</f>
        <v/>
      </c>
      <c r="I479" s="189">
        <f>I55+I98+I141+I184+I227+I270+I313+I356+I399+I442</f>
        <v/>
      </c>
      <c r="J479" s="189">
        <f>J55+J98+J141+J184+J227+J270+J313+J356+J399+J442</f>
        <v/>
      </c>
      <c r="K479" s="189">
        <f>K55+K98+K141+K184+K227+K270+K313+K356+K399+K442</f>
        <v/>
      </c>
      <c r="L479" s="189">
        <f>L55+L98+L141+L184+L227+L270+L313+L356+L399+L442</f>
        <v/>
      </c>
      <c r="M479" s="189">
        <f>M55+M98+M141+M184+M227+M270+M313+M356+M399+M442</f>
        <v/>
      </c>
      <c r="N479" s="10">
        <f>N55+N98+N141+N184+N227+N270+N313+N356+N399+N442</f>
        <v/>
      </c>
      <c r="O479" s="189">
        <f>O55+O98+O141+O184+O227+O270+O313+O356+O399+O442</f>
        <v/>
      </c>
      <c r="P479" s="189">
        <f>P55+P98+P141+P184+P227+P270+P313+P356+P399+P442</f>
        <v/>
      </c>
      <c r="Q479" s="189">
        <f>Q55+Q98+Q141+Q184+Q227+Q270+Q313+Q356+Q399+Q442</f>
        <v/>
      </c>
      <c r="R479" s="189">
        <f>R55+R98+R141+R184+R227+R270+R313+R356+R399+R442</f>
        <v/>
      </c>
      <c r="S479" s="86">
        <f>S55+S98+S141+S184+S227+S270+S313+S356+S399+S442</f>
        <v/>
      </c>
      <c r="T479" s="78">
        <f>T55+T98+T141+T184+T227+T270+T313+T356+T399+T442</f>
        <v/>
      </c>
      <c r="U479" s="189">
        <f>U55+U98+U141+U184+U227+U270+U313+U356+U399+U442</f>
        <v/>
      </c>
      <c r="V479" s="189">
        <f>V55+V98+V141+V184+V227+V270+V313+V356+V399+V442</f>
        <v/>
      </c>
      <c r="W479" s="189">
        <f>W55+W98+W141+W184+W227+W270+W313+W356+W399+W442</f>
        <v/>
      </c>
      <c r="X479" s="189">
        <f>X55+X98+X141+X184+X227+X270+X313+X356+X399+X442</f>
        <v/>
      </c>
      <c r="Y479" s="189">
        <f>Y55+Y98+Y141+Y184+Y227+Y270+Y313+Y356+Y399+Y442</f>
        <v/>
      </c>
      <c r="Z479" s="189">
        <f>Z55+Z98+Z141+Z184+Z227+Z270+Z313+Z356+Z399+Z442</f>
        <v/>
      </c>
      <c r="AA479" s="189">
        <f>AA55+AA98+AA141+AA184+AA227+AA270+AA313+AA356+AA399+AA442</f>
        <v/>
      </c>
      <c r="AB479" s="189">
        <f>AB55+AB98+AB141+AB184+AB227+AB270+AB313+AB356+AB399+AB442</f>
        <v/>
      </c>
      <c r="AC479" s="189">
        <f>AC55+AC98+AC141+AC184+AC227+AC270+AC313+AC356+AC399+AC442</f>
        <v/>
      </c>
      <c r="AD479" s="189">
        <f>AD55+AD98+AD141+AD184+AD227+AD270+AD313+AD356+AD399+AD442</f>
        <v/>
      </c>
      <c r="AE479" s="189">
        <f>AE55+AE98+AE141+AE184+AE227+AE270+AE313+AE356+AE399+AE442</f>
        <v/>
      </c>
      <c r="AF479" s="189">
        <f>AF55+AF98+AF141+AF184+AF227+AF270+AF313+AF356+AF399+AF442</f>
        <v/>
      </c>
      <c r="AG479" s="189">
        <f>AG55+AG98+AG141+AG184+AG227+AG270+AG313+AG356+AG399+AG442</f>
        <v/>
      </c>
      <c r="AH479" s="189">
        <f>AH55+AH98+AH141+AH184+AH227+AH270+AH313+AH356+AH399+AH442</f>
        <v/>
      </c>
      <c r="AI479" s="51" t="inlineStr">
        <is>
          <t>U5X</t>
        </is>
      </c>
    </row>
    <row r="480">
      <c r="B480" s="87">
        <f>B56+B99+B142+B185+B228+B271+B314+B357+B400+B443</f>
        <v/>
      </c>
      <c r="C480" s="189">
        <f>C56+C99+C142+C185+C228+C271+C314+C357+C400+C443</f>
        <v/>
      </c>
      <c r="D480" s="189">
        <f>D56+D99+D142+D185+D228+D271+D314+D357+D400+D443</f>
        <v/>
      </c>
      <c r="E480" s="189">
        <f>E56+E99+E142+E185+E228+E271+E314+E357+E400+E443</f>
        <v/>
      </c>
      <c r="F480" s="189">
        <f>F56+F99+F142+F185+F228+F271+F314+F357+F400+F443</f>
        <v/>
      </c>
      <c r="G480" s="189">
        <f>G56+G99+G142+G185+G228+G271+G314+G357+G400+G443</f>
        <v/>
      </c>
      <c r="H480" s="189">
        <f>H56+H99+H142+H185+H228+H271+H314+H357+H400+H443</f>
        <v/>
      </c>
      <c r="I480" s="189">
        <f>I56+I99+I142+I185+I228+I271+I314+I357+I400+I443</f>
        <v/>
      </c>
      <c r="J480" s="189">
        <f>J56+J99+J142+J185+J228+J271+J314+J357+J400+J443</f>
        <v/>
      </c>
      <c r="K480" s="189">
        <f>K56+K99+K142+K185+K228+K271+K314+K357+K400+K443</f>
        <v/>
      </c>
      <c r="L480" s="189">
        <f>L56+L99+L142+L185+L228+L271+L314+L357+L400+L443</f>
        <v/>
      </c>
      <c r="M480" s="189">
        <f>M56+M99+M142+M185+M228+M271+M314+M357+M400+M443</f>
        <v/>
      </c>
      <c r="N480" s="189">
        <f>N56+N99+N142+N185+N228+N271+N314+N357+N400+N443</f>
        <v/>
      </c>
      <c r="O480" s="10">
        <f>O56+O99+O142+O185+O228+O271+O314+O357+O400+O443</f>
        <v/>
      </c>
      <c r="P480" s="189">
        <f>P56+P99+P142+P185+P228+P271+P314+P357+P400+P443</f>
        <v/>
      </c>
      <c r="Q480" s="189">
        <f>Q56+Q99+Q142+Q185+Q228+Q271+Q314+Q357+Q400+Q443</f>
        <v/>
      </c>
      <c r="R480" s="189">
        <f>R56+R99+R142+R185+R228+R271+R314+R357+R400+R443</f>
        <v/>
      </c>
      <c r="S480" s="86">
        <f>S56+S99+S142+S185+S228+S271+S314+S357+S400+S443</f>
        <v/>
      </c>
      <c r="T480" s="78">
        <f>T56+T99+T142+T185+T228+T271+T314+T357+T400+T443</f>
        <v/>
      </c>
      <c r="U480" s="189">
        <f>U56+U99+U142+U185+U228+U271+U314+U357+U400+U443</f>
        <v/>
      </c>
      <c r="V480" s="189">
        <f>V56+V99+V142+V185+V228+V271+V314+V357+V400+V443</f>
        <v/>
      </c>
      <c r="W480" s="189">
        <f>W56+W99+W142+W185+W228+W271+W314+W357+W400+W443</f>
        <v/>
      </c>
      <c r="X480" s="189">
        <f>X56+X99+X142+X185+X228+X271+X314+X357+X400+X443</f>
        <v/>
      </c>
      <c r="Y480" s="189">
        <f>Y56+Y99+Y142+Y185+Y228+Y271+Y314+Y357+Y400+Y443</f>
        <v/>
      </c>
      <c r="Z480" s="189">
        <f>Z56+Z99+Z142+Z185+Z228+Z271+Z314+Z357+Z400+Z443</f>
        <v/>
      </c>
      <c r="AA480" s="189">
        <f>AA56+AA99+AA142+AA185+AA228+AA271+AA314+AA357+AA400+AA443</f>
        <v/>
      </c>
      <c r="AB480" s="189">
        <f>AB56+AB99+AB142+AB185+AB228+AB271+AB314+AB357+AB400+AB443</f>
        <v/>
      </c>
      <c r="AC480" s="189">
        <f>AC56+AC99+AC142+AC185+AC228+AC271+AC314+AC357+AC400+AC443</f>
        <v/>
      </c>
      <c r="AD480" s="189">
        <f>AD56+AD99+AD142+AD185+AD228+AD271+AD314+AD357+AD400+AD443</f>
        <v/>
      </c>
      <c r="AE480" s="189">
        <f>AE56+AE99+AE142+AE185+AE228+AE271+AE314+AE357+AE400+AE443</f>
        <v/>
      </c>
      <c r="AF480" s="189">
        <f>AF56+AF99+AF142+AF185+AF228+AF271+AF314+AF357+AF400+AF443</f>
        <v/>
      </c>
      <c r="AG480" s="189">
        <f>AG56+AG99+AG142+AG185+AG228+AG271+AG314+AG357+AG400+AG443</f>
        <v/>
      </c>
      <c r="AH480" s="189">
        <f>AH56+AH99+AH142+AH185+AH228+AH271+AH314+AH357+AH400+AH443</f>
        <v/>
      </c>
      <c r="AI480" s="51" t="inlineStr">
        <is>
          <t>U5Y</t>
        </is>
      </c>
    </row>
    <row r="481">
      <c r="B481" s="87">
        <f>B57+B100+B143+B186+B229+B272+B315+B358+B401+B444</f>
        <v/>
      </c>
      <c r="C481" s="189">
        <f>C57+C100+C143+C186+C229+C272+C315+C358+C401+C444</f>
        <v/>
      </c>
      <c r="D481" s="189">
        <f>D57+D100+D143+D186+D229+D272+D315+D358+D401+D444</f>
        <v/>
      </c>
      <c r="E481" s="189">
        <f>E57+E100+E143+E186+E229+E272+E315+E358+E401+E444</f>
        <v/>
      </c>
      <c r="F481" s="189">
        <f>F57+F100+F143+F186+F229+F272+F315+F358+F401+F444</f>
        <v/>
      </c>
      <c r="G481" s="189">
        <f>G57+G100+G143+G186+G229+G272+G315+G358+G401+G444</f>
        <v/>
      </c>
      <c r="H481" s="189">
        <f>H57+H100+H143+H186+H229+H272+H315+H358+H401+H444</f>
        <v/>
      </c>
      <c r="I481" s="189">
        <f>I57+I100+I143+I186+I229+I272+I315+I358+I401+I444</f>
        <v/>
      </c>
      <c r="J481" s="189">
        <f>J57+J100+J143+J186+J229+J272+J315+J358+J401+J444</f>
        <v/>
      </c>
      <c r="K481" s="189">
        <f>K57+K100+K143+K186+K229+K272+K315+K358+K401+K444</f>
        <v/>
      </c>
      <c r="L481" s="189">
        <f>L57+L100+L143+L186+L229+L272+L315+L358+L401+L444</f>
        <v/>
      </c>
      <c r="M481" s="189">
        <f>M57+M100+M143+M186+M229+M272+M315+M358+M401+M444</f>
        <v/>
      </c>
      <c r="N481" s="189">
        <f>N57+N100+N143+N186+N229+N272+N315+N358+N401+N444</f>
        <v/>
      </c>
      <c r="O481" s="189">
        <f>O57+O100+O143+O186+O229+O272+O315+O358+O401+O444</f>
        <v/>
      </c>
      <c r="P481" s="10">
        <f>P57+P100+P143+P186+P229+P272+P315+P358+P401+P444</f>
        <v/>
      </c>
      <c r="Q481" s="189">
        <f>Q57+Q100+Q143+Q186+Q229+Q272+Q315+Q358+Q401+Q444</f>
        <v/>
      </c>
      <c r="R481" s="189">
        <f>R57+R100+R143+R186+R229+R272+R315+R358+R401+R444</f>
        <v/>
      </c>
      <c r="S481" s="86">
        <f>S57+S100+S143+S186+S229+S272+S315+S358+S401+S444</f>
        <v/>
      </c>
      <c r="T481" s="78">
        <f>T57+T100+T143+T186+T229+T272+T315+T358+T401+T444</f>
        <v/>
      </c>
      <c r="U481" s="189">
        <f>U57+U100+U143+U186+U229+U272+U315+U358+U401+U444</f>
        <v/>
      </c>
      <c r="V481" s="189">
        <f>V57+V100+V143+V186+V229+V272+V315+V358+V401+V444</f>
        <v/>
      </c>
      <c r="W481" s="189">
        <f>W57+W100+W143+W186+W229+W272+W315+W358+W401+W444</f>
        <v/>
      </c>
      <c r="X481" s="189">
        <f>X57+X100+X143+X186+X229+X272+X315+X358+X401+X444</f>
        <v/>
      </c>
      <c r="Y481" s="189">
        <f>Y57+Y100+Y143+Y186+Y229+Y272+Y315+Y358+Y401+Y444</f>
        <v/>
      </c>
      <c r="Z481" s="189">
        <f>Z57+Z100+Z143+Z186+Z229+Z272+Z315+Z358+Z401+Z444</f>
        <v/>
      </c>
      <c r="AA481" s="189">
        <f>AA57+AA100+AA143+AA186+AA229+AA272+AA315+AA358+AA401+AA444</f>
        <v/>
      </c>
      <c r="AB481" s="189">
        <f>AB57+AB100+AB143+AB186+AB229+AB272+AB315+AB358+AB401+AB444</f>
        <v/>
      </c>
      <c r="AC481" s="189">
        <f>AC57+AC100+AC143+AC186+AC229+AC272+AC315+AC358+AC401+AC444</f>
        <v/>
      </c>
      <c r="AD481" s="189">
        <f>AD57+AD100+AD143+AD186+AD229+AD272+AD315+AD358+AD401+AD444</f>
        <v/>
      </c>
      <c r="AE481" s="189">
        <f>AE57+AE100+AE143+AE186+AE229+AE272+AE315+AE358+AE401+AE444</f>
        <v/>
      </c>
      <c r="AF481" s="189">
        <f>AF57+AF100+AF143+AF186+AF229+AF272+AF315+AF358+AF401+AF444</f>
        <v/>
      </c>
      <c r="AG481" s="189">
        <f>AG57+AG100+AG143+AG186+AG229+AG272+AG315+AG358+AG401+AG444</f>
        <v/>
      </c>
      <c r="AH481" s="189">
        <f>AH57+AH100+AH143+AH186+AH229+AH272+AH315+AH358+AH401+AH444</f>
        <v/>
      </c>
      <c r="AI481" s="51" t="inlineStr">
        <is>
          <t>U5θ</t>
        </is>
      </c>
    </row>
    <row r="482">
      <c r="B482" s="87">
        <f>B58+B101+B144+B187+B230+B273+B316+B359+B402+B445</f>
        <v/>
      </c>
      <c r="C482" s="189">
        <f>C58+C101+C144+C187+C230+C273+C316+C359+C402+C445</f>
        <v/>
      </c>
      <c r="D482" s="189">
        <f>D58+D101+D144+D187+D230+D273+D316+D359+D402+D445</f>
        <v/>
      </c>
      <c r="E482" s="189">
        <f>E58+E101+E144+E187+E230+E273+E316+E359+E402+E445</f>
        <v/>
      </c>
      <c r="F482" s="189">
        <f>F58+F101+F144+F187+F230+F273+F316+F359+F402+F445</f>
        <v/>
      </c>
      <c r="G482" s="189">
        <f>G58+G101+G144+G187+G230+G273+G316+G359+G402+G445</f>
        <v/>
      </c>
      <c r="H482" s="189">
        <f>H58+H101+H144+H187+H230+H273+H316+H359+H402+H445</f>
        <v/>
      </c>
      <c r="I482" s="189">
        <f>I58+I101+I144+I187+I230+I273+I316+I359+I402+I445</f>
        <v/>
      </c>
      <c r="J482" s="189">
        <f>J58+J101+J144+J187+J230+J273+J316+J359+J402+J445</f>
        <v/>
      </c>
      <c r="K482" s="189">
        <f>K58+K101+K144+K187+K230+K273+K316+K359+K402+K445</f>
        <v/>
      </c>
      <c r="L482" s="189">
        <f>L58+L101+L144+L187+L230+L273+L316+L359+L402+L445</f>
        <v/>
      </c>
      <c r="M482" s="189">
        <f>M58+M101+M144+M187+M230+M273+M316+M359+M402+M445</f>
        <v/>
      </c>
      <c r="N482" s="189">
        <f>N58+N101+N144+N187+N230+N273+N316+N359+N402+N445</f>
        <v/>
      </c>
      <c r="O482" s="189">
        <f>O58+O101+O144+O187+O230+O273+O316+O359+O402+O445</f>
        <v/>
      </c>
      <c r="P482" s="189">
        <f>P58+P101+P144+P187+P230+P273+P316+P359+P402+P445</f>
        <v/>
      </c>
      <c r="Q482" s="10">
        <f>Q58+Q101+Q144+Q187+Q230+Q273+Q316+Q359+Q402+Q445</f>
        <v/>
      </c>
      <c r="R482" s="189">
        <f>R58+R101+R144+R187+R230+R273+R316+R359+R402+R445</f>
        <v/>
      </c>
      <c r="S482" s="86">
        <f>S58+S101+S144+S187+S230+S273+S316+S359+S402+S445</f>
        <v/>
      </c>
      <c r="T482" s="78">
        <f>T58+T101+T144+T187+T230+T273+T316+T359+T402+T445</f>
        <v/>
      </c>
      <c r="U482" s="189">
        <f>U58+U101+U144+U187+U230+U273+U316+U359+U402+U445</f>
        <v/>
      </c>
      <c r="V482" s="189">
        <f>V58+V101+V144+V187+V230+V273+V316+V359+V402+V445</f>
        <v/>
      </c>
      <c r="W482" s="189">
        <f>W58+W101+W144+W187+W230+W273+W316+W359+W402+W445</f>
        <v/>
      </c>
      <c r="X482" s="189">
        <f>X58+X101+X144+X187+X230+X273+X316+X359+X402+X445</f>
        <v/>
      </c>
      <c r="Y482" s="189">
        <f>Y58+Y101+Y144+Y187+Y230+Y273+Y316+Y359+Y402+Y445</f>
        <v/>
      </c>
      <c r="Z482" s="189">
        <f>Z58+Z101+Z144+Z187+Z230+Z273+Z316+Z359+Z402+Z445</f>
        <v/>
      </c>
      <c r="AA482" s="189">
        <f>AA58+AA101+AA144+AA187+AA230+AA273+AA316+AA359+AA402+AA445</f>
        <v/>
      </c>
      <c r="AB482" s="189">
        <f>AB58+AB101+AB144+AB187+AB230+AB273+AB316+AB359+AB402+AB445</f>
        <v/>
      </c>
      <c r="AC482" s="189">
        <f>AC58+AC101+AC144+AC187+AC230+AC273+AC316+AC359+AC402+AC445</f>
        <v/>
      </c>
      <c r="AD482" s="189">
        <f>AD58+AD101+AD144+AD187+AD230+AD273+AD316+AD359+AD402+AD445</f>
        <v/>
      </c>
      <c r="AE482" s="189">
        <f>AE58+AE101+AE144+AE187+AE230+AE273+AE316+AE359+AE402+AE445</f>
        <v/>
      </c>
      <c r="AF482" s="189">
        <f>AF58+AF101+AF144+AF187+AF230+AF273+AF316+AF359+AF402+AF445</f>
        <v/>
      </c>
      <c r="AG482" s="189">
        <f>AG58+AG101+AG144+AG187+AG230+AG273+AG316+AG359+AG402+AG445</f>
        <v/>
      </c>
      <c r="AH482" s="189">
        <f>AH58+AH101+AH144+AH187+AH230+AH273+AH316+AH359+AH402+AH445</f>
        <v/>
      </c>
      <c r="AI482" s="51" t="inlineStr">
        <is>
          <t>U6X</t>
        </is>
      </c>
    </row>
    <row r="483">
      <c r="A483" s="118" t="inlineStr">
        <is>
          <t>Kviga =</t>
        </is>
      </c>
      <c r="B483" s="87">
        <f>B59+B102+B145+B188+B231+B274+B317+B360+B403+B446</f>
        <v/>
      </c>
      <c r="C483" s="189">
        <f>C59+C102+C145+C188+C231+C274+C317+C360+C403+C446</f>
        <v/>
      </c>
      <c r="D483" s="189">
        <f>D59+D102+D145+D188+D231+D274+D317+D360+D403+D446</f>
        <v/>
      </c>
      <c r="E483" s="189">
        <f>E59+E102+E145+E188+E231+E274+E317+E360+E403+E446</f>
        <v/>
      </c>
      <c r="F483" s="189">
        <f>F59+F102+F145+F188+F231+F274+F317+F360+F403+F446</f>
        <v/>
      </c>
      <c r="G483" s="189">
        <f>G59+G102+G145+G188+G231+G274+G317+G360+G403+G446</f>
        <v/>
      </c>
      <c r="H483" s="189">
        <f>H59+H102+H145+H188+H231+H274+H317+H360+H403+H446</f>
        <v/>
      </c>
      <c r="I483" s="189">
        <f>I59+I102+I145+I188+I231+I274+I317+I360+I403+I446</f>
        <v/>
      </c>
      <c r="J483" s="189">
        <f>J59+J102+J145+J188+J231+J274+J317+J360+J403+J446</f>
        <v/>
      </c>
      <c r="K483" s="189">
        <f>K59+K102+K145+K188+K231+K274+K317+K360+K403+K446</f>
        <v/>
      </c>
      <c r="L483" s="189">
        <f>L59+L102+L145+L188+L231+L274+L317+L360+L403+L446</f>
        <v/>
      </c>
      <c r="M483" s="189">
        <f>M59+M102+M145+M188+M231+M274+M317+M360+M403+M446</f>
        <v/>
      </c>
      <c r="N483" s="189">
        <f>N59+N102+N145+N188+N231+N274+N317+N360+N403+N446</f>
        <v/>
      </c>
      <c r="O483" s="189">
        <f>O59+O102+O145+O188+O231+O274+O317+O360+O403+O446</f>
        <v/>
      </c>
      <c r="P483" s="189">
        <f>P59+P102+P145+P188+P231+P274+P317+P360+P403+P446</f>
        <v/>
      </c>
      <c r="Q483" s="189">
        <f>Q59+Q102+Q145+Q188+Q231+Q274+Q317+Q360+Q403+Q446</f>
        <v/>
      </c>
      <c r="R483" s="10">
        <f>R59+R102+R145+R188+R231+R274+R317+R360+R403+R446</f>
        <v/>
      </c>
      <c r="S483" s="86">
        <f>S59+S102+S145+S188+S231+S274+S317+S360+S403+S446</f>
        <v/>
      </c>
      <c r="T483" s="78">
        <f>T59+T102+T145+T188+T231+T274+T317+T360+T403+T446</f>
        <v/>
      </c>
      <c r="U483" s="189">
        <f>U59+U102+U145+U188+U231+U274+U317+U360+U403+U446</f>
        <v/>
      </c>
      <c r="V483" s="189">
        <f>V59+V102+V145+V188+V231+V274+V317+V360+V403+V446</f>
        <v/>
      </c>
      <c r="W483" s="189">
        <f>W59+W102+W145+W188+W231+W274+W317+W360+W403+W446</f>
        <v/>
      </c>
      <c r="X483" s="189">
        <f>X59+X102+X145+X188+X231+X274+X317+X360+X403+X446</f>
        <v/>
      </c>
      <c r="Y483" s="189">
        <f>Y59+Y102+Y145+Y188+Y231+Y274+Y317+Y360+Y403+Y446</f>
        <v/>
      </c>
      <c r="Z483" s="189">
        <f>Z59+Z102+Z145+Z188+Z231+Z274+Z317+Z360+Z403+Z446</f>
        <v/>
      </c>
      <c r="AA483" s="189">
        <f>AA59+AA102+AA145+AA188+AA231+AA274+AA317+AA360+AA403+AA446</f>
        <v/>
      </c>
      <c r="AB483" s="189">
        <f>AB59+AB102+AB145+AB188+AB231+AB274+AB317+AB360+AB403+AB446</f>
        <v/>
      </c>
      <c r="AC483" s="189">
        <f>AC59+AC102+AC145+AC188+AC231+AC274+AC317+AC360+AC403+AC446</f>
        <v/>
      </c>
      <c r="AD483" s="189">
        <f>AD59+AD102+AD145+AD188+AD231+AD274+AD317+AD360+AD403+AD446</f>
        <v/>
      </c>
      <c r="AE483" s="189">
        <f>AE59+AE102+AE145+AE188+AE231+AE274+AE317+AE360+AE403+AE446</f>
        <v/>
      </c>
      <c r="AF483" s="189">
        <f>AF59+AF102+AF145+AF188+AF231+AF274+AF317+AF360+AF403+AF446</f>
        <v/>
      </c>
      <c r="AG483" s="189">
        <f>AG59+AG102+AG145+AG188+AG231+AG274+AG317+AG360+AG403+AG446</f>
        <v/>
      </c>
      <c r="AH483" s="189">
        <f>AH59+AH102+AH145+AH188+AH231+AH274+AH317+AH360+AH403+AH446</f>
        <v/>
      </c>
      <c r="AI483" s="51" t="inlineStr">
        <is>
          <t>U6Y</t>
        </is>
      </c>
    </row>
    <row r="484" ht="15" customHeight="1" s="183" thickBot="1">
      <c r="B484" s="88">
        <f>B60+B103+B146+B189+B232+B275+B318+B361+B404+B447</f>
        <v/>
      </c>
      <c r="C484" s="89">
        <f>C60+C103+C146+C189+C232+C275+C318+C361+C404+C447</f>
        <v/>
      </c>
      <c r="D484" s="89">
        <f>D60+D103+D146+D189+D232+D275+D318+D361+D404+D447</f>
        <v/>
      </c>
      <c r="E484" s="89">
        <f>E60+E103+E146+E189+E232+E275+E318+E361+E404+E447</f>
        <v/>
      </c>
      <c r="F484" s="89">
        <f>F60+F103+F146+F189+F232+F275+F318+F361+F404+F447</f>
        <v/>
      </c>
      <c r="G484" s="89">
        <f>G60+G103+G146+G189+G232+G275+G318+G361+G404+G447</f>
        <v/>
      </c>
      <c r="H484" s="89">
        <f>H60+H103+H146+H189+H232+H275+H318+H361+H404+H447</f>
        <v/>
      </c>
      <c r="I484" s="89">
        <f>I60+I103+I146+I189+I232+I275+I318+I361+I404+I447</f>
        <v/>
      </c>
      <c r="J484" s="89">
        <f>J60+J103+J146+J189+J232+J275+J318+J361+J404+J447</f>
        <v/>
      </c>
      <c r="K484" s="89">
        <f>K60+K103+K146+K189+K232+K275+K318+K361+K404+K447</f>
        <v/>
      </c>
      <c r="L484" s="89">
        <f>L60+L103+L146+L189+L232+L275+L318+L361+L404+L447</f>
        <v/>
      </c>
      <c r="M484" s="89">
        <f>M60+M103+M146+M189+M232+M275+M318+M361+M404+M447</f>
        <v/>
      </c>
      <c r="N484" s="89">
        <f>N60+N103+N146+N189+N232+N275+N318+N361+N404+N447</f>
        <v/>
      </c>
      <c r="O484" s="89">
        <f>O60+O103+O146+O189+O232+O275+O318+O361+O404+O447</f>
        <v/>
      </c>
      <c r="P484" s="89">
        <f>P60+P103+P146+P189+P232+P275+P318+P361+P404+P447</f>
        <v/>
      </c>
      <c r="Q484" s="89">
        <f>Q60+Q103+Q146+Q189+Q232+Q275+Q318+Q361+Q404+Q447</f>
        <v/>
      </c>
      <c r="R484" s="89">
        <f>R60+R103+R146+R189+R232+R275+R318+R361+R404+R447</f>
        <v/>
      </c>
      <c r="S484" s="90">
        <f>S60+S103+S146+S189+S232+S275+S318+S361+S404+S447</f>
        <v/>
      </c>
      <c r="T484" s="78">
        <f>T60+T103+T146+T189+T232+T275+T318+T361+T404+T447</f>
        <v/>
      </c>
      <c r="U484" s="189">
        <f>U60+U103+U146+U189+U232+U275+U318+U361+U404+U447</f>
        <v/>
      </c>
      <c r="V484" s="189">
        <f>V60+V103+V146+V189+V232+V275+V318+V361+V404+V447</f>
        <v/>
      </c>
      <c r="W484" s="189">
        <f>W60+W103+W146+W189+W232+W275+W318+W361+W404+W447</f>
        <v/>
      </c>
      <c r="X484" s="189">
        <f>X60+X103+X146+X189+X232+X275+X318+X361+X404+X447</f>
        <v/>
      </c>
      <c r="Y484" s="189">
        <f>Y60+Y103+Y146+Y189+Y232+Y275+Y318+Y361+Y404+Y447</f>
        <v/>
      </c>
      <c r="Z484" s="189">
        <f>Z60+Z103+Z146+Z189+Z232+Z275+Z318+Z361+Z404+Z447</f>
        <v/>
      </c>
      <c r="AA484" s="189">
        <f>AA60+AA103+AA146+AA189+AA232+AA275+AA318+AA361+AA404+AA447</f>
        <v/>
      </c>
      <c r="AB484" s="189">
        <f>AB60+AB103+AB146+AB189+AB232+AB275+AB318+AB361+AB404+AB447</f>
        <v/>
      </c>
      <c r="AC484" s="189">
        <f>AC60+AC103+AC146+AC189+AC232+AC275+AC318+AC361+AC404+AC447</f>
        <v/>
      </c>
      <c r="AD484" s="189">
        <f>AD60+AD103+AD146+AD189+AD232+AD275+AD318+AD361+AD404+AD447</f>
        <v/>
      </c>
      <c r="AE484" s="189">
        <f>AE60+AE103+AE146+AE189+AE232+AE275+AE318+AE361+AE404+AE447</f>
        <v/>
      </c>
      <c r="AF484" s="189">
        <f>AF60+AF103+AF146+AF189+AF232+AF275+AF318+AF361+AF404+AF447</f>
        <v/>
      </c>
      <c r="AG484" s="189">
        <f>AG60+AG103+AG146+AG189+AG232+AG275+AG318+AG361+AG404+AG447</f>
        <v/>
      </c>
      <c r="AH484" s="189">
        <f>AH60+AH103+AH146+AH189+AH232+AH275+AH318+AH361+AH404+AH447</f>
        <v/>
      </c>
      <c r="AI484" s="51" t="inlineStr">
        <is>
          <t>U6θ</t>
        </is>
      </c>
    </row>
    <row r="485">
      <c r="B485" s="81">
        <f>B61+B104+B147+B190+B233+B276+B319+B362+B405+B448</f>
        <v/>
      </c>
      <c r="C485" s="81">
        <f>C61+C104+C147+C190+C233+C276+C319+C362+C405+C448</f>
        <v/>
      </c>
      <c r="D485" s="81">
        <f>D61+D104+D147+D190+D233+D276+D319+D362+D405+D448</f>
        <v/>
      </c>
      <c r="E485" s="81">
        <f>E61+E104+E147+E190+E233+E276+E319+E362+E405+E448</f>
        <v/>
      </c>
      <c r="F485" s="81">
        <f>F61+F104+F147+F190+F233+F276+F319+F362+F405+F448</f>
        <v/>
      </c>
      <c r="G485" s="81">
        <f>G61+G104+G147+G190+G233+G276+G319+G362+G405+G448</f>
        <v/>
      </c>
      <c r="H485" s="81">
        <f>H61+H104+H147+H190+H233+H276+H319+H362+H405+H448</f>
        <v/>
      </c>
      <c r="I485" s="81">
        <f>I61+I104+I147+I190+I233+I276+I319+I362+I405+I448</f>
        <v/>
      </c>
      <c r="J485" s="81">
        <f>J61+J104+J147+J190+J233+J276+J319+J362+J405+J448</f>
        <v/>
      </c>
      <c r="K485" s="81">
        <f>K61+K104+K147+K190+K233+K276+K319+K362+K405+K448</f>
        <v/>
      </c>
      <c r="L485" s="81">
        <f>L61+L104+L147+L190+L233+L276+L319+L362+L405+L448</f>
        <v/>
      </c>
      <c r="M485" s="81">
        <f>M61+M104+M147+M190+M233+M276+M319+M362+M405+M448</f>
        <v/>
      </c>
      <c r="N485" s="81">
        <f>N61+N104+N147+N190+N233+N276+N319+N362+N405+N448</f>
        <v/>
      </c>
      <c r="O485" s="81">
        <f>O61+O104+O147+O190+O233+O276+O319+O362+O405+O448</f>
        <v/>
      </c>
      <c r="P485" s="81">
        <f>P61+P104+P147+P190+P233+P276+P319+P362+P405+P448</f>
        <v/>
      </c>
      <c r="Q485" s="81">
        <f>Q61+Q104+Q147+Q190+Q233+Q276+Q319+Q362+Q405+Q448</f>
        <v/>
      </c>
      <c r="R485" s="81">
        <f>R61+R104+R147+R190+R233+R276+R319+R362+R405+R448</f>
        <v/>
      </c>
      <c r="S485" s="81">
        <f>S61+S104+S147+S190+S233+S276+S319+S362+S405+S448</f>
        <v/>
      </c>
      <c r="T485" s="10">
        <f>T61+T104+T147+T190+T233+T276+T319+T362+T405+T448</f>
        <v/>
      </c>
      <c r="U485" s="189">
        <f>U61+U104+U147+U190+U233+U276+U319+U362+U405+U448</f>
        <v/>
      </c>
      <c r="V485" s="189">
        <f>V61+V104+V147+V190+V233+V276+V319+V362+V405+V448</f>
        <v/>
      </c>
      <c r="W485" s="189">
        <f>W61+W104+W147+W190+W233+W276+W319+W362+W405+W448</f>
        <v/>
      </c>
      <c r="X485" s="189">
        <f>X61+X104+X147+X190+X233+X276+X319+X362+X405+X448</f>
        <v/>
      </c>
      <c r="Y485" s="189">
        <f>Y61+Y104+Y147+Y190+Y233+Y276+Y319+Y362+Y405+Y448</f>
        <v/>
      </c>
      <c r="Z485" s="189">
        <f>Z61+Z104+Z147+Z190+Z233+Z276+Z319+Z362+Z405+Z448</f>
        <v/>
      </c>
      <c r="AA485" s="189">
        <f>AA61+AA104+AA147+AA190+AA233+AA276+AA319+AA362+AA405+AA448</f>
        <v/>
      </c>
      <c r="AB485" s="189">
        <f>AB61+AB104+AB147+AB190+AB233+AB276+AB319+AB362+AB405+AB448</f>
        <v/>
      </c>
      <c r="AC485" s="189">
        <f>AC61+AC104+AC147+AC190+AC233+AC276+AC319+AC362+AC405+AC448</f>
        <v/>
      </c>
      <c r="AD485" s="189">
        <f>AD61+AD104+AD147+AD190+AD233+AD276+AD319+AD362+AD405+AD448</f>
        <v/>
      </c>
      <c r="AE485" s="189">
        <f>AE61+AE104+AE147+AE190+AE233+AE276+AE319+AE362+AE405+AE448</f>
        <v/>
      </c>
      <c r="AF485" s="189">
        <f>AF61+AF104+AF147+AF190+AF233+AF276+AF319+AF362+AF405+AF448</f>
        <v/>
      </c>
      <c r="AG485" s="189">
        <f>AG61+AG104+AG147+AG190+AG233+AG276+AG319+AG362+AG405+AG448</f>
        <v/>
      </c>
      <c r="AH485" s="189">
        <f>AH61+AH104+AH147+AH190+AH233+AH276+AH319+AH362+AH405+AH448</f>
        <v/>
      </c>
      <c r="AI485" s="51" t="inlineStr">
        <is>
          <t>U7X</t>
        </is>
      </c>
    </row>
    <row r="486">
      <c r="B486" s="189">
        <f>B62+B105+B148+B191+B234+B277+B320+B363+B406+B449</f>
        <v/>
      </c>
      <c r="C486" s="189">
        <f>C62+C105+C148+C191+C234+C277+C320+C363+C406+C449</f>
        <v/>
      </c>
      <c r="D486" s="189">
        <f>D62+D105+D148+D191+D234+D277+D320+D363+D406+D449</f>
        <v/>
      </c>
      <c r="E486" s="189">
        <f>E62+E105+E148+E191+E234+E277+E320+E363+E406+E449</f>
        <v/>
      </c>
      <c r="F486" s="189">
        <f>F62+F105+F148+F191+F234+F277+F320+F363+F406+F449</f>
        <v/>
      </c>
      <c r="G486" s="189">
        <f>G62+G105+G148+G191+G234+G277+G320+G363+G406+G449</f>
        <v/>
      </c>
      <c r="H486" s="189">
        <f>H62+H105+H148+H191+H234+H277+H320+H363+H406+H449</f>
        <v/>
      </c>
      <c r="I486" s="189">
        <f>I62+I105+I148+I191+I234+I277+I320+I363+I406+I449</f>
        <v/>
      </c>
      <c r="J486" s="189">
        <f>J62+J105+J148+J191+J234+J277+J320+J363+J406+J449</f>
        <v/>
      </c>
      <c r="K486" s="189">
        <f>K62+K105+K148+K191+K234+K277+K320+K363+K406+K449</f>
        <v/>
      </c>
      <c r="L486" s="189">
        <f>L62+L105+L148+L191+L234+L277+L320+L363+L406+L449</f>
        <v/>
      </c>
      <c r="M486" s="189">
        <f>M62+M105+M148+M191+M234+M277+M320+M363+M406+M449</f>
        <v/>
      </c>
      <c r="N486" s="189">
        <f>N62+N105+N148+N191+N234+N277+N320+N363+N406+N449</f>
        <v/>
      </c>
      <c r="O486" s="189">
        <f>O62+O105+O148+O191+O234+O277+O320+O363+O406+O449</f>
        <v/>
      </c>
      <c r="P486" s="189">
        <f>P62+P105+P148+P191+P234+P277+P320+P363+P406+P449</f>
        <v/>
      </c>
      <c r="Q486" s="189">
        <f>Q62+Q105+Q148+Q191+Q234+Q277+Q320+Q363+Q406+Q449</f>
        <v/>
      </c>
      <c r="R486" s="189">
        <f>R62+R105+R148+R191+R234+R277+R320+R363+R406+R449</f>
        <v/>
      </c>
      <c r="S486" s="189">
        <f>S62+S105+S148+S191+S234+S277+S320+S363+S406+S449</f>
        <v/>
      </c>
      <c r="T486" s="189">
        <f>T62+T105+T148+T191+T234+T277+T320+T363+T406+T449</f>
        <v/>
      </c>
      <c r="U486" s="10">
        <f>U62+U105+U148+U191+U234+U277+U320+U363+U406+U449</f>
        <v/>
      </c>
      <c r="V486" s="189">
        <f>V62+V105+V148+V191+V234+V277+V320+V363+V406+V449</f>
        <v/>
      </c>
      <c r="W486" s="189">
        <f>W62+W105+W148+W191+W234+W277+W320+W363+W406+W449</f>
        <v/>
      </c>
      <c r="X486" s="189">
        <f>X62+X105+X148+X191+X234+X277+X320+X363+X406+X449</f>
        <v/>
      </c>
      <c r="Y486" s="189">
        <f>Y62+Y105+Y148+Y191+Y234+Y277+Y320+Y363+Y406+Y449</f>
        <v/>
      </c>
      <c r="Z486" s="189">
        <f>Z62+Z105+Z148+Z191+Z234+Z277+Z320+Z363+Z406+Z449</f>
        <v/>
      </c>
      <c r="AA486" s="189">
        <f>AA62+AA105+AA148+AA191+AA234+AA277+AA320+AA363+AA406+AA449</f>
        <v/>
      </c>
      <c r="AB486" s="189">
        <f>AB62+AB105+AB148+AB191+AB234+AB277+AB320+AB363+AB406+AB449</f>
        <v/>
      </c>
      <c r="AC486" s="189">
        <f>AC62+AC105+AC148+AC191+AC234+AC277+AC320+AC363+AC406+AC449</f>
        <v/>
      </c>
      <c r="AD486" s="189">
        <f>AD62+AD105+AD148+AD191+AD234+AD277+AD320+AD363+AD406+AD449</f>
        <v/>
      </c>
      <c r="AE486" s="189">
        <f>AE62+AE105+AE148+AE191+AE234+AE277+AE320+AE363+AE406+AE449</f>
        <v/>
      </c>
      <c r="AF486" s="189">
        <f>AF62+AF105+AF148+AF191+AF234+AF277+AF320+AF363+AF406+AF449</f>
        <v/>
      </c>
      <c r="AG486" s="189">
        <f>AG62+AG105+AG148+AG191+AG234+AG277+AG320+AG363+AG406+AG449</f>
        <v/>
      </c>
      <c r="AH486" s="189">
        <f>AH62+AH105+AH148+AH191+AH234+AH277+AH320+AH363+AH406+AH449</f>
        <v/>
      </c>
      <c r="AI486" s="51" t="inlineStr">
        <is>
          <t>U7Y</t>
        </is>
      </c>
    </row>
    <row r="487">
      <c r="B487" s="189">
        <f>B63+B106+B149+B192+B235+B278+B321+B364+B407+B450</f>
        <v/>
      </c>
      <c r="C487" s="189">
        <f>C63+C106+C149+C192+C235+C278+C321+C364+C407+C450</f>
        <v/>
      </c>
      <c r="D487" s="189">
        <f>D63+D106+D149+D192+D235+D278+D321+D364+D407+D450</f>
        <v/>
      </c>
      <c r="E487" s="189">
        <f>E63+E106+E149+E192+E235+E278+E321+E364+E407+E450</f>
        <v/>
      </c>
      <c r="F487" s="189">
        <f>F63+F106+F149+F192+F235+F278+F321+F364+F407+F450</f>
        <v/>
      </c>
      <c r="G487" s="189">
        <f>G63+G106+G149+G192+G235+G278+G321+G364+G407+G450</f>
        <v/>
      </c>
      <c r="H487" s="189">
        <f>H63+H106+H149+H192+H235+H278+H321+H364+H407+H450</f>
        <v/>
      </c>
      <c r="I487" s="189">
        <f>I63+I106+I149+I192+I235+I278+I321+I364+I407+I450</f>
        <v/>
      </c>
      <c r="J487" s="189">
        <f>J63+J106+J149+J192+J235+J278+J321+J364+J407+J450</f>
        <v/>
      </c>
      <c r="K487" s="189">
        <f>K63+K106+K149+K192+K235+K278+K321+K364+K407+K450</f>
        <v/>
      </c>
      <c r="L487" s="189">
        <f>L63+L106+L149+L192+L235+L278+L321+L364+L407+L450</f>
        <v/>
      </c>
      <c r="M487" s="189">
        <f>M63+M106+M149+M192+M235+M278+M321+M364+M407+M450</f>
        <v/>
      </c>
      <c r="N487" s="189">
        <f>N63+N106+N149+N192+N235+N278+N321+N364+N407+N450</f>
        <v/>
      </c>
      <c r="O487" s="189">
        <f>O63+O106+O149+O192+O235+O278+O321+O364+O407+O450</f>
        <v/>
      </c>
      <c r="P487" s="189">
        <f>P63+P106+P149+P192+P235+P278+P321+P364+P407+P450</f>
        <v/>
      </c>
      <c r="Q487" s="189">
        <f>Q63+Q106+Q149+Q192+Q235+Q278+Q321+Q364+Q407+Q450</f>
        <v/>
      </c>
      <c r="R487" s="189">
        <f>R63+R106+R149+R192+R235+R278+R321+R364+R407+R450</f>
        <v/>
      </c>
      <c r="S487" s="189">
        <f>S63+S106+S149+S192+S235+S278+S321+S364+S407+S450</f>
        <v/>
      </c>
      <c r="T487" s="189">
        <f>T63+T106+T149+T192+T235+T278+T321+T364+T407+T450</f>
        <v/>
      </c>
      <c r="U487" s="189">
        <f>U63+U106+U149+U192+U235+U278+U321+U364+U407+U450</f>
        <v/>
      </c>
      <c r="V487" s="10">
        <f>V63+V106+V149+V192+V235+V278+V321+V364+V407+V450</f>
        <v/>
      </c>
      <c r="W487" s="189">
        <f>W63+W106+W149+W192+W235+W278+W321+W364+W407+W450</f>
        <v/>
      </c>
      <c r="X487" s="189">
        <f>X63+X106+X149+X192+X235+X278+X321+X364+X407+X450</f>
        <v/>
      </c>
      <c r="Y487" s="189">
        <f>Y63+Y106+Y149+Y192+Y235+Y278+Y321+Y364+Y407+Y450</f>
        <v/>
      </c>
      <c r="Z487" s="189">
        <f>Z63+Z106+Z149+Z192+Z235+Z278+Z321+Z364+Z407+Z450</f>
        <v/>
      </c>
      <c r="AA487" s="189">
        <f>AA63+AA106+AA149+AA192+AA235+AA278+AA321+AA364+AA407+AA450</f>
        <v/>
      </c>
      <c r="AB487" s="189">
        <f>AB63+AB106+AB149+AB192+AB235+AB278+AB321+AB364+AB407+AB450</f>
        <v/>
      </c>
      <c r="AC487" s="189">
        <f>AC63+AC106+AC149+AC192+AC235+AC278+AC321+AC364+AC407+AC450</f>
        <v/>
      </c>
      <c r="AD487" s="189">
        <f>AD63+AD106+AD149+AD192+AD235+AD278+AD321+AD364+AD407+AD450</f>
        <v/>
      </c>
      <c r="AE487" s="189">
        <f>AE63+AE106+AE149+AE192+AE235+AE278+AE321+AE364+AE407+AE450</f>
        <v/>
      </c>
      <c r="AF487" s="189">
        <f>AF63+AF106+AF149+AF192+AF235+AF278+AF321+AF364+AF407+AF450</f>
        <v/>
      </c>
      <c r="AG487" s="189">
        <f>AG63+AG106+AG149+AG192+AG235+AG278+AG321+AG364+AG407+AG450</f>
        <v/>
      </c>
      <c r="AH487" s="189">
        <f>AH63+AH106+AH149+AH192+AH235+AH278+AH321+AH364+AH407+AH450</f>
        <v/>
      </c>
      <c r="AI487" s="51" t="inlineStr">
        <is>
          <t>U7θ</t>
        </is>
      </c>
    </row>
    <row r="488">
      <c r="B488" s="189">
        <f>B64+B107+B150+B193+B236+B279+B322+B365+B408+B451</f>
        <v/>
      </c>
      <c r="C488" s="189">
        <f>C64+C107+C150+C193+C236+C279+C322+C365+C408+C451</f>
        <v/>
      </c>
      <c r="D488" s="189">
        <f>D64+D107+D150+D193+D236+D279+D322+D365+D408+D451</f>
        <v/>
      </c>
      <c r="E488" s="189">
        <f>E64+E107+E150+E193+E236+E279+E322+E365+E408+E451</f>
        <v/>
      </c>
      <c r="F488" s="189">
        <f>F64+F107+F150+F193+F236+F279+F322+F365+F408+F451</f>
        <v/>
      </c>
      <c r="G488" s="189">
        <f>G64+G107+G150+G193+G236+G279+G322+G365+G408+G451</f>
        <v/>
      </c>
      <c r="H488" s="189">
        <f>H64+H107+H150+H193+H236+H279+H322+H365+H408+H451</f>
        <v/>
      </c>
      <c r="I488" s="189">
        <f>I64+I107+I150+I193+I236+I279+I322+I365+I408+I451</f>
        <v/>
      </c>
      <c r="J488" s="189">
        <f>J64+J107+J150+J193+J236+J279+J322+J365+J408+J451</f>
        <v/>
      </c>
      <c r="K488" s="189">
        <f>K64+K107+K150+K193+K236+K279+K322+K365+K408+K451</f>
        <v/>
      </c>
      <c r="L488" s="189">
        <f>L64+L107+L150+L193+L236+L279+L322+L365+L408+L451</f>
        <v/>
      </c>
      <c r="M488" s="189">
        <f>M64+M107+M150+M193+M236+M279+M322+M365+M408+M451</f>
        <v/>
      </c>
      <c r="N488" s="189">
        <f>N64+N107+N150+N193+N236+N279+N322+N365+N408+N451</f>
        <v/>
      </c>
      <c r="O488" s="189">
        <f>O64+O107+O150+O193+O236+O279+O322+O365+O408+O451</f>
        <v/>
      </c>
      <c r="P488" s="189">
        <f>P64+P107+P150+P193+P236+P279+P322+P365+P408+P451</f>
        <v/>
      </c>
      <c r="Q488" s="189">
        <f>Q64+Q107+Q150+Q193+Q236+Q279+Q322+Q365+Q408+Q451</f>
        <v/>
      </c>
      <c r="R488" s="189">
        <f>R64+R107+R150+R193+R236+R279+R322+R365+R408+R451</f>
        <v/>
      </c>
      <c r="S488" s="189">
        <f>S64+S107+S150+S193+S236+S279+S322+S365+S408+S451</f>
        <v/>
      </c>
      <c r="T488" s="189">
        <f>T64+T107+T150+T193+T236+T279+T322+T365+T408+T451</f>
        <v/>
      </c>
      <c r="U488" s="189">
        <f>U64+U107+U150+U193+U236+U279+U322+U365+U408+U451</f>
        <v/>
      </c>
      <c r="V488" s="189">
        <f>V64+V107+V150+V193+V236+V279+V322+V365+V408+V451</f>
        <v/>
      </c>
      <c r="W488" s="10">
        <f>W64+W107+W150+W193+W236+W279+W322+W365+W408+W451</f>
        <v/>
      </c>
      <c r="X488" s="189">
        <f>X64+X107+X150+X193+X236+X279+X322+X365+X408+X451</f>
        <v/>
      </c>
      <c r="Y488" s="189">
        <f>Y64+Y107+Y150+Y193+Y236+Y279+Y322+Y365+Y408+Y451</f>
        <v/>
      </c>
      <c r="Z488" s="189">
        <f>Z64+Z107+Z150+Z193+Z236+Z279+Z322+Z365+Z408+Z451</f>
        <v/>
      </c>
      <c r="AA488" s="189">
        <f>AA64+AA107+AA150+AA193+AA236+AA279+AA322+AA365+AA408+AA451</f>
        <v/>
      </c>
      <c r="AB488" s="189">
        <f>AB64+AB107+AB150+AB193+AB236+AB279+AB322+AB365+AB408+AB451</f>
        <v/>
      </c>
      <c r="AC488" s="189">
        <f>AC64+AC107+AC150+AC193+AC236+AC279+AC322+AC365+AC408+AC451</f>
        <v/>
      </c>
      <c r="AD488" s="189">
        <f>AD64+AD107+AD150+AD193+AD236+AD279+AD322+AD365+AD408+AD451</f>
        <v/>
      </c>
      <c r="AE488" s="189">
        <f>AE64+AE107+AE150+AE193+AE236+AE279+AE322+AE365+AE408+AE451</f>
        <v/>
      </c>
      <c r="AF488" s="189">
        <f>AF64+AF107+AF150+AF193+AF236+AF279+AF322+AF365+AF408+AF451</f>
        <v/>
      </c>
      <c r="AG488" s="189">
        <f>AG64+AG107+AG150+AG193+AG236+AG279+AG322+AG365+AG408+AG451</f>
        <v/>
      </c>
      <c r="AH488" s="189">
        <f>AH64+AH107+AH150+AH193+AH236+AH279+AH322+AH365+AH408+AH451</f>
        <v/>
      </c>
      <c r="AI488" s="51" t="inlineStr">
        <is>
          <t>U8X</t>
        </is>
      </c>
    </row>
    <row r="489">
      <c r="B489" s="189">
        <f>B65+B108+B151+B194+B237+B280+B323+B366+B409+B452</f>
        <v/>
      </c>
      <c r="C489" s="189">
        <f>C65+C108+C151+C194+C237+C280+C323+C366+C409+C452</f>
        <v/>
      </c>
      <c r="D489" s="189">
        <f>D65+D108+D151+D194+D237+D280+D323+D366+D409+D452</f>
        <v/>
      </c>
      <c r="E489" s="189">
        <f>E65+E108+E151+E194+E237+E280+E323+E366+E409+E452</f>
        <v/>
      </c>
      <c r="F489" s="189">
        <f>F65+F108+F151+F194+F237+F280+F323+F366+F409+F452</f>
        <v/>
      </c>
      <c r="G489" s="189">
        <f>G65+G108+G151+G194+G237+G280+G323+G366+G409+G452</f>
        <v/>
      </c>
      <c r="H489" s="189">
        <f>H65+H108+H151+H194+H237+H280+H323+H366+H409+H452</f>
        <v/>
      </c>
      <c r="I489" s="189">
        <f>I65+I108+I151+I194+I237+I280+I323+I366+I409+I452</f>
        <v/>
      </c>
      <c r="J489" s="189">
        <f>J65+J108+J151+J194+J237+J280+J323+J366+J409+J452</f>
        <v/>
      </c>
      <c r="K489" s="189">
        <f>K65+K108+K151+K194+K237+K280+K323+K366+K409+K452</f>
        <v/>
      </c>
      <c r="L489" s="189">
        <f>L65+L108+L151+L194+L237+L280+L323+L366+L409+L452</f>
        <v/>
      </c>
      <c r="M489" s="189">
        <f>M65+M108+M151+M194+M237+M280+M323+M366+M409+M452</f>
        <v/>
      </c>
      <c r="N489" s="189">
        <f>N65+N108+N151+N194+N237+N280+N323+N366+N409+N452</f>
        <v/>
      </c>
      <c r="O489" s="189">
        <f>O65+O108+O151+O194+O237+O280+O323+O366+O409+O452</f>
        <v/>
      </c>
      <c r="P489" s="189">
        <f>P65+P108+P151+P194+P237+P280+P323+P366+P409+P452</f>
        <v/>
      </c>
      <c r="Q489" s="189">
        <f>Q65+Q108+Q151+Q194+Q237+Q280+Q323+Q366+Q409+Q452</f>
        <v/>
      </c>
      <c r="R489" s="189">
        <f>R65+R108+R151+R194+R237+R280+R323+R366+R409+R452</f>
        <v/>
      </c>
      <c r="S489" s="189">
        <f>S65+S108+S151+S194+S237+S280+S323+S366+S409+S452</f>
        <v/>
      </c>
      <c r="T489" s="189">
        <f>T65+T108+T151+T194+T237+T280+T323+T366+T409+T452</f>
        <v/>
      </c>
      <c r="U489" s="189">
        <f>U65+U108+U151+U194+U237+U280+U323+U366+U409+U452</f>
        <v/>
      </c>
      <c r="V489" s="189">
        <f>V65+V108+V151+V194+V237+V280+V323+V366+V409+V452</f>
        <v/>
      </c>
      <c r="W489" s="189">
        <f>W65+W108+W151+W194+W237+W280+W323+W366+W409+W452</f>
        <v/>
      </c>
      <c r="X489" s="10">
        <f>X65+X108+X151+X194+X237+X280+X323+X366+X409+X452</f>
        <v/>
      </c>
      <c r="Y489" s="189">
        <f>Y65+Y108+Y151+Y194+Y237+Y280+Y323+Y366+Y409+Y452</f>
        <v/>
      </c>
      <c r="Z489" s="189">
        <f>Z65+Z108+Z151+Z194+Z237+Z280+Z323+Z366+Z409+Z452</f>
        <v/>
      </c>
      <c r="AA489" s="189">
        <f>AA65+AA108+AA151+AA194+AA237+AA280+AA323+AA366+AA409+AA452</f>
        <v/>
      </c>
      <c r="AB489" s="189">
        <f>AB65+AB108+AB151+AB194+AB237+AB280+AB323+AB366+AB409+AB452</f>
        <v/>
      </c>
      <c r="AC489" s="189">
        <f>AC65+AC108+AC151+AC194+AC237+AC280+AC323+AC366+AC409+AC452</f>
        <v/>
      </c>
      <c r="AD489" s="189">
        <f>AD65+AD108+AD151+AD194+AD237+AD280+AD323+AD366+AD409+AD452</f>
        <v/>
      </c>
      <c r="AE489" s="189">
        <f>AE65+AE108+AE151+AE194+AE237+AE280+AE323+AE366+AE409+AE452</f>
        <v/>
      </c>
      <c r="AF489" s="189">
        <f>AF65+AF108+AF151+AF194+AF237+AF280+AF323+AF366+AF409+AF452</f>
        <v/>
      </c>
      <c r="AG489" s="189">
        <f>AG65+AG108+AG151+AG194+AG237+AG280+AG323+AG366+AG409+AG452</f>
        <v/>
      </c>
      <c r="AH489" s="189">
        <f>AH65+AH108+AH151+AH194+AH237+AH280+AH323+AH366+AH409+AH452</f>
        <v/>
      </c>
      <c r="AI489" s="51" t="inlineStr">
        <is>
          <t>U8Y</t>
        </is>
      </c>
    </row>
    <row r="490">
      <c r="B490" s="189">
        <f>B66+B109+B152+B195+B238+B281+B324+B367+B410+B453</f>
        <v/>
      </c>
      <c r="C490" s="189">
        <f>C66+C109+C152+C195+C238+C281+C324+C367+C410+C453</f>
        <v/>
      </c>
      <c r="D490" s="189">
        <f>D66+D109+D152+D195+D238+D281+D324+D367+D410+D453</f>
        <v/>
      </c>
      <c r="E490" s="189">
        <f>E66+E109+E152+E195+E238+E281+E324+E367+E410+E453</f>
        <v/>
      </c>
      <c r="F490" s="189">
        <f>F66+F109+F152+F195+F238+F281+F324+F367+F410+F453</f>
        <v/>
      </c>
      <c r="G490" s="189">
        <f>G66+G109+G152+G195+G238+G281+G324+G367+G410+G453</f>
        <v/>
      </c>
      <c r="H490" s="189">
        <f>H66+H109+H152+H195+H238+H281+H324+H367+H410+H453</f>
        <v/>
      </c>
      <c r="I490" s="189">
        <f>I66+I109+I152+I195+I238+I281+I324+I367+I410+I453</f>
        <v/>
      </c>
      <c r="J490" s="189">
        <f>J66+J109+J152+J195+J238+J281+J324+J367+J410+J453</f>
        <v/>
      </c>
      <c r="K490" s="189">
        <f>K66+K109+K152+K195+K238+K281+K324+K367+K410+K453</f>
        <v/>
      </c>
      <c r="L490" s="189">
        <f>L66+L109+L152+L195+L238+L281+L324+L367+L410+L453</f>
        <v/>
      </c>
      <c r="M490" s="189">
        <f>M66+M109+M152+M195+M238+M281+M324+M367+M410+M453</f>
        <v/>
      </c>
      <c r="N490" s="189">
        <f>N66+N109+N152+N195+N238+N281+N324+N367+N410+N453</f>
        <v/>
      </c>
      <c r="O490" s="189">
        <f>O66+O109+O152+O195+O238+O281+O324+O367+O410+O453</f>
        <v/>
      </c>
      <c r="P490" s="189">
        <f>P66+P109+P152+P195+P238+P281+P324+P367+P410+P453</f>
        <v/>
      </c>
      <c r="Q490" s="189">
        <f>Q66+Q109+Q152+Q195+Q238+Q281+Q324+Q367+Q410+Q453</f>
        <v/>
      </c>
      <c r="R490" s="189">
        <f>R66+R109+R152+R195+R238+R281+R324+R367+R410+R453</f>
        <v/>
      </c>
      <c r="S490" s="189">
        <f>S66+S109+S152+S195+S238+S281+S324+S367+S410+S453</f>
        <v/>
      </c>
      <c r="T490" s="189">
        <f>T66+T109+T152+T195+T238+T281+T324+T367+T410+T453</f>
        <v/>
      </c>
      <c r="U490" s="189">
        <f>U66+U109+U152+U195+U238+U281+U324+U367+U410+U453</f>
        <v/>
      </c>
      <c r="V490" s="189">
        <f>V66+V109+V152+V195+V238+V281+V324+V367+V410+V453</f>
        <v/>
      </c>
      <c r="W490" s="189">
        <f>W66+W109+W152+W195+W238+W281+W324+W367+W410+W453</f>
        <v/>
      </c>
      <c r="X490" s="189">
        <f>X66+X109+X152+X195+X238+X281+X324+X367+X410+X453</f>
        <v/>
      </c>
      <c r="Y490" s="10">
        <f>Y66+Y109+Y152+Y195+Y238+Y281+Y324+Y367+Y410+Y453</f>
        <v/>
      </c>
      <c r="Z490" s="189">
        <f>Z66+Z109+Z152+Z195+Z238+Z281+Z324+Z367+Z410+Z453</f>
        <v/>
      </c>
      <c r="AA490" s="189">
        <f>AA66+AA109+AA152+AA195+AA238+AA281+AA324+AA367+AA410+AA453</f>
        <v/>
      </c>
      <c r="AB490" s="189">
        <f>AB66+AB109+AB152+AB195+AB238+AB281+AB324+AB367+AB410+AB453</f>
        <v/>
      </c>
      <c r="AC490" s="189">
        <f>AC66+AC109+AC152+AC195+AC238+AC281+AC324+AC367+AC410+AC453</f>
        <v/>
      </c>
      <c r="AD490" s="189">
        <f>AD66+AD109+AD152+AD195+AD238+AD281+AD324+AD367+AD410+AD453</f>
        <v/>
      </c>
      <c r="AE490" s="189">
        <f>AE66+AE109+AE152+AE195+AE238+AE281+AE324+AE367+AE410+AE453</f>
        <v/>
      </c>
      <c r="AF490" s="189">
        <f>AF66+AF109+AF152+AF195+AF238+AF281+AF324+AF367+AF410+AF453</f>
        <v/>
      </c>
      <c r="AG490" s="189">
        <f>AG66+AG109+AG152+AG195+AG238+AG281+AG324+AG367+AG410+AG453</f>
        <v/>
      </c>
      <c r="AH490" s="189">
        <f>AH66+AH109+AH152+AH195+AH238+AH281+AH324+AH367+AH410+AH453</f>
        <v/>
      </c>
      <c r="AI490" s="51" t="inlineStr">
        <is>
          <t>U8θ</t>
        </is>
      </c>
    </row>
    <row r="491">
      <c r="B491" s="189">
        <f>B67+B110+B153+B196+B239+B282+B325+B368+B411+B454</f>
        <v/>
      </c>
      <c r="C491" s="189">
        <f>C67+C110+C153+C196+C239+C282+C325+C368+C411+C454</f>
        <v/>
      </c>
      <c r="D491" s="189">
        <f>D67+D110+D153+D196+D239+D282+D325+D368+D411+D454</f>
        <v/>
      </c>
      <c r="E491" s="189">
        <f>E67+E110+E153+E196+E239+E282+E325+E368+E411+E454</f>
        <v/>
      </c>
      <c r="F491" s="189">
        <f>F67+F110+F153+F196+F239+F282+F325+F368+F411+F454</f>
        <v/>
      </c>
      <c r="G491" s="189">
        <f>G67+G110+G153+G196+G239+G282+G325+G368+G411+G454</f>
        <v/>
      </c>
      <c r="H491" s="189">
        <f>H67+H110+H153+H196+H239+H282+H325+H368+H411+H454</f>
        <v/>
      </c>
      <c r="I491" s="189">
        <f>I67+I110+I153+I196+I239+I282+I325+I368+I411+I454</f>
        <v/>
      </c>
      <c r="J491" s="189">
        <f>J67+J110+J153+J196+J239+J282+J325+J368+J411+J454</f>
        <v/>
      </c>
      <c r="K491" s="189">
        <f>K67+K110+K153+K196+K239+K282+K325+K368+K411+K454</f>
        <v/>
      </c>
      <c r="L491" s="189">
        <f>L67+L110+L153+L196+L239+L282+L325+L368+L411+L454</f>
        <v/>
      </c>
      <c r="M491" s="189">
        <f>M67+M110+M153+M196+M239+M282+M325+M368+M411+M454</f>
        <v/>
      </c>
      <c r="N491" s="189">
        <f>N67+N110+N153+N196+N239+N282+N325+N368+N411+N454</f>
        <v/>
      </c>
      <c r="O491" s="189">
        <f>O67+O110+O153+O196+O239+O282+O325+O368+O411+O454</f>
        <v/>
      </c>
      <c r="P491" s="189">
        <f>P67+P110+P153+P196+P239+P282+P325+P368+P411+P454</f>
        <v/>
      </c>
      <c r="Q491" s="189">
        <f>Q67+Q110+Q153+Q196+Q239+Q282+Q325+Q368+Q411+Q454</f>
        <v/>
      </c>
      <c r="R491" s="189">
        <f>R67+R110+R153+R196+R239+R282+R325+R368+R411+R454</f>
        <v/>
      </c>
      <c r="S491" s="189">
        <f>S67+S110+S153+S196+S239+S282+S325+S368+S411+S454</f>
        <v/>
      </c>
      <c r="T491" s="189">
        <f>T67+T110+T153+T196+T239+T282+T325+T368+T411+T454</f>
        <v/>
      </c>
      <c r="U491" s="189">
        <f>U67+U110+U153+U196+U239+U282+U325+U368+U411+U454</f>
        <v/>
      </c>
      <c r="V491" s="189">
        <f>V67+V110+V153+V196+V239+V282+V325+V368+V411+V454</f>
        <v/>
      </c>
      <c r="W491" s="189">
        <f>W67+W110+W153+W196+W239+W282+W325+W368+W411+W454</f>
        <v/>
      </c>
      <c r="X491" s="189">
        <f>X67+X110+X153+X196+X239+X282+X325+X368+X411+X454</f>
        <v/>
      </c>
      <c r="Y491" s="189">
        <f>Y67+Y110+Y153+Y196+Y239+Y282+Y325+Y368+Y411+Y454</f>
        <v/>
      </c>
      <c r="Z491" s="10">
        <f>Z67+Z110+Z153+Z196+Z239+Z282+Z325+Z368+Z411+Z454</f>
        <v/>
      </c>
      <c r="AA491" s="189">
        <f>AA67+AA110+AA153+AA196+AA239+AA282+AA325+AA368+AA411+AA454</f>
        <v/>
      </c>
      <c r="AB491" s="189">
        <f>AB67+AB110+AB153+AB196+AB239+AB282+AB325+AB368+AB411+AB454</f>
        <v/>
      </c>
      <c r="AC491" s="189">
        <f>AC67+AC110+AC153+AC196+AC239+AC282+AC325+AC368+AC411+AC454</f>
        <v/>
      </c>
      <c r="AD491" s="189">
        <f>AD67+AD110+AD153+AD196+AD239+AD282+AD325+AD368+AD411+AD454</f>
        <v/>
      </c>
      <c r="AE491" s="189">
        <f>AE67+AE110+AE153+AE196+AE239+AE282+AE325+AE368+AE411+AE454</f>
        <v/>
      </c>
      <c r="AF491" s="189">
        <f>AF67+AF110+AF153+AF196+AF239+AF282+AF325+AF368+AF411+AF454</f>
        <v/>
      </c>
      <c r="AG491" s="189">
        <f>AG67+AG110+AG153+AG196+AG239+AG282+AG325+AG368+AG411+AG454</f>
        <v/>
      </c>
      <c r="AH491" s="189">
        <f>AH67+AH110+AH153+AH196+AH239+AH282+AH325+AH368+AH411+AH454</f>
        <v/>
      </c>
      <c r="AI491" s="51" t="inlineStr">
        <is>
          <t>U9X</t>
        </is>
      </c>
    </row>
    <row r="492">
      <c r="B492" s="189">
        <f>B68+B111+B154+B197+B240+B283+B326+B369+B412+B455</f>
        <v/>
      </c>
      <c r="C492" s="189">
        <f>C68+C111+C154+C197+C240+C283+C326+C369+C412+C455</f>
        <v/>
      </c>
      <c r="D492" s="189">
        <f>D68+D111+D154+D197+D240+D283+D326+D369+D412+D455</f>
        <v/>
      </c>
      <c r="E492" s="189">
        <f>E68+E111+E154+E197+E240+E283+E326+E369+E412+E455</f>
        <v/>
      </c>
      <c r="F492" s="189">
        <f>F68+F111+F154+F197+F240+F283+F326+F369+F412+F455</f>
        <v/>
      </c>
      <c r="G492" s="189">
        <f>G68+G111+G154+G197+G240+G283+G326+G369+G412+G455</f>
        <v/>
      </c>
      <c r="H492" s="189">
        <f>H68+H111+H154+H197+H240+H283+H326+H369+H412+H455</f>
        <v/>
      </c>
      <c r="I492" s="189">
        <f>I68+I111+I154+I197+I240+I283+I326+I369+I412+I455</f>
        <v/>
      </c>
      <c r="J492" s="189">
        <f>J68+J111+J154+J197+J240+J283+J326+J369+J412+J455</f>
        <v/>
      </c>
      <c r="K492" s="189">
        <f>K68+K111+K154+K197+K240+K283+K326+K369+K412+K455</f>
        <v/>
      </c>
      <c r="L492" s="189">
        <f>L68+L111+L154+L197+L240+L283+L326+L369+L412+L455</f>
        <v/>
      </c>
      <c r="M492" s="189">
        <f>M68+M111+M154+M197+M240+M283+M326+M369+M412+M455</f>
        <v/>
      </c>
      <c r="N492" s="189">
        <f>N68+N111+N154+N197+N240+N283+N326+N369+N412+N455</f>
        <v/>
      </c>
      <c r="O492" s="189">
        <f>O68+O111+O154+O197+O240+O283+O326+O369+O412+O455</f>
        <v/>
      </c>
      <c r="P492" s="189">
        <f>P68+P111+P154+P197+P240+P283+P326+P369+P412+P455</f>
        <v/>
      </c>
      <c r="Q492" s="189">
        <f>Q68+Q111+Q154+Q197+Q240+Q283+Q326+Q369+Q412+Q455</f>
        <v/>
      </c>
      <c r="R492" s="189">
        <f>R68+R111+R154+R197+R240+R283+R326+R369+R412+R455</f>
        <v/>
      </c>
      <c r="S492" s="189">
        <f>S68+S111+S154+S197+S240+S283+S326+S369+S412+S455</f>
        <v/>
      </c>
      <c r="T492" s="189">
        <f>T68+T111+T154+T197+T240+T283+T326+T369+T412+T455</f>
        <v/>
      </c>
      <c r="U492" s="189">
        <f>U68+U111+U154+U197+U240+U283+U326+U369+U412+U455</f>
        <v/>
      </c>
      <c r="V492" s="189">
        <f>V68+V111+V154+V197+V240+V283+V326+V369+V412+V455</f>
        <v/>
      </c>
      <c r="W492" s="189">
        <f>W68+W111+W154+W197+W240+W283+W326+W369+W412+W455</f>
        <v/>
      </c>
      <c r="X492" s="189">
        <f>X68+X111+X154+X197+X240+X283+X326+X369+X412+X455</f>
        <v/>
      </c>
      <c r="Y492" s="189">
        <f>Y68+Y111+Y154+Y197+Y240+Y283+Y326+Y369+Y412+Y455</f>
        <v/>
      </c>
      <c r="Z492" s="189">
        <f>Z68+Z111+Z154+Z197+Z240+Z283+Z326+Z369+Z412+Z455</f>
        <v/>
      </c>
      <c r="AA492" s="10">
        <f>AA68+AA111+AA154+AA197+AA240+AA283+AA326+AA369+AA412+AA455</f>
        <v/>
      </c>
      <c r="AB492" s="189">
        <f>AB68+AB111+AB154+AB197+AB240+AB283+AB326+AB369+AB412+AB455</f>
        <v/>
      </c>
      <c r="AC492" s="189">
        <f>AC68+AC111+AC154+AC197+AC240+AC283+AC326+AC369+AC412+AC455</f>
        <v/>
      </c>
      <c r="AD492" s="189">
        <f>AD68+AD111+AD154+AD197+AD240+AD283+AD326+AD369+AD412+AD455</f>
        <v/>
      </c>
      <c r="AE492" s="189">
        <f>AE68+AE111+AE154+AE197+AE240+AE283+AE326+AE369+AE412+AE455</f>
        <v/>
      </c>
      <c r="AF492" s="189">
        <f>AF68+AF111+AF154+AF197+AF240+AF283+AF326+AF369+AF412+AF455</f>
        <v/>
      </c>
      <c r="AG492" s="189">
        <f>AG68+AG111+AG154+AG197+AG240+AG283+AG326+AG369+AG412+AG455</f>
        <v/>
      </c>
      <c r="AH492" s="189">
        <f>AH68+AH111+AH154+AH197+AH240+AH283+AH326+AH369+AH412+AH455</f>
        <v/>
      </c>
      <c r="AI492" s="51" t="inlineStr">
        <is>
          <t>U9Y</t>
        </is>
      </c>
    </row>
    <row r="493">
      <c r="B493" s="189">
        <f>B69+B112+B155+B198+B241+B284+B327+B370+B413+B456</f>
        <v/>
      </c>
      <c r="C493" s="189">
        <f>C69+C112+C155+C198+C241+C284+C327+C370+C413+C456</f>
        <v/>
      </c>
      <c r="D493" s="189">
        <f>D69+D112+D155+D198+D241+D284+D327+D370+D413+D456</f>
        <v/>
      </c>
      <c r="E493" s="189">
        <f>E69+E112+E155+E198+E241+E284+E327+E370+E413+E456</f>
        <v/>
      </c>
      <c r="F493" s="189">
        <f>F69+F112+F155+F198+F241+F284+F327+F370+F413+F456</f>
        <v/>
      </c>
      <c r="G493" s="189">
        <f>G69+G112+G155+G198+G241+G284+G327+G370+G413+G456</f>
        <v/>
      </c>
      <c r="H493" s="189">
        <f>H69+H112+H155+H198+H241+H284+H327+H370+H413+H456</f>
        <v/>
      </c>
      <c r="I493" s="189">
        <f>I69+I112+I155+I198+I241+I284+I327+I370+I413+I456</f>
        <v/>
      </c>
      <c r="J493" s="189">
        <f>J69+J112+J155+J198+J241+J284+J327+J370+J413+J456</f>
        <v/>
      </c>
      <c r="K493" s="189">
        <f>K69+K112+K155+K198+K241+K284+K327+K370+K413+K456</f>
        <v/>
      </c>
      <c r="L493" s="189">
        <f>L69+L112+L155+L198+L241+L284+L327+L370+L413+L456</f>
        <v/>
      </c>
      <c r="M493" s="189">
        <f>M69+M112+M155+M198+M241+M284+M327+M370+M413+M456</f>
        <v/>
      </c>
      <c r="N493" s="189">
        <f>N69+N112+N155+N198+N241+N284+N327+N370+N413+N456</f>
        <v/>
      </c>
      <c r="O493" s="189">
        <f>O69+O112+O155+O198+O241+O284+O327+O370+O413+O456</f>
        <v/>
      </c>
      <c r="P493" s="189">
        <f>P69+P112+P155+P198+P241+P284+P327+P370+P413+P456</f>
        <v/>
      </c>
      <c r="Q493" s="189">
        <f>Q69+Q112+Q155+Q198+Q241+Q284+Q327+Q370+Q413+Q456</f>
        <v/>
      </c>
      <c r="R493" s="189">
        <f>R69+R112+R155+R198+R241+R284+R327+R370+R413+R456</f>
        <v/>
      </c>
      <c r="S493" s="189">
        <f>S69+S112+S155+S198+S241+S284+S327+S370+S413+S456</f>
        <v/>
      </c>
      <c r="T493" s="189">
        <f>T69+T112+T155+T198+T241+T284+T327+T370+T413+T456</f>
        <v/>
      </c>
      <c r="U493" s="189">
        <f>U69+U112+U155+U198+U241+U284+U327+U370+U413+U456</f>
        <v/>
      </c>
      <c r="V493" s="189">
        <f>V69+V112+V155+V198+V241+V284+V327+V370+V413+V456</f>
        <v/>
      </c>
      <c r="W493" s="189">
        <f>W69+W112+W155+W198+W241+W284+W327+W370+W413+W456</f>
        <v/>
      </c>
      <c r="X493" s="189">
        <f>X69+X112+X155+X198+X241+X284+X327+X370+X413+X456</f>
        <v/>
      </c>
      <c r="Y493" s="189">
        <f>Y69+Y112+Y155+Y198+Y241+Y284+Y327+Y370+Y413+Y456</f>
        <v/>
      </c>
      <c r="Z493" s="189">
        <f>Z69+Z112+Z155+Z198+Z241+Z284+Z327+Z370+Z413+Z456</f>
        <v/>
      </c>
      <c r="AA493" s="189">
        <f>AA69+AA112+AA155+AA198+AA241+AA284+AA327+AA370+AA413+AA456</f>
        <v/>
      </c>
      <c r="AB493" s="10">
        <f>AB69+AB112+AB155+AB198+AB241+AB284+AB327+AB370+AB413+AB456</f>
        <v/>
      </c>
      <c r="AC493" s="189">
        <f>AC69+AC112+AC155+AC198+AC241+AC284+AC327+AC370+AC413+AC456</f>
        <v/>
      </c>
      <c r="AD493" s="189">
        <f>AD69+AD112+AD155+AD198+AD241+AD284+AD327+AD370+AD413+AD456</f>
        <v/>
      </c>
      <c r="AE493" s="189">
        <f>AE69+AE112+AE155+AE198+AE241+AE284+AE327+AE370+AE413+AE456</f>
        <v/>
      </c>
      <c r="AF493" s="189">
        <f>AF69+AF112+AF155+AF198+AF241+AF284+AF327+AF370+AF413+AF456</f>
        <v/>
      </c>
      <c r="AG493" s="189">
        <f>AG69+AG112+AG155+AG198+AG241+AG284+AG327+AG370+AG413+AG456</f>
        <v/>
      </c>
      <c r="AH493" s="189">
        <f>AH69+AH112+AH155+AH198+AH241+AH284+AH327+AH370+AH413+AH456</f>
        <v/>
      </c>
      <c r="AI493" s="51" t="inlineStr">
        <is>
          <t>U9θ</t>
        </is>
      </c>
    </row>
    <row r="494">
      <c r="B494" s="189">
        <f>B70+B113+B156+B199+B242+B285+B328+B371+B414+B457</f>
        <v/>
      </c>
      <c r="C494" s="189">
        <f>C70+C113+C156+C199+C242+C285+C328+C371+C414+C457</f>
        <v/>
      </c>
      <c r="D494" s="189">
        <f>D70+D113+D156+D199+D242+D285+D328+D371+D414+D457</f>
        <v/>
      </c>
      <c r="E494" s="189">
        <f>E70+E113+E156+E199+E242+E285+E328+E371+E414+E457</f>
        <v/>
      </c>
      <c r="F494" s="189">
        <f>F70+F113+F156+F199+F242+F285+F328+F371+F414+F457</f>
        <v/>
      </c>
      <c r="G494" s="189">
        <f>G70+G113+G156+G199+G242+G285+G328+G371+G414+G457</f>
        <v/>
      </c>
      <c r="H494" s="189">
        <f>H70+H113+H156+H199+H242+H285+H328+H371+H414+H457</f>
        <v/>
      </c>
      <c r="I494" s="189">
        <f>I70+I113+I156+I199+I242+I285+I328+I371+I414+I457</f>
        <v/>
      </c>
      <c r="J494" s="189">
        <f>J70+J113+J156+J199+J242+J285+J328+J371+J414+J457</f>
        <v/>
      </c>
      <c r="K494" s="189">
        <f>K70+K113+K156+K199+K242+K285+K328+K371+K414+K457</f>
        <v/>
      </c>
      <c r="L494" s="189">
        <f>L70+L113+L156+L199+L242+L285+L328+L371+L414+L457</f>
        <v/>
      </c>
      <c r="M494" s="189">
        <f>M70+M113+M156+M199+M242+M285+M328+M371+M414+M457</f>
        <v/>
      </c>
      <c r="N494" s="189">
        <f>N70+N113+N156+N199+N242+N285+N328+N371+N414+N457</f>
        <v/>
      </c>
      <c r="O494" s="189">
        <f>O70+O113+O156+O199+O242+O285+O328+O371+O414+O457</f>
        <v/>
      </c>
      <c r="P494" s="189">
        <f>P70+P113+P156+P199+P242+P285+P328+P371+P414+P457</f>
        <v/>
      </c>
      <c r="Q494" s="189">
        <f>Q70+Q113+Q156+Q199+Q242+Q285+Q328+Q371+Q414+Q457</f>
        <v/>
      </c>
      <c r="R494" s="189">
        <f>R70+R113+R156+R199+R242+R285+R328+R371+R414+R457</f>
        <v/>
      </c>
      <c r="S494" s="189">
        <f>S70+S113+S156+S199+S242+S285+S328+S371+S414+S457</f>
        <v/>
      </c>
      <c r="T494" s="189">
        <f>T70+T113+T156+T199+T242+T285+T328+T371+T414+T457</f>
        <v/>
      </c>
      <c r="U494" s="189">
        <f>U70+U113+U156+U199+U242+U285+U328+U371+U414+U457</f>
        <v/>
      </c>
      <c r="V494" s="189">
        <f>V70+V113+V156+V199+V242+V285+V328+V371+V414+V457</f>
        <v/>
      </c>
      <c r="W494" s="189">
        <f>W70+W113+W156+W199+W242+W285+W328+W371+W414+W457</f>
        <v/>
      </c>
      <c r="X494" s="189">
        <f>X70+X113+X156+X199+X242+X285+X328+X371+X414+X457</f>
        <v/>
      </c>
      <c r="Y494" s="189">
        <f>Y70+Y113+Y156+Y199+Y242+Y285+Y328+Y371+Y414+Y457</f>
        <v/>
      </c>
      <c r="Z494" s="189">
        <f>Z70+Z113+Z156+Z199+Z242+Z285+Z328+Z371+Z414+Z457</f>
        <v/>
      </c>
      <c r="AA494" s="189">
        <f>AA70+AA113+AA156+AA199+AA242+AA285+AA328+AA371+AA414+AA457</f>
        <v/>
      </c>
      <c r="AB494" s="189">
        <f>AB70+AB113+AB156+AB199+AB242+AB285+AB328+AB371+AB414+AB457</f>
        <v/>
      </c>
      <c r="AC494" s="10">
        <f>AC70+AC113+AC156+AC199+AC242+AC285+AC328+AC371+AC414+AC457</f>
        <v/>
      </c>
      <c r="AD494" s="189">
        <f>AD70+AD113+AD156+AD199+AD242+AD285+AD328+AD371+AD414+AD457</f>
        <v/>
      </c>
      <c r="AE494" s="189">
        <f>AE70+AE113+AE156+AE199+AE242+AE285+AE328+AE371+AE414+AE457</f>
        <v/>
      </c>
      <c r="AF494" s="189">
        <f>AF70+AF113+AF156+AF199+AF242+AF285+AF328+AF371+AF414+AF457</f>
        <v/>
      </c>
      <c r="AG494" s="189">
        <f>AG70+AG113+AG156+AG199+AG242+AG285+AG328+AG371+AG414+AG457</f>
        <v/>
      </c>
      <c r="AH494" s="189">
        <f>AH70+AH113+AH156+AH199+AH242+AH285+AH328+AH371+AH414+AH457</f>
        <v/>
      </c>
      <c r="AI494" s="51" t="inlineStr">
        <is>
          <t>U10X</t>
        </is>
      </c>
    </row>
    <row r="495">
      <c r="B495" s="189">
        <f>B71+B114+B157+B200+B243+B286+B329+B372+B415+B458</f>
        <v/>
      </c>
      <c r="C495" s="189">
        <f>C71+C114+C157+C200+C243+C286+C329+C372+C415+C458</f>
        <v/>
      </c>
      <c r="D495" s="189">
        <f>D71+D114+D157+D200+D243+D286+D329+D372+D415+D458</f>
        <v/>
      </c>
      <c r="E495" s="189">
        <f>E71+E114+E157+E200+E243+E286+E329+E372+E415+E458</f>
        <v/>
      </c>
      <c r="F495" s="189">
        <f>F71+F114+F157+F200+F243+F286+F329+F372+F415+F458</f>
        <v/>
      </c>
      <c r="G495" s="189">
        <f>G71+G114+G157+G200+G243+G286+G329+G372+G415+G458</f>
        <v/>
      </c>
      <c r="H495" s="189">
        <f>H71+H114+H157+H200+H243+H286+H329+H372+H415+H458</f>
        <v/>
      </c>
      <c r="I495" s="189">
        <f>I71+I114+I157+I200+I243+I286+I329+I372+I415+I458</f>
        <v/>
      </c>
      <c r="J495" s="189">
        <f>J71+J114+J157+J200+J243+J286+J329+J372+J415+J458</f>
        <v/>
      </c>
      <c r="K495" s="189">
        <f>K71+K114+K157+K200+K243+K286+K329+K372+K415+K458</f>
        <v/>
      </c>
      <c r="L495" s="189">
        <f>L71+L114+L157+L200+L243+L286+L329+L372+L415+L458</f>
        <v/>
      </c>
      <c r="M495" s="189">
        <f>M71+M114+M157+M200+M243+M286+M329+M372+M415+M458</f>
        <v/>
      </c>
      <c r="N495" s="189">
        <f>N71+N114+N157+N200+N243+N286+N329+N372+N415+N458</f>
        <v/>
      </c>
      <c r="O495" s="189">
        <f>O71+O114+O157+O200+O243+O286+O329+O372+O415+O458</f>
        <v/>
      </c>
      <c r="P495" s="189">
        <f>P71+P114+P157+P200+P243+P286+P329+P372+P415+P458</f>
        <v/>
      </c>
      <c r="Q495" s="189">
        <f>Q71+Q114+Q157+Q200+Q243+Q286+Q329+Q372+Q415+Q458</f>
        <v/>
      </c>
      <c r="R495" s="189">
        <f>R71+R114+R157+R200+R243+R286+R329+R372+R415+R458</f>
        <v/>
      </c>
      <c r="S495" s="189">
        <f>S71+S114+S157+S200+S243+S286+S329+S372+S415+S458</f>
        <v/>
      </c>
      <c r="T495" s="189">
        <f>T71+T114+T157+T200+T243+T286+T329+T372+T415+T458</f>
        <v/>
      </c>
      <c r="U495" s="189">
        <f>U71+U114+U157+U200+U243+U286+U329+U372+U415+U458</f>
        <v/>
      </c>
      <c r="V495" s="189">
        <f>V71+V114+V157+V200+V243+V286+V329+V372+V415+V458</f>
        <v/>
      </c>
      <c r="W495" s="189">
        <f>W71+W114+W157+W200+W243+W286+W329+W372+W415+W458</f>
        <v/>
      </c>
      <c r="X495" s="189">
        <f>X71+X114+X157+X200+X243+X286+X329+X372+X415+X458</f>
        <v/>
      </c>
      <c r="Y495" s="189">
        <f>Y71+Y114+Y157+Y200+Y243+Y286+Y329+Y372+Y415+Y458</f>
        <v/>
      </c>
      <c r="Z495" s="189">
        <f>Z71+Z114+Z157+Z200+Z243+Z286+Z329+Z372+Z415+Z458</f>
        <v/>
      </c>
      <c r="AA495" s="189">
        <f>AA71+AA114+AA157+AA200+AA243+AA286+AA329+AA372+AA415+AA458</f>
        <v/>
      </c>
      <c r="AB495" s="189">
        <f>AB71+AB114+AB157+AB200+AB243+AB286+AB329+AB372+AB415+AB458</f>
        <v/>
      </c>
      <c r="AC495" s="189">
        <f>AC71+AC114+AC157+AC200+AC243+AC286+AC329+AC372+AC415+AC458</f>
        <v/>
      </c>
      <c r="AD495" s="10">
        <f>AD71+AD114+AD157+AD200+AD243+AD286+AD329+AD372+AD415+AD458</f>
        <v/>
      </c>
      <c r="AE495" s="189">
        <f>AE71+AE114+AE157+AE200+AE243+AE286+AE329+AE372+AE415+AE458</f>
        <v/>
      </c>
      <c r="AF495" s="189">
        <f>AF71+AF114+AF157+AF200+AF243+AF286+AF329+AF372+AF415+AF458</f>
        <v/>
      </c>
      <c r="AG495" s="189">
        <f>AG71+AG114+AG157+AG200+AG243+AG286+AG329+AG372+AG415+AG458</f>
        <v/>
      </c>
      <c r="AH495" s="189">
        <f>AH71+AH114+AH157+AH200+AH243+AH286+AH329+AH372+AH415+AH458</f>
        <v/>
      </c>
      <c r="AI495" s="51" t="inlineStr">
        <is>
          <t>U10Y</t>
        </is>
      </c>
    </row>
    <row r="496">
      <c r="B496" s="189">
        <f>B72+B115+B158+B201+B244+B287+B330+B373+B416+B459</f>
        <v/>
      </c>
      <c r="C496" s="189">
        <f>C72+C115+C158+C201+C244+C287+C330+C373+C416+C459</f>
        <v/>
      </c>
      <c r="D496" s="189">
        <f>D72+D115+D158+D201+D244+D287+D330+D373+D416+D459</f>
        <v/>
      </c>
      <c r="E496" s="189">
        <f>E72+E115+E158+E201+E244+E287+E330+E373+E416+E459</f>
        <v/>
      </c>
      <c r="F496" s="189">
        <f>F72+F115+F158+F201+F244+F287+F330+F373+F416+F459</f>
        <v/>
      </c>
      <c r="G496" s="189">
        <f>G72+G115+G158+G201+G244+G287+G330+G373+G416+G459</f>
        <v/>
      </c>
      <c r="H496" s="189">
        <f>H72+H115+H158+H201+H244+H287+H330+H373+H416+H459</f>
        <v/>
      </c>
      <c r="I496" s="189">
        <f>I72+I115+I158+I201+I244+I287+I330+I373+I416+I459</f>
        <v/>
      </c>
      <c r="J496" s="189">
        <f>J72+J115+J158+J201+J244+J287+J330+J373+J416+J459</f>
        <v/>
      </c>
      <c r="K496" s="189">
        <f>K72+K115+K158+K201+K244+K287+K330+K373+K416+K459</f>
        <v/>
      </c>
      <c r="L496" s="189">
        <f>L72+L115+L158+L201+L244+L287+L330+L373+L416+L459</f>
        <v/>
      </c>
      <c r="M496" s="189">
        <f>M72+M115+M158+M201+M244+M287+M330+M373+M416+M459</f>
        <v/>
      </c>
      <c r="N496" s="189">
        <f>N72+N115+N158+N201+N244+N287+N330+N373+N416+N459</f>
        <v/>
      </c>
      <c r="O496" s="189">
        <f>O72+O115+O158+O201+O244+O287+O330+O373+O416+O459</f>
        <v/>
      </c>
      <c r="P496" s="189">
        <f>P72+P115+P158+P201+P244+P287+P330+P373+P416+P459</f>
        <v/>
      </c>
      <c r="Q496" s="189">
        <f>Q72+Q115+Q158+Q201+Q244+Q287+Q330+Q373+Q416+Q459</f>
        <v/>
      </c>
      <c r="R496" s="189">
        <f>R72+R115+R158+R201+R244+R287+R330+R373+R416+R459</f>
        <v/>
      </c>
      <c r="S496" s="189">
        <f>S72+S115+S158+S201+S244+S287+S330+S373+S416+S459</f>
        <v/>
      </c>
      <c r="T496" s="189">
        <f>T72+T115+T158+T201+T244+T287+T330+T373+T416+T459</f>
        <v/>
      </c>
      <c r="U496" s="189">
        <f>U72+U115+U158+U201+U244+U287+U330+U373+U416+U459</f>
        <v/>
      </c>
      <c r="V496" s="189">
        <f>V72+V115+V158+V201+V244+V287+V330+V373+V416+V459</f>
        <v/>
      </c>
      <c r="W496" s="189">
        <f>W72+W115+W158+W201+W244+W287+W330+W373+W416+W459</f>
        <v/>
      </c>
      <c r="X496" s="189">
        <f>X72+X115+X158+X201+X244+X287+X330+X373+X416+X459</f>
        <v/>
      </c>
      <c r="Y496" s="189">
        <f>Y72+Y115+Y158+Y201+Y244+Y287+Y330+Y373+Y416+Y459</f>
        <v/>
      </c>
      <c r="Z496" s="189">
        <f>Z72+Z115+Z158+Z201+Z244+Z287+Z330+Z373+Z416+Z459</f>
        <v/>
      </c>
      <c r="AA496" s="189">
        <f>AA72+AA115+AA158+AA201+AA244+AA287+AA330+AA373+AA416+AA459</f>
        <v/>
      </c>
      <c r="AB496" s="189">
        <f>AB72+AB115+AB158+AB201+AB244+AB287+AB330+AB373+AB416+AB459</f>
        <v/>
      </c>
      <c r="AC496" s="189">
        <f>AC72+AC115+AC158+AC201+AC244+AC287+AC330+AC373+AC416+AC459</f>
        <v/>
      </c>
      <c r="AD496" s="189">
        <f>AD72+AD115+AD158+AD201+AD244+AD287+AD330+AD373+AD416+AD459</f>
        <v/>
      </c>
      <c r="AE496" s="10">
        <f>AE72+AE115+AE158+AE201+AE244+AE287+AE330+AE373+AE416+AE459</f>
        <v/>
      </c>
      <c r="AF496" s="189">
        <f>AF72+AF115+AF158+AF201+AF244+AF287+AF330+AF373+AF416+AF459</f>
        <v/>
      </c>
      <c r="AG496" s="189">
        <f>AG72+AG115+AG158+AG201+AG244+AG287+AG330+AG373+AG416+AG459</f>
        <v/>
      </c>
      <c r="AH496" s="189">
        <f>AH72+AH115+AH158+AH201+AH244+AH287+AH330+AH373+AH416+AH459</f>
        <v/>
      </c>
      <c r="AI496" s="51" t="inlineStr">
        <is>
          <t>U10θ</t>
        </is>
      </c>
    </row>
    <row r="497">
      <c r="B497" s="189">
        <f>B73+B116+B159+B202+B245+B288+B331+B374+B417+B460</f>
        <v/>
      </c>
      <c r="C497" s="189">
        <f>C73+C116+C159+C202+C245+C288+C331+C374+C417+C460</f>
        <v/>
      </c>
      <c r="D497" s="189">
        <f>D73+D116+D159+D202+D245+D288+D331+D374+D417+D460</f>
        <v/>
      </c>
      <c r="E497" s="189">
        <f>E73+E116+E159+E202+E245+E288+E331+E374+E417+E460</f>
        <v/>
      </c>
      <c r="F497" s="189">
        <f>F73+F116+F159+F202+F245+F288+F331+F374+F417+F460</f>
        <v/>
      </c>
      <c r="G497" s="189">
        <f>G73+G116+G159+G202+G245+G288+G331+G374+G417+G460</f>
        <v/>
      </c>
      <c r="H497" s="189">
        <f>H73+H116+H159+H202+H245+H288+H331+H374+H417+H460</f>
        <v/>
      </c>
      <c r="I497" s="189">
        <f>I73+I116+I159+I202+I245+I288+I331+I374+I417+I460</f>
        <v/>
      </c>
      <c r="J497" s="189">
        <f>J73+J116+J159+J202+J245+J288+J331+J374+J417+J460</f>
        <v/>
      </c>
      <c r="K497" s="189">
        <f>K73+K116+K159+K202+K245+K288+K331+K374+K417+K460</f>
        <v/>
      </c>
      <c r="L497" s="189">
        <f>L73+L116+L159+L202+L245+L288+L331+L374+L417+L460</f>
        <v/>
      </c>
      <c r="M497" s="189">
        <f>M73+M116+M159+M202+M245+M288+M331+M374+M417+M460</f>
        <v/>
      </c>
      <c r="N497" s="189">
        <f>N73+N116+N159+N202+N245+N288+N331+N374+N417+N460</f>
        <v/>
      </c>
      <c r="O497" s="189">
        <f>O73+O116+O159+O202+O245+O288+O331+O374+O417+O460</f>
        <v/>
      </c>
      <c r="P497" s="189">
        <f>P73+P116+P159+P202+P245+P288+P331+P374+P417+P460</f>
        <v/>
      </c>
      <c r="Q497" s="189">
        <f>Q73+Q116+Q159+Q202+Q245+Q288+Q331+Q374+Q417+Q460</f>
        <v/>
      </c>
      <c r="R497" s="189">
        <f>R73+R116+R159+R202+R245+R288+R331+R374+R417+R460</f>
        <v/>
      </c>
      <c r="S497" s="189">
        <f>S73+S116+S159+S202+S245+S288+S331+S374+S417+S460</f>
        <v/>
      </c>
      <c r="T497" s="189">
        <f>T73+T116+T159+T202+T245+T288+T331+T374+T417+T460</f>
        <v/>
      </c>
      <c r="U497" s="189">
        <f>U73+U116+U159+U202+U245+U288+U331+U374+U417+U460</f>
        <v/>
      </c>
      <c r="V497" s="189">
        <f>V73+V116+V159+V202+V245+V288+V331+V374+V417+V460</f>
        <v/>
      </c>
      <c r="W497" s="189">
        <f>W73+W116+W159+W202+W245+W288+W331+W374+W417+W460</f>
        <v/>
      </c>
      <c r="X497" s="189">
        <f>X73+X116+X159+X202+X245+X288+X331+X374+X417+X460</f>
        <v/>
      </c>
      <c r="Y497" s="189">
        <f>Y73+Y116+Y159+Y202+Y245+Y288+Y331+Y374+Y417+Y460</f>
        <v/>
      </c>
      <c r="Z497" s="189">
        <f>Z73+Z116+Z159+Z202+Z245+Z288+Z331+Z374+Z417+Z460</f>
        <v/>
      </c>
      <c r="AA497" s="189">
        <f>AA73+AA116+AA159+AA202+AA245+AA288+AA331+AA374+AA417+AA460</f>
        <v/>
      </c>
      <c r="AB497" s="189">
        <f>AB73+AB116+AB159+AB202+AB245+AB288+AB331+AB374+AB417+AB460</f>
        <v/>
      </c>
      <c r="AC497" s="189">
        <f>AC73+AC116+AC159+AC202+AC245+AC288+AC331+AC374+AC417+AC460</f>
        <v/>
      </c>
      <c r="AD497" s="189">
        <f>AD73+AD116+AD159+AD202+AD245+AD288+AD331+AD374+AD417+AD460</f>
        <v/>
      </c>
      <c r="AE497" s="189">
        <f>AE73+AE116+AE159+AE202+AE245+AE288+AE331+AE374+AE417+AE460</f>
        <v/>
      </c>
      <c r="AF497" s="10">
        <f>AF73+AF116+AF159+AF202+AF245+AF288+AF331+AF374+AF417+AF460</f>
        <v/>
      </c>
      <c r="AG497" s="189">
        <f>AG73+AG116+AG159+AG202+AG245+AG288+AG331+AG374+AG417+AG460</f>
        <v/>
      </c>
      <c r="AH497" s="189">
        <f>AH73+AH116+AH159+AH202+AH245+AH288+AH331+AH374+AH417+AH460</f>
        <v/>
      </c>
      <c r="AI497" s="51" t="inlineStr">
        <is>
          <t>U11X</t>
        </is>
      </c>
    </row>
    <row r="498">
      <c r="B498" s="189">
        <f>B74+B117+B160+B203+B246+B289+B332+B375+B418+B461</f>
        <v/>
      </c>
      <c r="C498" s="189">
        <f>C74+C117+C160+C203+C246+C289+C332+C375+C418+C461</f>
        <v/>
      </c>
      <c r="D498" s="189">
        <f>D74+D117+D160+D203+D246+D289+D332+D375+D418+D461</f>
        <v/>
      </c>
      <c r="E498" s="189">
        <f>E74+E117+E160+E203+E246+E289+E332+E375+E418+E461</f>
        <v/>
      </c>
      <c r="F498" s="189">
        <f>F74+F117+F160+F203+F246+F289+F332+F375+F418+F461</f>
        <v/>
      </c>
      <c r="G498" s="189">
        <f>G74+G117+G160+G203+G246+G289+G332+G375+G418+G461</f>
        <v/>
      </c>
      <c r="H498" s="189">
        <f>H74+H117+H160+H203+H246+H289+H332+H375+H418+H461</f>
        <v/>
      </c>
      <c r="I498" s="189">
        <f>I74+I117+I160+I203+I246+I289+I332+I375+I418+I461</f>
        <v/>
      </c>
      <c r="J498" s="189">
        <f>J74+J117+J160+J203+J246+J289+J332+J375+J418+J461</f>
        <v/>
      </c>
      <c r="K498" s="189">
        <f>K74+K117+K160+K203+K246+K289+K332+K375+K418+K461</f>
        <v/>
      </c>
      <c r="L498" s="189">
        <f>L74+L117+L160+L203+L246+L289+L332+L375+L418+L461</f>
        <v/>
      </c>
      <c r="M498" s="189">
        <f>M74+M117+M160+M203+M246+M289+M332+M375+M418+M461</f>
        <v/>
      </c>
      <c r="N498" s="189">
        <f>N74+N117+N160+N203+N246+N289+N332+N375+N418+N461</f>
        <v/>
      </c>
      <c r="O498" s="189">
        <f>O74+O117+O160+O203+O246+O289+O332+O375+O418+O461</f>
        <v/>
      </c>
      <c r="P498" s="189">
        <f>P74+P117+P160+P203+P246+P289+P332+P375+P418+P461</f>
        <v/>
      </c>
      <c r="Q498" s="189">
        <f>Q74+Q117+Q160+Q203+Q246+Q289+Q332+Q375+Q418+Q461</f>
        <v/>
      </c>
      <c r="R498" s="189">
        <f>R74+R117+R160+R203+R246+R289+R332+R375+R418+R461</f>
        <v/>
      </c>
      <c r="S498" s="189">
        <f>S74+S117+S160+S203+S246+S289+S332+S375+S418+S461</f>
        <v/>
      </c>
      <c r="T498" s="189">
        <f>T74+T117+T160+T203+T246+T289+T332+T375+T418+T461</f>
        <v/>
      </c>
      <c r="U498" s="189">
        <f>U74+U117+U160+U203+U246+U289+U332+U375+U418+U461</f>
        <v/>
      </c>
      <c r="V498" s="189">
        <f>V74+V117+V160+V203+V246+V289+V332+V375+V418+V461</f>
        <v/>
      </c>
      <c r="W498" s="189">
        <f>W74+W117+W160+W203+W246+W289+W332+W375+W418+W461</f>
        <v/>
      </c>
      <c r="X498" s="189">
        <f>X74+X117+X160+X203+X246+X289+X332+X375+X418+X461</f>
        <v/>
      </c>
      <c r="Y498" s="189">
        <f>Y74+Y117+Y160+Y203+Y246+Y289+Y332+Y375+Y418+Y461</f>
        <v/>
      </c>
      <c r="Z498" s="189">
        <f>Z74+Z117+Z160+Z203+Z246+Z289+Z332+Z375+Z418+Z461</f>
        <v/>
      </c>
      <c r="AA498" s="189">
        <f>AA74+AA117+AA160+AA203+AA246+AA289+AA332+AA375+AA418+AA461</f>
        <v/>
      </c>
      <c r="AB498" s="189">
        <f>AB74+AB117+AB160+AB203+AB246+AB289+AB332+AB375+AB418+AB461</f>
        <v/>
      </c>
      <c r="AC498" s="189">
        <f>AC74+AC117+AC160+AC203+AC246+AC289+AC332+AC375+AC418+AC461</f>
        <v/>
      </c>
      <c r="AD498" s="189">
        <f>AD74+AD117+AD160+AD203+AD246+AD289+AD332+AD375+AD418+AD461</f>
        <v/>
      </c>
      <c r="AE498" s="189">
        <f>AE74+AE117+AE160+AE203+AE246+AE289+AE332+AE375+AE418+AE461</f>
        <v/>
      </c>
      <c r="AF498" s="189">
        <f>AF74+AF117+AF160+AF203+AF246+AF289+AF332+AF375+AF418+AF461</f>
        <v/>
      </c>
      <c r="AG498" s="10">
        <f>AG74+AG117+AG160+AG203+AG246+AG289+AG332+AG375+AG418+AG461</f>
        <v/>
      </c>
      <c r="AH498" s="189">
        <f>AH74+AH117+AH160+AH203+AH246+AH289+AH332+AH375+AH418+AH461</f>
        <v/>
      </c>
      <c r="AI498" s="51" t="inlineStr">
        <is>
          <t>U11Y</t>
        </is>
      </c>
    </row>
    <row r="499">
      <c r="B499" s="189">
        <f>B75+B118+B161+B204+B247+B290+B333+B376+B419+B462</f>
        <v/>
      </c>
      <c r="C499" s="189">
        <f>C75+C118+C161+C204+C247+C290+C333+C376+C419+C462</f>
        <v/>
      </c>
      <c r="D499" s="189">
        <f>D75+D118+D161+D204+D247+D290+D333+D376+D419+D462</f>
        <v/>
      </c>
      <c r="E499" s="189">
        <f>E75+E118+E161+E204+E247+E290+E333+E376+E419+E462</f>
        <v/>
      </c>
      <c r="F499" s="189">
        <f>F75+F118+F161+F204+F247+F290+F333+F376+F419+F462</f>
        <v/>
      </c>
      <c r="G499" s="189">
        <f>G75+G118+G161+G204+G247+G290+G333+G376+G419+G462</f>
        <v/>
      </c>
      <c r="H499" s="189">
        <f>H75+H118+H161+H204+H247+H290+H333+H376+H419+H462</f>
        <v/>
      </c>
      <c r="I499" s="189">
        <f>I75+I118+I161+I204+I247+I290+I333+I376+I419+I462</f>
        <v/>
      </c>
      <c r="J499" s="189">
        <f>J75+J118+J161+J204+J247+J290+J333+J376+J419+J462</f>
        <v/>
      </c>
      <c r="K499" s="189">
        <f>K75+K118+K161+K204+K247+K290+K333+K376+K419+K462</f>
        <v/>
      </c>
      <c r="L499" s="189">
        <f>L75+L118+L161+L204+L247+L290+L333+L376+L419+L462</f>
        <v/>
      </c>
      <c r="M499" s="189">
        <f>M75+M118+M161+M204+M247+M290+M333+M376+M419+M462</f>
        <v/>
      </c>
      <c r="N499" s="189">
        <f>N75+N118+N161+N204+N247+N290+N333+N376+N419+N462</f>
        <v/>
      </c>
      <c r="O499" s="189">
        <f>O75+O118+O161+O204+O247+O290+O333+O376+O419+O462</f>
        <v/>
      </c>
      <c r="P499" s="189">
        <f>P75+P118+P161+P204+P247+P290+P333+P376+P419+P462</f>
        <v/>
      </c>
      <c r="Q499" s="189">
        <f>Q75+Q118+Q161+Q204+Q247+Q290+Q333+Q376+Q419+Q462</f>
        <v/>
      </c>
      <c r="R499" s="189">
        <f>R75+R118+R161+R204+R247+R290+R333+R376+R419+R462</f>
        <v/>
      </c>
      <c r="S499" s="189">
        <f>S75+S118+S161+S204+S247+S290+S333+S376+S419+S462</f>
        <v/>
      </c>
      <c r="T499" s="189">
        <f>T75+T118+T161+T204+T247+T290+T333+T376+T419+T462</f>
        <v/>
      </c>
      <c r="U499" s="189">
        <f>U75+U118+U161+U204+U247+U290+U333+U376+U419+U462</f>
        <v/>
      </c>
      <c r="V499" s="189">
        <f>V75+V118+V161+V204+V247+V290+V333+V376+V419+V462</f>
        <v/>
      </c>
      <c r="W499" s="189">
        <f>W75+W118+W161+W204+W247+W290+W333+W376+W419+W462</f>
        <v/>
      </c>
      <c r="X499" s="189">
        <f>X75+X118+X161+X204+X247+X290+X333+X376+X419+X462</f>
        <v/>
      </c>
      <c r="Y499" s="189">
        <f>Y75+Y118+Y161+Y204+Y247+Y290+Y333+Y376+Y419+Y462</f>
        <v/>
      </c>
      <c r="Z499" s="189">
        <f>Z75+Z118+Z161+Z204+Z247+Z290+Z333+Z376+Z419+Z462</f>
        <v/>
      </c>
      <c r="AA499" s="189">
        <f>AA75+AA118+AA161+AA204+AA247+AA290+AA333+AA376+AA419+AA462</f>
        <v/>
      </c>
      <c r="AB499" s="189">
        <f>AB75+AB118+AB161+AB204+AB247+AB290+AB333+AB376+AB419+AB462</f>
        <v/>
      </c>
      <c r="AC499" s="189">
        <f>AC75+AC118+AC161+AC204+AC247+AC290+AC333+AC376+AC419+AC462</f>
        <v/>
      </c>
      <c r="AD499" s="189">
        <f>AD75+AD118+AD161+AD204+AD247+AD290+AD333+AD376+AD419+AD462</f>
        <v/>
      </c>
      <c r="AE499" s="189">
        <f>AE75+AE118+AE161+AE204+AE247+AE290+AE333+AE376+AE419+AE462</f>
        <v/>
      </c>
      <c r="AF499" s="189">
        <f>AF75+AF118+AF161+AF204+AF247+AF290+AF333+AF376+AF419+AF462</f>
        <v/>
      </c>
      <c r="AG499" s="189">
        <f>AG75+AG118+AG161+AG204+AG247+AG290+AG333+AG376+AG419+AG462</f>
        <v/>
      </c>
      <c r="AH499" s="10">
        <f>AH75+AH118+AH161+AH204+AH247+AH290+AH333+AH376+AH419+AH462</f>
        <v/>
      </c>
      <c r="AI499" s="51" t="inlineStr">
        <is>
          <t>U11θ</t>
        </is>
      </c>
    </row>
    <row r="502">
      <c r="B502" s="53" t="inlineStr">
        <is>
          <t>VECTORES DE CARGAS GLOBALES {C} Y CONDICIONES DE FRONTERA / DESPLAZAMIENTOS {D}</t>
        </is>
      </c>
      <c r="C502" s="190" t="n"/>
      <c r="D502" s="190" t="n"/>
      <c r="E502" s="190" t="n"/>
      <c r="F502" s="190" t="n"/>
      <c r="G502" s="190" t="n"/>
      <c r="H502" s="190" t="n"/>
      <c r="I502" s="190" t="n"/>
      <c r="J502" s="190" t="n"/>
      <c r="K502" s="190" t="n"/>
      <c r="L502" s="190" t="n"/>
      <c r="M502" s="190" t="n"/>
      <c r="N502" s="190" t="n"/>
      <c r="O502" s="190" t="n"/>
      <c r="P502" s="190" t="n"/>
      <c r="Q502" s="190" t="n"/>
      <c r="R502" s="190" t="n"/>
      <c r="S502" s="190" t="n"/>
      <c r="T502" s="190" t="n"/>
      <c r="U502" s="190" t="n"/>
      <c r="V502" s="190" t="n"/>
      <c r="W502" s="190" t="n"/>
      <c r="X502" s="190" t="n"/>
      <c r="Y502" s="190" t="n"/>
      <c r="Z502" s="190" t="n"/>
      <c r="AA502" s="190" t="n"/>
      <c r="AB502" s="190" t="n"/>
      <c r="AC502" s="190" t="n"/>
      <c r="AD502" s="190" t="n"/>
      <c r="AE502" s="190" t="n"/>
      <c r="AF502" s="190" t="n"/>
      <c r="AG502" s="190" t="n"/>
      <c r="AH502" s="191" t="n"/>
    </row>
    <row r="503" ht="15" customHeight="1" s="183" thickBot="1">
      <c r="B503" s="57" t="inlineStr">
        <is>
          <t>VECTOR DE CARGAS {C}</t>
        </is>
      </c>
      <c r="H503" s="57" t="inlineStr">
        <is>
          <t>VECTOR DE DESPLAZAMIENTOS {D}</t>
        </is>
      </c>
      <c r="N503" s="58" t="inlineStr">
        <is>
          <t>Condición GDL</t>
        </is>
      </c>
    </row>
    <row r="504">
      <c r="B504" s="91" t="inlineStr">
        <is>
          <t>C1X</t>
        </is>
      </c>
      <c r="C504" s="97" t="inlineStr">
        <is>
          <t>U1X</t>
        </is>
      </c>
      <c r="D504" s="98" t="inlineStr">
        <is>
          <t>=</t>
        </is>
      </c>
      <c r="E504" s="99" t="inlineStr">
        <is>
          <t>C1X</t>
        </is>
      </c>
      <c r="F504" s="100" t="inlineStr">
        <is>
          <t>U1X</t>
        </is>
      </c>
      <c r="G504" s="101" t="n"/>
      <c r="H504" s="102" t="inlineStr">
        <is>
          <t>D1X</t>
        </is>
      </c>
      <c r="I504" s="100" t="inlineStr">
        <is>
          <t>U1X</t>
        </is>
      </c>
      <c r="J504" s="98" t="inlineStr">
        <is>
          <t>=</t>
        </is>
      </c>
      <c r="K504" s="103" t="n">
        <v>0</v>
      </c>
      <c r="L504" s="104" t="inlineStr">
        <is>
          <t>U1X</t>
        </is>
      </c>
      <c r="N504" s="186">
        <f>IF(OR($G$4=0, 1&gt;$G$4), "RESTRINGIDO", IF(ISNUMBER(K504), IF(K504=0, "RESTRINGIDO", "LIBRE"), "LIBRE"))</f>
        <v/>
      </c>
    </row>
    <row r="505">
      <c r="B505" s="91" t="inlineStr">
        <is>
          <t>C1Y</t>
        </is>
      </c>
      <c r="C505" s="105" t="inlineStr">
        <is>
          <t>U1Y</t>
        </is>
      </c>
      <c r="D505" s="187" t="inlineStr">
        <is>
          <t>=</t>
        </is>
      </c>
      <c r="E505" s="13" t="inlineStr">
        <is>
          <t>C1Y-400</t>
        </is>
      </c>
      <c r="F505" s="12" t="inlineStr">
        <is>
          <t>U1Y</t>
        </is>
      </c>
      <c r="H505" s="11" t="inlineStr">
        <is>
          <t>D1Y</t>
        </is>
      </c>
      <c r="I505" s="12" t="inlineStr">
        <is>
          <t>U1Y</t>
        </is>
      </c>
      <c r="J505" s="187" t="inlineStr">
        <is>
          <t>=</t>
        </is>
      </c>
      <c r="K505" s="14" t="n">
        <v>0</v>
      </c>
      <c r="L505" s="107" t="inlineStr">
        <is>
          <t>U1Y</t>
        </is>
      </c>
      <c r="N505" s="186">
        <f>IF(OR($G$4=0, 1&gt;$G$4), "RESTRINGIDO", IF(ISNUMBER(K505), IF(K505=0, "RESTRINGIDO", "LIBRE"), "LIBRE"))</f>
        <v/>
      </c>
    </row>
    <row r="506">
      <c r="B506" s="91" t="inlineStr">
        <is>
          <t>C1θ</t>
        </is>
      </c>
      <c r="C506" s="105" t="inlineStr">
        <is>
          <t>U1θ</t>
        </is>
      </c>
      <c r="D506" s="187" t="inlineStr">
        <is>
          <t>=</t>
        </is>
      </c>
      <c r="E506" s="13">
        <f>-P508</f>
        <v/>
      </c>
      <c r="F506" s="12" t="inlineStr">
        <is>
          <t>U1θ</t>
        </is>
      </c>
      <c r="H506" s="11" t="inlineStr">
        <is>
          <t>D1θ</t>
        </is>
      </c>
      <c r="I506" s="12" t="inlineStr">
        <is>
          <t>U1θ</t>
        </is>
      </c>
      <c r="J506" s="187" t="inlineStr">
        <is>
          <t>=</t>
        </is>
      </c>
      <c r="K506" s="14">
        <f>H506</f>
        <v/>
      </c>
      <c r="L506" s="107" t="inlineStr">
        <is>
          <t>U1θ</t>
        </is>
      </c>
      <c r="N506" s="186">
        <f>IF(OR($G$4=0, 1&gt;$G$4), "RESTRINGIDO", IF(ISNUMBER(K506), IF(K506=0, "RESTRINGIDO", "LIBRE"), "LIBRE"))</f>
        <v/>
      </c>
    </row>
    <row r="507">
      <c r="B507" s="91" t="inlineStr">
        <is>
          <t>C2X</t>
        </is>
      </c>
      <c r="C507" s="105" t="inlineStr">
        <is>
          <t>U2X</t>
        </is>
      </c>
      <c r="D507" s="187" t="inlineStr">
        <is>
          <t>=</t>
        </is>
      </c>
      <c r="E507" s="13" t="n">
        <v>0</v>
      </c>
      <c r="F507" s="12" t="inlineStr">
        <is>
          <t>U2X</t>
        </is>
      </c>
      <c r="H507" s="11" t="inlineStr">
        <is>
          <t>D2X</t>
        </is>
      </c>
      <c r="I507" s="12" t="inlineStr">
        <is>
          <t>U2X</t>
        </is>
      </c>
      <c r="J507" s="187" t="inlineStr">
        <is>
          <t>=</t>
        </is>
      </c>
      <c r="K507" s="14">
        <f>H507</f>
        <v/>
      </c>
      <c r="L507" s="107" t="inlineStr">
        <is>
          <t>U2X</t>
        </is>
      </c>
      <c r="N507" s="186">
        <f>IF(OR($G$4=0, 2&gt;$G$4), "RESTRINGIDO", IF(ISNUMBER(K507), IF(K507=0, "RESTRINGIDO", "LIBRE"), "LIBRE"))</f>
        <v/>
      </c>
      <c r="P507">
        <f>(4*200)/2</f>
        <v/>
      </c>
      <c r="R507">
        <f>(4*300)/2</f>
        <v/>
      </c>
    </row>
    <row r="508">
      <c r="B508" s="91" t="inlineStr">
        <is>
          <t>C2Y</t>
        </is>
      </c>
      <c r="C508" s="105" t="inlineStr">
        <is>
          <t>U2Y</t>
        </is>
      </c>
      <c r="D508" s="187" t="inlineStr">
        <is>
          <t>=</t>
        </is>
      </c>
      <c r="E508" s="13">
        <f>-(1000+P510)</f>
        <v/>
      </c>
      <c r="F508" s="12" t="inlineStr">
        <is>
          <t>U2Y</t>
        </is>
      </c>
      <c r="H508" s="11" t="inlineStr">
        <is>
          <t>D2Y</t>
        </is>
      </c>
      <c r="I508" s="12" t="inlineStr">
        <is>
          <t>U2Y</t>
        </is>
      </c>
      <c r="J508" s="187" t="inlineStr">
        <is>
          <t>=</t>
        </is>
      </c>
      <c r="K508" s="14">
        <f>H508</f>
        <v/>
      </c>
      <c r="L508" s="107" t="inlineStr">
        <is>
          <t>U2Y</t>
        </is>
      </c>
      <c r="N508" s="186">
        <f>IF(OR($G$4=0, 2&gt;$G$4), "RESTRINGIDO", IF(ISNUMBER(K508), IF(K508=0, "RESTRINGIDO", "LIBRE"), "LIBRE"))</f>
        <v/>
      </c>
      <c r="P508">
        <f>(4*200^2)/12</f>
        <v/>
      </c>
      <c r="R508">
        <f>(4*300^2)/12</f>
        <v/>
      </c>
    </row>
    <row r="509">
      <c r="B509" s="91" t="inlineStr">
        <is>
          <t>C2θ</t>
        </is>
      </c>
      <c r="C509" s="105" t="inlineStr">
        <is>
          <t>U2θ</t>
        </is>
      </c>
      <c r="D509" s="187" t="inlineStr">
        <is>
          <t>=</t>
        </is>
      </c>
      <c r="E509" s="13">
        <f>P508-R508</f>
        <v/>
      </c>
      <c r="F509" s="12" t="inlineStr">
        <is>
          <t>U2θ</t>
        </is>
      </c>
      <c r="H509" s="11" t="inlineStr">
        <is>
          <t>D2θ</t>
        </is>
      </c>
      <c r="I509" s="12" t="inlineStr">
        <is>
          <t>U2θ</t>
        </is>
      </c>
      <c r="J509" s="187" t="inlineStr">
        <is>
          <t>=</t>
        </is>
      </c>
      <c r="K509" s="14">
        <f>H509</f>
        <v/>
      </c>
      <c r="L509" s="107" t="inlineStr">
        <is>
          <t>U2θ</t>
        </is>
      </c>
      <c r="N509" s="186">
        <f>IF(OR($G$4=0, 2&gt;$G$4), "RESTRINGIDO", IF(ISNUMBER(K509), IF(K509=0, "RESTRINGIDO", "LIBRE"), "LIBRE"))</f>
        <v/>
      </c>
    </row>
    <row r="510">
      <c r="B510" s="91" t="inlineStr">
        <is>
          <t>C3X</t>
        </is>
      </c>
      <c r="C510" s="105" t="inlineStr">
        <is>
          <t>U3X</t>
        </is>
      </c>
      <c r="D510" s="187" t="inlineStr">
        <is>
          <t>=</t>
        </is>
      </c>
      <c r="E510" s="13">
        <f>B510</f>
        <v/>
      </c>
      <c r="F510" s="12" t="inlineStr">
        <is>
          <t>U3X</t>
        </is>
      </c>
      <c r="H510" s="11" t="inlineStr">
        <is>
          <t>D3X</t>
        </is>
      </c>
      <c r="I510" s="12" t="inlineStr">
        <is>
          <t>U3X</t>
        </is>
      </c>
      <c r="J510" s="187" t="inlineStr">
        <is>
          <t>=</t>
        </is>
      </c>
      <c r="K510" s="14" t="n">
        <v>0</v>
      </c>
      <c r="L510" s="107" t="inlineStr">
        <is>
          <t>U3X</t>
        </is>
      </c>
      <c r="N510" s="186">
        <f>IF(OR($G$4=0, 3&gt;$G$4), "RESTRINGIDO", IF(ISNUMBER(K510), IF(K510=0, "RESTRINGIDO", "LIBRE"), "LIBRE"))</f>
        <v/>
      </c>
      <c r="P510">
        <f>P507+R507</f>
        <v/>
      </c>
    </row>
    <row r="511">
      <c r="B511" s="91" t="inlineStr">
        <is>
          <t>C3Y</t>
        </is>
      </c>
      <c r="C511" s="105" t="inlineStr">
        <is>
          <t>U3Y</t>
        </is>
      </c>
      <c r="D511" s="187" t="inlineStr">
        <is>
          <t>=</t>
        </is>
      </c>
      <c r="E511" s="13" t="inlineStr">
        <is>
          <t>C3Y-600</t>
        </is>
      </c>
      <c r="F511" s="12" t="inlineStr">
        <is>
          <t>U3Y</t>
        </is>
      </c>
      <c r="H511" s="11" t="inlineStr">
        <is>
          <t>D3Y</t>
        </is>
      </c>
      <c r="I511" s="12" t="inlineStr">
        <is>
          <t>U3Y</t>
        </is>
      </c>
      <c r="J511" s="187" t="inlineStr">
        <is>
          <t>=</t>
        </is>
      </c>
      <c r="K511" s="14" t="n">
        <v>0</v>
      </c>
      <c r="L511" s="107" t="inlineStr">
        <is>
          <t>U3Y</t>
        </is>
      </c>
      <c r="N511" s="186">
        <f>IF(OR($G$4=0, 3&gt;$G$4), "RESTRINGIDO", IF(ISNUMBER(K511), IF(K511=0, "RESTRINGIDO", "LIBRE"), "LIBRE"))</f>
        <v/>
      </c>
    </row>
    <row r="512">
      <c r="B512" s="91" t="inlineStr">
        <is>
          <t>C3θ</t>
        </is>
      </c>
      <c r="C512" s="105" t="inlineStr">
        <is>
          <t>U3θ</t>
        </is>
      </c>
      <c r="D512" s="187" t="inlineStr">
        <is>
          <t>=</t>
        </is>
      </c>
      <c r="E512" s="13">
        <f>R508</f>
        <v/>
      </c>
      <c r="F512" s="12" t="inlineStr">
        <is>
          <t>U3θ</t>
        </is>
      </c>
      <c r="H512" s="11" t="inlineStr">
        <is>
          <t>D3θ</t>
        </is>
      </c>
      <c r="I512" s="12" t="inlineStr">
        <is>
          <t>U3θ</t>
        </is>
      </c>
      <c r="J512" s="187" t="inlineStr">
        <is>
          <t>=</t>
        </is>
      </c>
      <c r="K512" s="14">
        <f>H512</f>
        <v/>
      </c>
      <c r="L512" s="107" t="inlineStr">
        <is>
          <t>U3θ</t>
        </is>
      </c>
      <c r="N512" s="186">
        <f>IF(OR($G$4=0, 3&gt;$G$4), "RESTRINGIDO", IF(ISNUMBER(K512), IF(K512=0, "RESTRINGIDO", "LIBRE"), "LIBRE"))</f>
        <v/>
      </c>
    </row>
    <row r="513">
      <c r="B513" s="91" t="inlineStr">
        <is>
          <t>C4X</t>
        </is>
      </c>
      <c r="C513" s="105" t="inlineStr">
        <is>
          <t>U4X</t>
        </is>
      </c>
      <c r="D513" s="187" t="inlineStr">
        <is>
          <t>=</t>
        </is>
      </c>
      <c r="E513" s="13" t="n">
        <v>0</v>
      </c>
      <c r="F513" s="12" t="inlineStr">
        <is>
          <t>U4X</t>
        </is>
      </c>
      <c r="H513" s="11" t="inlineStr">
        <is>
          <t>D4X</t>
        </is>
      </c>
      <c r="I513" s="12" t="inlineStr">
        <is>
          <t>U4X</t>
        </is>
      </c>
      <c r="J513" s="187" t="inlineStr">
        <is>
          <t>=</t>
        </is>
      </c>
      <c r="K513" s="14">
        <f>H513</f>
        <v/>
      </c>
      <c r="L513" s="107" t="inlineStr">
        <is>
          <t>U4X</t>
        </is>
      </c>
      <c r="N513" s="186">
        <f>IF(OR($G$4=0, 4&gt;$G$4), "RESTRINGIDO", IF(ISNUMBER(K513), IF(K513=0, "RESTRINGIDO", "LIBRE"), "LIBRE"))</f>
        <v/>
      </c>
    </row>
    <row r="514">
      <c r="B514" s="91" t="inlineStr">
        <is>
          <t>C4Y</t>
        </is>
      </c>
      <c r="C514" s="105" t="inlineStr">
        <is>
          <t>U4Y</t>
        </is>
      </c>
      <c r="D514" s="187" t="inlineStr">
        <is>
          <t>=</t>
        </is>
      </c>
      <c r="E514" s="13" t="n">
        <v>-2000</v>
      </c>
      <c r="F514" s="12" t="inlineStr">
        <is>
          <t>U4Y</t>
        </is>
      </c>
      <c r="H514" s="11" t="inlineStr">
        <is>
          <t>D4Y</t>
        </is>
      </c>
      <c r="I514" s="12" t="inlineStr">
        <is>
          <t>U4Y</t>
        </is>
      </c>
      <c r="J514" s="187" t="inlineStr">
        <is>
          <t>=</t>
        </is>
      </c>
      <c r="K514" s="14">
        <f>H514</f>
        <v/>
      </c>
      <c r="L514" s="107" t="inlineStr">
        <is>
          <t>U4Y</t>
        </is>
      </c>
      <c r="N514" s="186">
        <f>IF(OR($G$4=0, 4&gt;$G$4), "RESTRINGIDO", IF(ISNUMBER(K514), IF(K514=0, "RESTRINGIDO", "LIBRE"), "LIBRE"))</f>
        <v/>
      </c>
    </row>
    <row r="515">
      <c r="B515" s="91" t="inlineStr">
        <is>
          <t>C4θ</t>
        </is>
      </c>
      <c r="C515" s="105" t="inlineStr">
        <is>
          <t>U4θ</t>
        </is>
      </c>
      <c r="D515" s="187" t="inlineStr">
        <is>
          <t>=</t>
        </is>
      </c>
      <c r="E515" s="13" t="n">
        <v>0</v>
      </c>
      <c r="F515" s="12" t="inlineStr">
        <is>
          <t>U4θ</t>
        </is>
      </c>
      <c r="H515" s="11" t="inlineStr">
        <is>
          <t>D4θ</t>
        </is>
      </c>
      <c r="I515" s="12" t="inlineStr">
        <is>
          <t>U4θ</t>
        </is>
      </c>
      <c r="J515" s="187" t="inlineStr">
        <is>
          <t>=</t>
        </is>
      </c>
      <c r="K515" s="14">
        <f>H515</f>
        <v/>
      </c>
      <c r="L515" s="107" t="inlineStr">
        <is>
          <t>U4θ</t>
        </is>
      </c>
      <c r="N515" s="186">
        <f>IF(OR($G$4=0, 4&gt;$G$4), "RESTRINGIDO", IF(ISNUMBER(K515), IF(K515=0, "RESTRINGIDO", "LIBRE"), "LIBRE"))</f>
        <v/>
      </c>
    </row>
    <row r="516">
      <c r="B516" s="91" t="inlineStr">
        <is>
          <t>C5X</t>
        </is>
      </c>
      <c r="C516" s="105" t="inlineStr">
        <is>
          <t>U5X</t>
        </is>
      </c>
      <c r="D516" s="187" t="inlineStr">
        <is>
          <t>=</t>
        </is>
      </c>
      <c r="E516" s="13" t="n">
        <v>0</v>
      </c>
      <c r="F516" s="12" t="inlineStr">
        <is>
          <t>U5X</t>
        </is>
      </c>
      <c r="H516" s="11" t="inlineStr">
        <is>
          <t>D5X</t>
        </is>
      </c>
      <c r="I516" s="12" t="inlineStr">
        <is>
          <t>U5X</t>
        </is>
      </c>
      <c r="J516" s="187" t="inlineStr">
        <is>
          <t>=</t>
        </is>
      </c>
      <c r="K516" s="14">
        <f>H516</f>
        <v/>
      </c>
      <c r="L516" s="107" t="inlineStr">
        <is>
          <t>U5X</t>
        </is>
      </c>
      <c r="N516" s="186">
        <f>IF(OR($G$4=0, 5&gt;$G$4), "RESTRINGIDO", IF(ISNUMBER(K516), IF(K516=0, "RESTRINGIDO", "LIBRE"), "LIBRE"))</f>
        <v/>
      </c>
    </row>
    <row r="517">
      <c r="B517" s="91" t="inlineStr">
        <is>
          <t>C5Y</t>
        </is>
      </c>
      <c r="C517" s="105" t="inlineStr">
        <is>
          <t>U5Y</t>
        </is>
      </c>
      <c r="D517" s="187" t="inlineStr">
        <is>
          <t>=</t>
        </is>
      </c>
      <c r="E517" s="13" t="n">
        <v>-3000</v>
      </c>
      <c r="F517" s="12" t="inlineStr">
        <is>
          <t>U5Y</t>
        </is>
      </c>
      <c r="H517" s="11" t="inlineStr">
        <is>
          <t>D5Y</t>
        </is>
      </c>
      <c r="I517" s="12" t="inlineStr">
        <is>
          <t>U5Y</t>
        </is>
      </c>
      <c r="J517" s="187" t="inlineStr">
        <is>
          <t>=</t>
        </is>
      </c>
      <c r="K517" s="14">
        <f>H517</f>
        <v/>
      </c>
      <c r="L517" s="107" t="inlineStr">
        <is>
          <t>U5Y</t>
        </is>
      </c>
      <c r="N517" s="186">
        <f>IF(OR($G$4=0, 5&gt;$G$4), "RESTRINGIDO", IF(ISNUMBER(K517), IF(K517=0, "RESTRINGIDO", "LIBRE"), "LIBRE"))</f>
        <v/>
      </c>
    </row>
    <row r="518">
      <c r="B518" s="91" t="inlineStr">
        <is>
          <t>C5θ</t>
        </is>
      </c>
      <c r="C518" s="105" t="inlineStr">
        <is>
          <t>U5θ</t>
        </is>
      </c>
      <c r="D518" s="187" t="inlineStr">
        <is>
          <t>=</t>
        </is>
      </c>
      <c r="E518" s="13" t="n">
        <v>0</v>
      </c>
      <c r="F518" s="12" t="inlineStr">
        <is>
          <t>U5θ</t>
        </is>
      </c>
      <c r="H518" s="11" t="inlineStr">
        <is>
          <t>D5θ</t>
        </is>
      </c>
      <c r="I518" s="12" t="inlineStr">
        <is>
          <t>U5θ</t>
        </is>
      </c>
      <c r="J518" s="187" t="inlineStr">
        <is>
          <t>=</t>
        </is>
      </c>
      <c r="K518" s="14">
        <f>H518</f>
        <v/>
      </c>
      <c r="L518" s="107" t="inlineStr">
        <is>
          <t>U5θ</t>
        </is>
      </c>
      <c r="N518" s="186">
        <f>IF(OR($G$4=0, 5&gt;$G$4), "RESTRINGIDO", IF(ISNUMBER(K518), IF(K518=0, "RESTRINGIDO", "LIBRE"), "LIBRE"))</f>
        <v/>
      </c>
    </row>
    <row r="519">
      <c r="B519" s="91" t="inlineStr">
        <is>
          <t>C6X</t>
        </is>
      </c>
      <c r="C519" s="105" t="inlineStr">
        <is>
          <t>U6X</t>
        </is>
      </c>
      <c r="D519" s="187" t="inlineStr">
        <is>
          <t>=</t>
        </is>
      </c>
      <c r="E519" s="13">
        <f>B519</f>
        <v/>
      </c>
      <c r="F519" s="12" t="inlineStr">
        <is>
          <t>U6X</t>
        </is>
      </c>
      <c r="H519" s="11" t="inlineStr">
        <is>
          <t>D6X</t>
        </is>
      </c>
      <c r="I519" s="12" t="inlineStr">
        <is>
          <t>U6X</t>
        </is>
      </c>
      <c r="J519" s="187" t="inlineStr">
        <is>
          <t>=</t>
        </is>
      </c>
      <c r="K519" s="14" t="n">
        <v>0</v>
      </c>
      <c r="L519" s="107" t="inlineStr">
        <is>
          <t>U6X</t>
        </is>
      </c>
      <c r="N519" s="186">
        <f>IF(OR($G$4=0, 6&gt;$G$4), "RESTRINGIDO", IF(ISNUMBER(K519), IF(K519=0, "RESTRINGIDO", "LIBRE"), "LIBRE"))</f>
        <v/>
      </c>
    </row>
    <row r="520">
      <c r="B520" s="91" t="inlineStr">
        <is>
          <t>C6Y</t>
        </is>
      </c>
      <c r="C520" s="105" t="inlineStr">
        <is>
          <t>U6Y</t>
        </is>
      </c>
      <c r="D520" s="187" t="inlineStr">
        <is>
          <t>=</t>
        </is>
      </c>
      <c r="E520" s="13">
        <f>B520</f>
        <v/>
      </c>
      <c r="F520" s="12" t="inlineStr">
        <is>
          <t>U6Y</t>
        </is>
      </c>
      <c r="H520" s="11" t="inlineStr">
        <is>
          <t>D6Y</t>
        </is>
      </c>
      <c r="I520" s="12" t="inlineStr">
        <is>
          <t>U6Y</t>
        </is>
      </c>
      <c r="J520" s="187" t="inlineStr">
        <is>
          <t>=</t>
        </is>
      </c>
      <c r="K520" s="14" t="n">
        <v>0</v>
      </c>
      <c r="L520" s="107" t="inlineStr">
        <is>
          <t>U6Y</t>
        </is>
      </c>
      <c r="N520" s="186">
        <f>IF(OR($G$4=0, 6&gt;$G$4), "RESTRINGIDO", IF(ISNUMBER(K520), IF(K520=0, "RESTRINGIDO", "LIBRE"), "LIBRE"))</f>
        <v/>
      </c>
    </row>
    <row r="521" ht="15" customHeight="1" s="183" thickBot="1">
      <c r="B521" s="91" t="inlineStr">
        <is>
          <t>C6θ</t>
        </is>
      </c>
      <c r="C521" s="108" t="inlineStr">
        <is>
          <t>U6θ</t>
        </is>
      </c>
      <c r="D521" s="109" t="inlineStr">
        <is>
          <t>=</t>
        </is>
      </c>
      <c r="E521" s="13">
        <f>B521</f>
        <v/>
      </c>
      <c r="F521" s="110" t="inlineStr">
        <is>
          <t>U6θ</t>
        </is>
      </c>
      <c r="G521" s="111" t="n"/>
      <c r="H521" s="112" t="inlineStr">
        <is>
          <t>D6θ</t>
        </is>
      </c>
      <c r="I521" s="110" t="inlineStr">
        <is>
          <t>U6θ</t>
        </is>
      </c>
      <c r="J521" s="109" t="inlineStr">
        <is>
          <t>=</t>
        </is>
      </c>
      <c r="K521" s="113">
        <f>H521</f>
        <v/>
      </c>
      <c r="L521" s="114" t="inlineStr">
        <is>
          <t>U6θ</t>
        </is>
      </c>
      <c r="N521" s="186">
        <f>IF(OR($G$4=0, 6&gt;$G$4), "RESTRINGIDO", IF(ISNUMBER(K521), IF(K521=0, "RESTRINGIDO", "LIBRE"), "LIBRE"))</f>
        <v/>
      </c>
    </row>
    <row r="522" hidden="1" s="183">
      <c r="B522" s="11" t="inlineStr">
        <is>
          <t>C7X</t>
        </is>
      </c>
      <c r="C522" s="92" t="inlineStr">
        <is>
          <t>U7X</t>
        </is>
      </c>
      <c r="D522" s="93" t="inlineStr">
        <is>
          <t>=</t>
        </is>
      </c>
      <c r="E522" s="94" t="n">
        <v>0</v>
      </c>
      <c r="F522" s="92" t="inlineStr">
        <is>
          <t>U7X</t>
        </is>
      </c>
      <c r="H522" s="95" t="inlineStr">
        <is>
          <t>D7X</t>
        </is>
      </c>
      <c r="I522" s="92" t="inlineStr">
        <is>
          <t>U7X</t>
        </is>
      </c>
      <c r="J522" s="93" t="inlineStr">
        <is>
          <t>=</t>
        </is>
      </c>
      <c r="K522" s="96">
        <f>H522</f>
        <v/>
      </c>
      <c r="L522" s="92" t="inlineStr">
        <is>
          <t>U7X</t>
        </is>
      </c>
      <c r="N522" s="186">
        <f>IF(OR($G$4=0, 7&gt;$G$4), "RESTRINGIDO", IF(ISNUMBER(K522), IF(K522=0, "RESTRINGIDO", "LIBRE"), "LIBRE"))</f>
        <v/>
      </c>
    </row>
    <row r="523" hidden="1" ht="26.4" customHeight="1" s="183">
      <c r="B523" s="11" t="inlineStr">
        <is>
          <t>C7Y</t>
        </is>
      </c>
      <c r="C523" s="12" t="inlineStr">
        <is>
          <t>U7Y</t>
        </is>
      </c>
      <c r="D523" s="187" t="inlineStr">
        <is>
          <t>=</t>
        </is>
      </c>
      <c r="E523" s="13" t="n">
        <v>0</v>
      </c>
      <c r="F523" s="12" t="inlineStr">
        <is>
          <t>U7Y</t>
        </is>
      </c>
      <c r="H523" s="11" t="inlineStr">
        <is>
          <t>D7Y</t>
        </is>
      </c>
      <c r="I523" s="12" t="inlineStr">
        <is>
          <t>U7Y</t>
        </is>
      </c>
      <c r="J523" s="187" t="inlineStr">
        <is>
          <t>=</t>
        </is>
      </c>
      <c r="K523" s="14">
        <f>H523</f>
        <v/>
      </c>
      <c r="L523" s="12" t="inlineStr">
        <is>
          <t>U7Y</t>
        </is>
      </c>
      <c r="N523" s="186">
        <f>IF(OR($G$4=0, 7&gt;$G$4), "RESTRINGIDO", IF(ISNUMBER(K523), IF(K523=0, "RESTRINGIDO", "LIBRE"), "LIBRE"))</f>
        <v/>
      </c>
    </row>
    <row r="524" hidden="1" ht="26.4" customHeight="1" s="183">
      <c r="B524" s="11" t="inlineStr">
        <is>
          <t>C7θ</t>
        </is>
      </c>
      <c r="C524" s="12" t="inlineStr">
        <is>
          <t>U7θ</t>
        </is>
      </c>
      <c r="D524" s="187" t="inlineStr">
        <is>
          <t>=</t>
        </is>
      </c>
      <c r="E524" s="13" t="n">
        <v>0</v>
      </c>
      <c r="F524" s="12" t="inlineStr">
        <is>
          <t>U7θ</t>
        </is>
      </c>
      <c r="H524" s="11" t="inlineStr">
        <is>
          <t>D7θ</t>
        </is>
      </c>
      <c r="I524" s="12" t="inlineStr">
        <is>
          <t>U7θ</t>
        </is>
      </c>
      <c r="J524" s="187" t="inlineStr">
        <is>
          <t>=</t>
        </is>
      </c>
      <c r="K524" s="14">
        <f>H524</f>
        <v/>
      </c>
      <c r="L524" s="12" t="inlineStr">
        <is>
          <t>U7θ</t>
        </is>
      </c>
      <c r="N524" s="186">
        <f>IF(OR($G$4=0, 7&gt;$G$4), "RESTRINGIDO", IF(ISNUMBER(K524), IF(K524=0, "RESTRINGIDO", "LIBRE"), "LIBRE"))</f>
        <v/>
      </c>
    </row>
    <row r="525" hidden="1" ht="26.4" customHeight="1" s="183">
      <c r="B525" s="11" t="inlineStr">
        <is>
          <t>C8X</t>
        </is>
      </c>
      <c r="C525" s="12" t="inlineStr">
        <is>
          <t>U8X</t>
        </is>
      </c>
      <c r="D525" s="187" t="inlineStr">
        <is>
          <t>=</t>
        </is>
      </c>
      <c r="E525" s="13" t="n">
        <v>0</v>
      </c>
      <c r="F525" s="12" t="inlineStr">
        <is>
          <t>U8X</t>
        </is>
      </c>
      <c r="H525" s="11" t="inlineStr">
        <is>
          <t>D8X</t>
        </is>
      </c>
      <c r="I525" s="12" t="inlineStr">
        <is>
          <t>U8X</t>
        </is>
      </c>
      <c r="J525" s="187" t="inlineStr">
        <is>
          <t>=</t>
        </is>
      </c>
      <c r="K525" s="14">
        <f>H525</f>
        <v/>
      </c>
      <c r="L525" s="12" t="inlineStr">
        <is>
          <t>U8X</t>
        </is>
      </c>
      <c r="N525" s="186">
        <f>IF(OR($G$4=0, 8&gt;$G$4), "RESTRINGIDO", IF(ISNUMBER(K525), IF(K525=0, "RESTRINGIDO", "LIBRE"), "LIBRE"))</f>
        <v/>
      </c>
    </row>
    <row r="526" hidden="1" ht="26.4" customHeight="1" s="183">
      <c r="B526" s="11" t="inlineStr">
        <is>
          <t>C8Y</t>
        </is>
      </c>
      <c r="C526" s="12" t="inlineStr">
        <is>
          <t>U8Y</t>
        </is>
      </c>
      <c r="D526" s="187" t="inlineStr">
        <is>
          <t>=</t>
        </is>
      </c>
      <c r="E526" s="13" t="n">
        <v>0</v>
      </c>
      <c r="F526" s="12" t="inlineStr">
        <is>
          <t>U8Y</t>
        </is>
      </c>
      <c r="H526" s="11" t="inlineStr">
        <is>
          <t>D8Y</t>
        </is>
      </c>
      <c r="I526" s="12" t="inlineStr">
        <is>
          <t>U8Y</t>
        </is>
      </c>
      <c r="J526" s="187" t="inlineStr">
        <is>
          <t>=</t>
        </is>
      </c>
      <c r="K526" s="14">
        <f>H526</f>
        <v/>
      </c>
      <c r="L526" s="12" t="inlineStr">
        <is>
          <t>U8Y</t>
        </is>
      </c>
      <c r="N526" s="186">
        <f>IF(OR($G$4=0, 8&gt;$G$4), "RESTRINGIDO", IF(ISNUMBER(K526), IF(K526=0, "RESTRINGIDO", "LIBRE"), "LIBRE"))</f>
        <v/>
      </c>
    </row>
    <row r="527" hidden="1" ht="26.4" customHeight="1" s="183">
      <c r="B527" s="11" t="inlineStr">
        <is>
          <t>C8θ</t>
        </is>
      </c>
      <c r="C527" s="12" t="inlineStr">
        <is>
          <t>U8θ</t>
        </is>
      </c>
      <c r="D527" s="187" t="inlineStr">
        <is>
          <t>=</t>
        </is>
      </c>
      <c r="E527" s="13" t="n">
        <v>0</v>
      </c>
      <c r="F527" s="12" t="inlineStr">
        <is>
          <t>U8θ</t>
        </is>
      </c>
      <c r="H527" s="11" t="inlineStr">
        <is>
          <t>D8θ</t>
        </is>
      </c>
      <c r="I527" s="12" t="inlineStr">
        <is>
          <t>U8θ</t>
        </is>
      </c>
      <c r="J527" s="187" t="inlineStr">
        <is>
          <t>=</t>
        </is>
      </c>
      <c r="K527" s="14">
        <f>H527</f>
        <v/>
      </c>
      <c r="L527" s="12" t="inlineStr">
        <is>
          <t>U8θ</t>
        </is>
      </c>
      <c r="N527" s="186">
        <f>IF(OR($G$4=0, 8&gt;$G$4), "RESTRINGIDO", IF(ISNUMBER(K527), IF(K527=0, "RESTRINGIDO", "LIBRE"), "LIBRE"))</f>
        <v/>
      </c>
    </row>
    <row r="528" hidden="1" ht="26.4" customHeight="1" s="183">
      <c r="B528" s="11" t="inlineStr">
        <is>
          <t>C9X</t>
        </is>
      </c>
      <c r="C528" s="12" t="inlineStr">
        <is>
          <t>U9X</t>
        </is>
      </c>
      <c r="D528" s="187" t="inlineStr">
        <is>
          <t>=</t>
        </is>
      </c>
      <c r="E528" s="13" t="n">
        <v>0</v>
      </c>
      <c r="F528" s="12" t="inlineStr">
        <is>
          <t>U9X</t>
        </is>
      </c>
      <c r="H528" s="11" t="inlineStr">
        <is>
          <t>D9X</t>
        </is>
      </c>
      <c r="I528" s="12" t="inlineStr">
        <is>
          <t>U9X</t>
        </is>
      </c>
      <c r="J528" s="187" t="inlineStr">
        <is>
          <t>=</t>
        </is>
      </c>
      <c r="K528" s="14">
        <f>H528</f>
        <v/>
      </c>
      <c r="L528" s="12" t="inlineStr">
        <is>
          <t>U9X</t>
        </is>
      </c>
      <c r="N528" s="186">
        <f>IF(OR($G$4=0, 9&gt;$G$4), "RESTRINGIDO", IF(ISNUMBER(K528), IF(K528=0, "RESTRINGIDO", "LIBRE"), "LIBRE"))</f>
        <v/>
      </c>
    </row>
    <row r="529" hidden="1" ht="26.4" customHeight="1" s="183">
      <c r="B529" s="11" t="inlineStr">
        <is>
          <t>C9Y</t>
        </is>
      </c>
      <c r="C529" s="12" t="inlineStr">
        <is>
          <t>U9Y</t>
        </is>
      </c>
      <c r="D529" s="187" t="inlineStr">
        <is>
          <t>=</t>
        </is>
      </c>
      <c r="E529" s="13" t="n">
        <v>0</v>
      </c>
      <c r="F529" s="12" t="inlineStr">
        <is>
          <t>U9Y</t>
        </is>
      </c>
      <c r="H529" s="11" t="inlineStr">
        <is>
          <t>D9Y</t>
        </is>
      </c>
      <c r="I529" s="12" t="inlineStr">
        <is>
          <t>U9Y</t>
        </is>
      </c>
      <c r="J529" s="187" t="inlineStr">
        <is>
          <t>=</t>
        </is>
      </c>
      <c r="K529" s="14">
        <f>H529</f>
        <v/>
      </c>
      <c r="L529" s="12" t="inlineStr">
        <is>
          <t>U9Y</t>
        </is>
      </c>
      <c r="N529" s="186">
        <f>IF(OR($G$4=0, 9&gt;$G$4), "RESTRINGIDO", IF(ISNUMBER(K529), IF(K529=0, "RESTRINGIDO", "LIBRE"), "LIBRE"))</f>
        <v/>
      </c>
    </row>
    <row r="530" hidden="1" ht="26.4" customHeight="1" s="183">
      <c r="B530" s="11" t="inlineStr">
        <is>
          <t>C9θ</t>
        </is>
      </c>
      <c r="C530" s="12" t="inlineStr">
        <is>
          <t>U9θ</t>
        </is>
      </c>
      <c r="D530" s="187" t="inlineStr">
        <is>
          <t>=</t>
        </is>
      </c>
      <c r="E530" s="13" t="n">
        <v>0</v>
      </c>
      <c r="F530" s="12" t="inlineStr">
        <is>
          <t>U9θ</t>
        </is>
      </c>
      <c r="H530" s="11" t="inlineStr">
        <is>
          <t>D9θ</t>
        </is>
      </c>
      <c r="I530" s="12" t="inlineStr">
        <is>
          <t>U9θ</t>
        </is>
      </c>
      <c r="J530" s="187" t="inlineStr">
        <is>
          <t>=</t>
        </is>
      </c>
      <c r="K530" s="14">
        <f>H530</f>
        <v/>
      </c>
      <c r="L530" s="12" t="inlineStr">
        <is>
          <t>U9θ</t>
        </is>
      </c>
      <c r="N530" s="186">
        <f>IF(OR($G$4=0, 9&gt;$G$4), "RESTRINGIDO", IF(ISNUMBER(K530), IF(K530=0, "RESTRINGIDO", "LIBRE"), "LIBRE"))</f>
        <v/>
      </c>
    </row>
    <row r="531" hidden="1" ht="26.4" customHeight="1" s="183">
      <c r="B531" s="11" t="inlineStr">
        <is>
          <t>C10X</t>
        </is>
      </c>
      <c r="C531" s="12" t="inlineStr">
        <is>
          <t>U10X</t>
        </is>
      </c>
      <c r="D531" s="187" t="inlineStr">
        <is>
          <t>=</t>
        </is>
      </c>
      <c r="E531" s="13" t="n">
        <v>0</v>
      </c>
      <c r="F531" s="12" t="inlineStr">
        <is>
          <t>U10X</t>
        </is>
      </c>
      <c r="H531" s="11" t="inlineStr">
        <is>
          <t>D10X</t>
        </is>
      </c>
      <c r="I531" s="12" t="inlineStr">
        <is>
          <t>U10X</t>
        </is>
      </c>
      <c r="J531" s="187" t="inlineStr">
        <is>
          <t>=</t>
        </is>
      </c>
      <c r="K531" s="14">
        <f>H531</f>
        <v/>
      </c>
      <c r="L531" s="12" t="inlineStr">
        <is>
          <t>U10X</t>
        </is>
      </c>
      <c r="N531" s="186">
        <f>IF(OR($G$4=0, 10&gt;$G$4), "RESTRINGIDO", IF(ISNUMBER(K531), IF(K531=0, "RESTRINGIDO", "LIBRE"), "LIBRE"))</f>
        <v/>
      </c>
    </row>
    <row r="532" hidden="1" ht="26.4" customHeight="1" s="183">
      <c r="B532" s="11" t="inlineStr">
        <is>
          <t>C10Y</t>
        </is>
      </c>
      <c r="C532" s="12" t="inlineStr">
        <is>
          <t>U10Y</t>
        </is>
      </c>
      <c r="D532" s="187" t="inlineStr">
        <is>
          <t>=</t>
        </is>
      </c>
      <c r="E532" s="13" t="n">
        <v>0</v>
      </c>
      <c r="F532" s="12" t="inlineStr">
        <is>
          <t>U10Y</t>
        </is>
      </c>
      <c r="H532" s="11" t="inlineStr">
        <is>
          <t>D10Y</t>
        </is>
      </c>
      <c r="I532" s="12" t="inlineStr">
        <is>
          <t>U10Y</t>
        </is>
      </c>
      <c r="J532" s="187" t="inlineStr">
        <is>
          <t>=</t>
        </is>
      </c>
      <c r="K532" s="14">
        <f>H532</f>
        <v/>
      </c>
      <c r="L532" s="12" t="inlineStr">
        <is>
          <t>U10Y</t>
        </is>
      </c>
      <c r="N532" s="186">
        <f>IF(OR($G$4=0, 10&gt;$G$4), "RESTRINGIDO", IF(ISNUMBER(K532), IF(K532=0, "RESTRINGIDO", "LIBRE"), "LIBRE"))</f>
        <v/>
      </c>
    </row>
    <row r="533" hidden="1" ht="26.4" customHeight="1" s="183">
      <c r="B533" s="11" t="inlineStr">
        <is>
          <t>C10θ</t>
        </is>
      </c>
      <c r="C533" s="12" t="inlineStr">
        <is>
          <t>U10θ</t>
        </is>
      </c>
      <c r="D533" s="187" t="inlineStr">
        <is>
          <t>=</t>
        </is>
      </c>
      <c r="E533" s="13" t="n">
        <v>0</v>
      </c>
      <c r="F533" s="12" t="inlineStr">
        <is>
          <t>U10θ</t>
        </is>
      </c>
      <c r="H533" s="11" t="inlineStr">
        <is>
          <t>D10θ</t>
        </is>
      </c>
      <c r="I533" s="12" t="inlineStr">
        <is>
          <t>U10θ</t>
        </is>
      </c>
      <c r="J533" s="187" t="inlineStr">
        <is>
          <t>=</t>
        </is>
      </c>
      <c r="K533" s="14">
        <f>H533</f>
        <v/>
      </c>
      <c r="L533" s="12" t="inlineStr">
        <is>
          <t>U10θ</t>
        </is>
      </c>
      <c r="N533" s="186">
        <f>IF(OR($G$4=0, 10&gt;$G$4), "RESTRINGIDO", IF(ISNUMBER(K533), IF(K533=0, "RESTRINGIDO", "LIBRE"), "LIBRE"))</f>
        <v/>
      </c>
    </row>
    <row r="534" hidden="1" ht="26.4" customHeight="1" s="183">
      <c r="B534" s="11" t="inlineStr">
        <is>
          <t>C11X</t>
        </is>
      </c>
      <c r="C534" s="12" t="inlineStr">
        <is>
          <t>U11X</t>
        </is>
      </c>
      <c r="D534" s="187" t="inlineStr">
        <is>
          <t>=</t>
        </is>
      </c>
      <c r="E534" s="13" t="n">
        <v>0</v>
      </c>
      <c r="F534" s="12" t="inlineStr">
        <is>
          <t>U11X</t>
        </is>
      </c>
      <c r="H534" s="11" t="inlineStr">
        <is>
          <t>D11X</t>
        </is>
      </c>
      <c r="I534" s="12" t="inlineStr">
        <is>
          <t>U11X</t>
        </is>
      </c>
      <c r="J534" s="187" t="inlineStr">
        <is>
          <t>=</t>
        </is>
      </c>
      <c r="K534" s="14">
        <f>H534</f>
        <v/>
      </c>
      <c r="L534" s="12" t="inlineStr">
        <is>
          <t>U11X</t>
        </is>
      </c>
      <c r="N534" s="186">
        <f>IF(OR($G$4=0, 11&gt;$G$4), "RESTRINGIDO", IF(ISNUMBER(K534), IF(K534=0, "RESTRINGIDO", "LIBRE"), "LIBRE"))</f>
        <v/>
      </c>
    </row>
    <row r="535" hidden="1" ht="26.4" customHeight="1" s="183">
      <c r="B535" s="11" t="inlineStr">
        <is>
          <t>C11Y</t>
        </is>
      </c>
      <c r="C535" s="12" t="inlineStr">
        <is>
          <t>U11Y</t>
        </is>
      </c>
      <c r="D535" s="187" t="inlineStr">
        <is>
          <t>=</t>
        </is>
      </c>
      <c r="E535" s="13" t="n">
        <v>0</v>
      </c>
      <c r="F535" s="12" t="inlineStr">
        <is>
          <t>U11Y</t>
        </is>
      </c>
      <c r="H535" s="11" t="inlineStr">
        <is>
          <t>D11Y</t>
        </is>
      </c>
      <c r="I535" s="12" t="inlineStr">
        <is>
          <t>U11Y</t>
        </is>
      </c>
      <c r="J535" s="187" t="inlineStr">
        <is>
          <t>=</t>
        </is>
      </c>
      <c r="K535" s="14">
        <f>H535</f>
        <v/>
      </c>
      <c r="L535" s="12" t="inlineStr">
        <is>
          <t>U11Y</t>
        </is>
      </c>
      <c r="N535" s="186">
        <f>IF(OR($G$4=0, 11&gt;$G$4), "RESTRINGIDO", IF(ISNUMBER(K535), IF(K535=0, "RESTRINGIDO", "LIBRE"), "LIBRE"))</f>
        <v/>
      </c>
    </row>
    <row r="536" hidden="1" ht="26.4" customHeight="1" s="183">
      <c r="B536" s="11" t="inlineStr">
        <is>
          <t>C11θ</t>
        </is>
      </c>
      <c r="C536" s="12" t="inlineStr">
        <is>
          <t>U11θ</t>
        </is>
      </c>
      <c r="D536" s="187" t="inlineStr">
        <is>
          <t>=</t>
        </is>
      </c>
      <c r="E536" s="13" t="n">
        <v>0</v>
      </c>
      <c r="F536" s="12" t="inlineStr">
        <is>
          <t>U11θ</t>
        </is>
      </c>
      <c r="H536" s="11" t="inlineStr">
        <is>
          <t>D11θ</t>
        </is>
      </c>
      <c r="I536" s="12" t="inlineStr">
        <is>
          <t>U11θ</t>
        </is>
      </c>
      <c r="J536" s="187" t="inlineStr">
        <is>
          <t>=</t>
        </is>
      </c>
      <c r="K536" s="14">
        <f>H536</f>
        <v/>
      </c>
      <c r="L536" s="12" t="inlineStr">
        <is>
          <t>U11θ</t>
        </is>
      </c>
      <c r="N536" s="186">
        <f>IF(OR($G$4=0, 11&gt;$G$4), "RESTRINGIDO", IF(ISNUMBER(K536), IF(K536=0, "RESTRINGIDO", "LIBRE"), "LIBRE"))</f>
        <v/>
      </c>
    </row>
    <row r="539">
      <c r="B539" s="53" t="inlineStr">
        <is>
          <t>ECUACION MATRICIAL DEL SISTEMA: {C} = [Kviga] * {D}</t>
        </is>
      </c>
      <c r="C539" s="190" t="n"/>
      <c r="D539" s="190" t="n"/>
      <c r="E539" s="190" t="n"/>
      <c r="F539" s="190" t="n"/>
      <c r="G539" s="190" t="n"/>
      <c r="H539" s="190" t="n"/>
      <c r="I539" s="190" t="n"/>
      <c r="J539" s="190" t="n"/>
      <c r="K539" s="190" t="n"/>
      <c r="L539" s="190" t="n"/>
      <c r="M539" s="190" t="n"/>
      <c r="N539" s="190" t="n"/>
      <c r="O539" s="190" t="n"/>
      <c r="P539" s="190" t="n"/>
      <c r="Q539" s="190" t="n"/>
      <c r="R539" s="190" t="n"/>
      <c r="S539" s="190" t="n"/>
      <c r="T539" s="190" t="n"/>
      <c r="U539" s="190" t="n"/>
      <c r="V539" s="190" t="n"/>
      <c r="W539" s="190" t="n"/>
      <c r="X539" s="190" t="n"/>
      <c r="Y539" s="190" t="n"/>
      <c r="Z539" s="190" t="n"/>
      <c r="AA539" s="190" t="n"/>
      <c r="AB539" s="190" t="n"/>
      <c r="AC539" s="190" t="n"/>
      <c r="AD539" s="190" t="n"/>
      <c r="AE539" s="190" t="n"/>
      <c r="AF539" s="190" t="n"/>
      <c r="AG539" s="190" t="n"/>
      <c r="AH539" s="191" t="n"/>
    </row>
    <row r="540" ht="15" customHeight="1" s="183" thickBot="1"/>
    <row r="541">
      <c r="A541" s="121">
        <f>E504</f>
        <v/>
      </c>
      <c r="B541" s="122" t="inlineStr">
        <is>
          <t>=</t>
        </is>
      </c>
      <c r="C541" s="123">
        <f>B467</f>
        <v/>
      </c>
      <c r="D541" s="124">
        <f>C467</f>
        <v/>
      </c>
      <c r="E541" s="124">
        <f>D467</f>
        <v/>
      </c>
      <c r="F541" s="124">
        <f>E467</f>
        <v/>
      </c>
      <c r="G541" s="124">
        <f>F467</f>
        <v/>
      </c>
      <c r="H541" s="124">
        <f>G467</f>
        <v/>
      </c>
      <c r="I541" s="124">
        <f>H467</f>
        <v/>
      </c>
      <c r="J541" s="124">
        <f>I467</f>
        <v/>
      </c>
      <c r="K541" s="124">
        <f>J467</f>
        <v/>
      </c>
      <c r="L541" s="124">
        <f>K467</f>
        <v/>
      </c>
      <c r="M541" s="124">
        <f>L467</f>
        <v/>
      </c>
      <c r="N541" s="124">
        <f>M467</f>
        <v/>
      </c>
      <c r="O541" s="124">
        <f>N467</f>
        <v/>
      </c>
      <c r="P541" s="124">
        <f>O467</f>
        <v/>
      </c>
      <c r="Q541" s="124">
        <f>P467</f>
        <v/>
      </c>
      <c r="R541" s="124">
        <f>Q467</f>
        <v/>
      </c>
      <c r="S541" s="124">
        <f>R467</f>
        <v/>
      </c>
      <c r="T541" s="125">
        <f>S467</f>
        <v/>
      </c>
      <c r="U541" s="78">
        <f>T467</f>
        <v/>
      </c>
      <c r="V541" s="189">
        <f>U467</f>
        <v/>
      </c>
      <c r="W541" s="189">
        <f>V467</f>
        <v/>
      </c>
      <c r="X541" s="189">
        <f>W467</f>
        <v/>
      </c>
      <c r="Y541" s="189">
        <f>X467</f>
        <v/>
      </c>
      <c r="Z541" s="189">
        <f>Y467</f>
        <v/>
      </c>
      <c r="AA541" s="189">
        <f>Z467</f>
        <v/>
      </c>
      <c r="AB541" s="189">
        <f>AA467</f>
        <v/>
      </c>
      <c r="AC541" s="189">
        <f>AB467</f>
        <v/>
      </c>
      <c r="AD541" s="189">
        <f>AC467</f>
        <v/>
      </c>
      <c r="AE541" s="189">
        <f>AD467</f>
        <v/>
      </c>
      <c r="AF541" s="189">
        <f>AE467</f>
        <v/>
      </c>
      <c r="AG541" s="189">
        <f>AF467</f>
        <v/>
      </c>
      <c r="AH541" s="189">
        <f>AG467</f>
        <v/>
      </c>
      <c r="AI541" s="189">
        <f>AH467</f>
        <v/>
      </c>
      <c r="AQ541" s="187">
        <f>K504</f>
        <v/>
      </c>
    </row>
    <row r="542">
      <c r="A542" s="126">
        <f>E505</f>
        <v/>
      </c>
      <c r="B542" s="127" t="inlineStr">
        <is>
          <t>=</t>
        </is>
      </c>
      <c r="C542" s="128">
        <f>B468</f>
        <v/>
      </c>
      <c r="D542" s="129">
        <f>C468</f>
        <v/>
      </c>
      <c r="E542" s="128">
        <f>D468</f>
        <v/>
      </c>
      <c r="F542" s="128">
        <f>E468</f>
        <v/>
      </c>
      <c r="G542" s="128">
        <f>F468</f>
        <v/>
      </c>
      <c r="H542" s="128">
        <f>G468</f>
        <v/>
      </c>
      <c r="I542" s="128">
        <f>H468</f>
        <v/>
      </c>
      <c r="J542" s="128">
        <f>I468</f>
        <v/>
      </c>
      <c r="K542" s="128">
        <f>J468</f>
        <v/>
      </c>
      <c r="L542" s="128">
        <f>K468</f>
        <v/>
      </c>
      <c r="M542" s="128">
        <f>L468</f>
        <v/>
      </c>
      <c r="N542" s="128">
        <f>M468</f>
        <v/>
      </c>
      <c r="O542" s="128">
        <f>N468</f>
        <v/>
      </c>
      <c r="P542" s="128">
        <f>O468</f>
        <v/>
      </c>
      <c r="Q542" s="128">
        <f>P468</f>
        <v/>
      </c>
      <c r="R542" s="128">
        <f>Q468</f>
        <v/>
      </c>
      <c r="S542" s="128">
        <f>R468</f>
        <v/>
      </c>
      <c r="T542" s="130">
        <f>S468</f>
        <v/>
      </c>
      <c r="U542" s="78">
        <f>T468</f>
        <v/>
      </c>
      <c r="V542" s="189">
        <f>U468</f>
        <v/>
      </c>
      <c r="W542" s="189">
        <f>V468</f>
        <v/>
      </c>
      <c r="X542" s="189">
        <f>W468</f>
        <v/>
      </c>
      <c r="Y542" s="189">
        <f>X468</f>
        <v/>
      </c>
      <c r="Z542" s="189">
        <f>Y468</f>
        <v/>
      </c>
      <c r="AA542" s="189">
        <f>Z468</f>
        <v/>
      </c>
      <c r="AB542" s="189">
        <f>AA468</f>
        <v/>
      </c>
      <c r="AC542" s="189">
        <f>AB468</f>
        <v/>
      </c>
      <c r="AD542" s="189">
        <f>AC468</f>
        <v/>
      </c>
      <c r="AE542" s="189">
        <f>AD468</f>
        <v/>
      </c>
      <c r="AF542" s="189">
        <f>AE468</f>
        <v/>
      </c>
      <c r="AG542" s="189">
        <f>AF468</f>
        <v/>
      </c>
      <c r="AH542" s="189">
        <f>AG468</f>
        <v/>
      </c>
      <c r="AI542" s="189">
        <f>AH468</f>
        <v/>
      </c>
      <c r="AQ542" s="187">
        <f>K505</f>
        <v/>
      </c>
    </row>
    <row r="543">
      <c r="A543" s="87">
        <f>E506</f>
        <v/>
      </c>
      <c r="B543" s="118" t="inlineStr">
        <is>
          <t>=</t>
        </is>
      </c>
      <c r="C543" s="189">
        <f>B469</f>
        <v/>
      </c>
      <c r="D543" s="189">
        <f>C469</f>
        <v/>
      </c>
      <c r="E543" s="8">
        <f>D469</f>
        <v/>
      </c>
      <c r="F543" s="189">
        <f>E469</f>
        <v/>
      </c>
      <c r="G543" s="189">
        <f>F469</f>
        <v/>
      </c>
      <c r="H543" s="189">
        <f>G469</f>
        <v/>
      </c>
      <c r="I543" s="189">
        <f>H469</f>
        <v/>
      </c>
      <c r="J543" s="189">
        <f>I469</f>
        <v/>
      </c>
      <c r="K543" s="189">
        <f>J469</f>
        <v/>
      </c>
      <c r="L543" s="189">
        <f>K469</f>
        <v/>
      </c>
      <c r="M543" s="189">
        <f>L469</f>
        <v/>
      </c>
      <c r="N543" s="189">
        <f>M469</f>
        <v/>
      </c>
      <c r="O543" s="189">
        <f>N469</f>
        <v/>
      </c>
      <c r="P543" s="189">
        <f>O469</f>
        <v/>
      </c>
      <c r="Q543" s="189">
        <f>P469</f>
        <v/>
      </c>
      <c r="R543" s="189">
        <f>Q469</f>
        <v/>
      </c>
      <c r="S543" s="189">
        <f>R469</f>
        <v/>
      </c>
      <c r="T543" s="86">
        <f>S469</f>
        <v/>
      </c>
      <c r="U543" s="78">
        <f>T469</f>
        <v/>
      </c>
      <c r="V543" s="189">
        <f>U469</f>
        <v/>
      </c>
      <c r="W543" s="189">
        <f>V469</f>
        <v/>
      </c>
      <c r="X543" s="189">
        <f>W469</f>
        <v/>
      </c>
      <c r="Y543" s="189">
        <f>X469</f>
        <v/>
      </c>
      <c r="Z543" s="189">
        <f>Y469</f>
        <v/>
      </c>
      <c r="AA543" s="189">
        <f>Z469</f>
        <v/>
      </c>
      <c r="AB543" s="189">
        <f>AA469</f>
        <v/>
      </c>
      <c r="AC543" s="189">
        <f>AB469</f>
        <v/>
      </c>
      <c r="AD543" s="189">
        <f>AC469</f>
        <v/>
      </c>
      <c r="AE543" s="189">
        <f>AD469</f>
        <v/>
      </c>
      <c r="AF543" s="189">
        <f>AE469</f>
        <v/>
      </c>
      <c r="AG543" s="189">
        <f>AF469</f>
        <v/>
      </c>
      <c r="AH543" s="189">
        <f>AG469</f>
        <v/>
      </c>
      <c r="AI543" s="189">
        <f>AH469</f>
        <v/>
      </c>
      <c r="AQ543" s="187">
        <f>K506</f>
        <v/>
      </c>
    </row>
    <row r="544">
      <c r="A544" s="87">
        <f>E507</f>
        <v/>
      </c>
      <c r="B544" s="118" t="inlineStr">
        <is>
          <t>=</t>
        </is>
      </c>
      <c r="C544" s="189">
        <f>B470</f>
        <v/>
      </c>
      <c r="D544" s="189">
        <f>C470</f>
        <v/>
      </c>
      <c r="E544" s="189">
        <f>D470</f>
        <v/>
      </c>
      <c r="F544" s="8">
        <f>E470</f>
        <v/>
      </c>
      <c r="G544" s="189">
        <f>F470</f>
        <v/>
      </c>
      <c r="H544" s="189">
        <f>G470</f>
        <v/>
      </c>
      <c r="I544" s="189">
        <f>H470</f>
        <v/>
      </c>
      <c r="J544" s="189">
        <f>I470</f>
        <v/>
      </c>
      <c r="K544" s="189">
        <f>J470</f>
        <v/>
      </c>
      <c r="L544" s="189">
        <f>K470</f>
        <v/>
      </c>
      <c r="M544" s="189">
        <f>L470</f>
        <v/>
      </c>
      <c r="N544" s="189">
        <f>M470</f>
        <v/>
      </c>
      <c r="O544" s="189">
        <f>N470</f>
        <v/>
      </c>
      <c r="P544" s="189">
        <f>O470</f>
        <v/>
      </c>
      <c r="Q544" s="189">
        <f>P470</f>
        <v/>
      </c>
      <c r="R544" s="189">
        <f>Q470</f>
        <v/>
      </c>
      <c r="S544" s="189">
        <f>R470</f>
        <v/>
      </c>
      <c r="T544" s="86">
        <f>S470</f>
        <v/>
      </c>
      <c r="U544" s="78">
        <f>T470</f>
        <v/>
      </c>
      <c r="V544" s="189">
        <f>U470</f>
        <v/>
      </c>
      <c r="W544" s="189">
        <f>V470</f>
        <v/>
      </c>
      <c r="X544" s="189">
        <f>W470</f>
        <v/>
      </c>
      <c r="Y544" s="189">
        <f>X470</f>
        <v/>
      </c>
      <c r="Z544" s="189">
        <f>Y470</f>
        <v/>
      </c>
      <c r="AA544" s="189">
        <f>Z470</f>
        <v/>
      </c>
      <c r="AB544" s="189">
        <f>AA470</f>
        <v/>
      </c>
      <c r="AC544" s="189">
        <f>AB470</f>
        <v/>
      </c>
      <c r="AD544" s="189">
        <f>AC470</f>
        <v/>
      </c>
      <c r="AE544" s="189">
        <f>AD470</f>
        <v/>
      </c>
      <c r="AF544" s="189">
        <f>AE470</f>
        <v/>
      </c>
      <c r="AG544" s="189">
        <f>AF470</f>
        <v/>
      </c>
      <c r="AH544" s="189">
        <f>AG470</f>
        <v/>
      </c>
      <c r="AI544" s="189">
        <f>AH470</f>
        <v/>
      </c>
      <c r="AQ544" s="187">
        <f>K507</f>
        <v/>
      </c>
    </row>
    <row r="545">
      <c r="A545" s="87">
        <f>E508</f>
        <v/>
      </c>
      <c r="B545" s="118" t="inlineStr">
        <is>
          <t>=</t>
        </is>
      </c>
      <c r="C545" s="189">
        <f>B471</f>
        <v/>
      </c>
      <c r="D545" s="189">
        <f>C471</f>
        <v/>
      </c>
      <c r="E545" s="189">
        <f>D471</f>
        <v/>
      </c>
      <c r="F545" s="189">
        <f>E471</f>
        <v/>
      </c>
      <c r="G545" s="8">
        <f>F471</f>
        <v/>
      </c>
      <c r="H545" s="189">
        <f>G471</f>
        <v/>
      </c>
      <c r="I545" s="189">
        <f>H471</f>
        <v/>
      </c>
      <c r="J545" s="189">
        <f>I471</f>
        <v/>
      </c>
      <c r="K545" s="189">
        <f>J471</f>
        <v/>
      </c>
      <c r="L545" s="189">
        <f>K471</f>
        <v/>
      </c>
      <c r="M545" s="189">
        <f>L471</f>
        <v/>
      </c>
      <c r="N545" s="189">
        <f>M471</f>
        <v/>
      </c>
      <c r="O545" s="189">
        <f>N471</f>
        <v/>
      </c>
      <c r="P545" s="189">
        <f>O471</f>
        <v/>
      </c>
      <c r="Q545" s="189">
        <f>P471</f>
        <v/>
      </c>
      <c r="R545" s="189">
        <f>Q471</f>
        <v/>
      </c>
      <c r="S545" s="189">
        <f>R471</f>
        <v/>
      </c>
      <c r="T545" s="86">
        <f>S471</f>
        <v/>
      </c>
      <c r="U545" s="78">
        <f>T471</f>
        <v/>
      </c>
      <c r="V545" s="189">
        <f>U471</f>
        <v/>
      </c>
      <c r="W545" s="189">
        <f>V471</f>
        <v/>
      </c>
      <c r="X545" s="189">
        <f>W471</f>
        <v/>
      </c>
      <c r="Y545" s="189">
        <f>X471</f>
        <v/>
      </c>
      <c r="Z545" s="189">
        <f>Y471</f>
        <v/>
      </c>
      <c r="AA545" s="189">
        <f>Z471</f>
        <v/>
      </c>
      <c r="AB545" s="189">
        <f>AA471</f>
        <v/>
      </c>
      <c r="AC545" s="189">
        <f>AB471</f>
        <v/>
      </c>
      <c r="AD545" s="189">
        <f>AC471</f>
        <v/>
      </c>
      <c r="AE545" s="189">
        <f>AD471</f>
        <v/>
      </c>
      <c r="AF545" s="189">
        <f>AE471</f>
        <v/>
      </c>
      <c r="AG545" s="189">
        <f>AF471</f>
        <v/>
      </c>
      <c r="AH545" s="189">
        <f>AG471</f>
        <v/>
      </c>
      <c r="AI545" s="189">
        <f>AH471</f>
        <v/>
      </c>
      <c r="AQ545" s="187">
        <f>K508</f>
        <v/>
      </c>
    </row>
    <row r="546">
      <c r="A546" s="87">
        <f>E509</f>
        <v/>
      </c>
      <c r="B546" s="118" t="inlineStr">
        <is>
          <t>=</t>
        </is>
      </c>
      <c r="C546" s="189">
        <f>B472</f>
        <v/>
      </c>
      <c r="D546" s="189">
        <f>C472</f>
        <v/>
      </c>
      <c r="E546" s="189">
        <f>D472</f>
        <v/>
      </c>
      <c r="F546" s="189">
        <f>E472</f>
        <v/>
      </c>
      <c r="G546" s="189">
        <f>F472</f>
        <v/>
      </c>
      <c r="H546" s="8">
        <f>G472</f>
        <v/>
      </c>
      <c r="I546" s="189">
        <f>H472</f>
        <v/>
      </c>
      <c r="J546" s="189">
        <f>I472</f>
        <v/>
      </c>
      <c r="K546" s="189">
        <f>J472</f>
        <v/>
      </c>
      <c r="L546" s="189">
        <f>K472</f>
        <v/>
      </c>
      <c r="M546" s="189">
        <f>L472</f>
        <v/>
      </c>
      <c r="N546" s="189">
        <f>M472</f>
        <v/>
      </c>
      <c r="O546" s="189">
        <f>N472</f>
        <v/>
      </c>
      <c r="P546" s="189">
        <f>O472</f>
        <v/>
      </c>
      <c r="Q546" s="189">
        <f>P472</f>
        <v/>
      </c>
      <c r="R546" s="189">
        <f>Q472</f>
        <v/>
      </c>
      <c r="S546" s="189">
        <f>R472</f>
        <v/>
      </c>
      <c r="T546" s="86">
        <f>S472</f>
        <v/>
      </c>
      <c r="U546" s="78">
        <f>T472</f>
        <v/>
      </c>
      <c r="V546" s="189">
        <f>U472</f>
        <v/>
      </c>
      <c r="W546" s="189">
        <f>V472</f>
        <v/>
      </c>
      <c r="X546" s="189">
        <f>W472</f>
        <v/>
      </c>
      <c r="Y546" s="189">
        <f>X472</f>
        <v/>
      </c>
      <c r="Z546" s="189">
        <f>Y472</f>
        <v/>
      </c>
      <c r="AA546" s="189">
        <f>Z472</f>
        <v/>
      </c>
      <c r="AB546" s="189">
        <f>AA472</f>
        <v/>
      </c>
      <c r="AC546" s="189">
        <f>AB472</f>
        <v/>
      </c>
      <c r="AD546" s="189">
        <f>AC472</f>
        <v/>
      </c>
      <c r="AE546" s="189">
        <f>AD472</f>
        <v/>
      </c>
      <c r="AF546" s="189">
        <f>AE472</f>
        <v/>
      </c>
      <c r="AG546" s="189">
        <f>AF472</f>
        <v/>
      </c>
      <c r="AH546" s="189">
        <f>AG472</f>
        <v/>
      </c>
      <c r="AI546" s="189">
        <f>AH472</f>
        <v/>
      </c>
      <c r="AQ546" s="187">
        <f>K509</f>
        <v/>
      </c>
    </row>
    <row r="547">
      <c r="A547" s="126">
        <f>E510</f>
        <v/>
      </c>
      <c r="B547" s="127" t="inlineStr">
        <is>
          <t>=</t>
        </is>
      </c>
      <c r="C547" s="128">
        <f>B473</f>
        <v/>
      </c>
      <c r="D547" s="128">
        <f>C473</f>
        <v/>
      </c>
      <c r="E547" s="128">
        <f>D473</f>
        <v/>
      </c>
      <c r="F547" s="128">
        <f>E473</f>
        <v/>
      </c>
      <c r="G547" s="128">
        <f>F473</f>
        <v/>
      </c>
      <c r="H547" s="128">
        <f>G473</f>
        <v/>
      </c>
      <c r="I547" s="129">
        <f>H473</f>
        <v/>
      </c>
      <c r="J547" s="128">
        <f>I473</f>
        <v/>
      </c>
      <c r="K547" s="128">
        <f>J473</f>
        <v/>
      </c>
      <c r="L547" s="128">
        <f>K473</f>
        <v/>
      </c>
      <c r="M547" s="128">
        <f>L473</f>
        <v/>
      </c>
      <c r="N547" s="128">
        <f>M473</f>
        <v/>
      </c>
      <c r="O547" s="128">
        <f>N473</f>
        <v/>
      </c>
      <c r="P547" s="128">
        <f>O473</f>
        <v/>
      </c>
      <c r="Q547" s="128">
        <f>P473</f>
        <v/>
      </c>
      <c r="R547" s="128">
        <f>Q473</f>
        <v/>
      </c>
      <c r="S547" s="128">
        <f>R473</f>
        <v/>
      </c>
      <c r="T547" s="130">
        <f>S473</f>
        <v/>
      </c>
      <c r="U547" s="78">
        <f>T473</f>
        <v/>
      </c>
      <c r="V547" s="189">
        <f>U473</f>
        <v/>
      </c>
      <c r="W547" s="189">
        <f>V473</f>
        <v/>
      </c>
      <c r="X547" s="189">
        <f>W473</f>
        <v/>
      </c>
      <c r="Y547" s="189">
        <f>X473</f>
        <v/>
      </c>
      <c r="Z547" s="189">
        <f>Y473</f>
        <v/>
      </c>
      <c r="AA547" s="189">
        <f>Z473</f>
        <v/>
      </c>
      <c r="AB547" s="189">
        <f>AA473</f>
        <v/>
      </c>
      <c r="AC547" s="189">
        <f>AB473</f>
        <v/>
      </c>
      <c r="AD547" s="189">
        <f>AC473</f>
        <v/>
      </c>
      <c r="AE547" s="189">
        <f>AD473</f>
        <v/>
      </c>
      <c r="AF547" s="189">
        <f>AE473</f>
        <v/>
      </c>
      <c r="AG547" s="189">
        <f>AF473</f>
        <v/>
      </c>
      <c r="AH547" s="189">
        <f>AG473</f>
        <v/>
      </c>
      <c r="AI547" s="189">
        <f>AH473</f>
        <v/>
      </c>
      <c r="AQ547" s="187">
        <f>K510</f>
        <v/>
      </c>
    </row>
    <row r="548">
      <c r="A548" s="126">
        <f>E511</f>
        <v/>
      </c>
      <c r="B548" s="127" t="inlineStr">
        <is>
          <t>=</t>
        </is>
      </c>
      <c r="C548" s="128">
        <f>B474</f>
        <v/>
      </c>
      <c r="D548" s="128">
        <f>C474</f>
        <v/>
      </c>
      <c r="E548" s="128">
        <f>D474</f>
        <v/>
      </c>
      <c r="F548" s="128">
        <f>E474</f>
        <v/>
      </c>
      <c r="G548" s="128">
        <f>F474</f>
        <v/>
      </c>
      <c r="H548" s="128">
        <f>G474</f>
        <v/>
      </c>
      <c r="I548" s="128">
        <f>H474</f>
        <v/>
      </c>
      <c r="J548" s="129">
        <f>I474</f>
        <v/>
      </c>
      <c r="K548" s="128">
        <f>J474</f>
        <v/>
      </c>
      <c r="L548" s="128">
        <f>K474</f>
        <v/>
      </c>
      <c r="M548" s="128">
        <f>L474</f>
        <v/>
      </c>
      <c r="N548" s="128">
        <f>M474</f>
        <v/>
      </c>
      <c r="O548" s="128">
        <f>N474</f>
        <v/>
      </c>
      <c r="P548" s="128">
        <f>O474</f>
        <v/>
      </c>
      <c r="Q548" s="128">
        <f>P474</f>
        <v/>
      </c>
      <c r="R548" s="128">
        <f>Q474</f>
        <v/>
      </c>
      <c r="S548" s="128">
        <f>R474</f>
        <v/>
      </c>
      <c r="T548" s="130">
        <f>S474</f>
        <v/>
      </c>
      <c r="U548" s="78">
        <f>T474</f>
        <v/>
      </c>
      <c r="V548" s="189">
        <f>U474</f>
        <v/>
      </c>
      <c r="W548" s="189">
        <f>V474</f>
        <v/>
      </c>
      <c r="X548" s="189">
        <f>W474</f>
        <v/>
      </c>
      <c r="Y548" s="189">
        <f>X474</f>
        <v/>
      </c>
      <c r="Z548" s="189">
        <f>Y474</f>
        <v/>
      </c>
      <c r="AA548" s="189">
        <f>Z474</f>
        <v/>
      </c>
      <c r="AB548" s="189">
        <f>AA474</f>
        <v/>
      </c>
      <c r="AC548" s="189">
        <f>AB474</f>
        <v/>
      </c>
      <c r="AD548" s="189">
        <f>AC474</f>
        <v/>
      </c>
      <c r="AE548" s="189">
        <f>AD474</f>
        <v/>
      </c>
      <c r="AF548" s="189">
        <f>AE474</f>
        <v/>
      </c>
      <c r="AG548" s="189">
        <f>AF474</f>
        <v/>
      </c>
      <c r="AH548" s="189">
        <f>AG474</f>
        <v/>
      </c>
      <c r="AI548" s="189">
        <f>AH474</f>
        <v/>
      </c>
      <c r="AQ548" s="187">
        <f>K511</f>
        <v/>
      </c>
    </row>
    <row r="549">
      <c r="A549" s="87">
        <f>E512</f>
        <v/>
      </c>
      <c r="B549" s="118" t="inlineStr">
        <is>
          <t>=</t>
        </is>
      </c>
      <c r="C549" s="189">
        <f>B475</f>
        <v/>
      </c>
      <c r="D549" s="189">
        <f>C475</f>
        <v/>
      </c>
      <c r="E549" s="189">
        <f>D475</f>
        <v/>
      </c>
      <c r="F549" s="189">
        <f>E475</f>
        <v/>
      </c>
      <c r="G549" s="189">
        <f>F475</f>
        <v/>
      </c>
      <c r="H549" s="189">
        <f>G475</f>
        <v/>
      </c>
      <c r="I549" s="189">
        <f>H475</f>
        <v/>
      </c>
      <c r="J549" s="189">
        <f>I475</f>
        <v/>
      </c>
      <c r="K549" s="8">
        <f>J475</f>
        <v/>
      </c>
      <c r="L549" s="189">
        <f>K475</f>
        <v/>
      </c>
      <c r="M549" s="189">
        <f>L475</f>
        <v/>
      </c>
      <c r="N549" s="189">
        <f>M475</f>
        <v/>
      </c>
      <c r="O549" s="189">
        <f>N475</f>
        <v/>
      </c>
      <c r="P549" s="189">
        <f>O475</f>
        <v/>
      </c>
      <c r="Q549" s="189">
        <f>P475</f>
        <v/>
      </c>
      <c r="R549" s="189">
        <f>Q475</f>
        <v/>
      </c>
      <c r="S549" s="189">
        <f>R475</f>
        <v/>
      </c>
      <c r="T549" s="86">
        <f>S475</f>
        <v/>
      </c>
      <c r="U549" s="78">
        <f>T475</f>
        <v/>
      </c>
      <c r="V549" s="189">
        <f>U475</f>
        <v/>
      </c>
      <c r="W549" s="189">
        <f>V475</f>
        <v/>
      </c>
      <c r="X549" s="189">
        <f>W475</f>
        <v/>
      </c>
      <c r="Y549" s="189">
        <f>X475</f>
        <v/>
      </c>
      <c r="Z549" s="189">
        <f>Y475</f>
        <v/>
      </c>
      <c r="AA549" s="189">
        <f>Z475</f>
        <v/>
      </c>
      <c r="AB549" s="189">
        <f>AA475</f>
        <v/>
      </c>
      <c r="AC549" s="189">
        <f>AB475</f>
        <v/>
      </c>
      <c r="AD549" s="189">
        <f>AC475</f>
        <v/>
      </c>
      <c r="AE549" s="189">
        <f>AD475</f>
        <v/>
      </c>
      <c r="AF549" s="189">
        <f>AE475</f>
        <v/>
      </c>
      <c r="AG549" s="189">
        <f>AF475</f>
        <v/>
      </c>
      <c r="AH549" s="189">
        <f>AG475</f>
        <v/>
      </c>
      <c r="AI549" s="189">
        <f>AH475</f>
        <v/>
      </c>
      <c r="AQ549" s="187">
        <f>K512</f>
        <v/>
      </c>
    </row>
    <row r="550">
      <c r="A550" s="87">
        <f>E513</f>
        <v/>
      </c>
      <c r="B550" s="118" t="inlineStr">
        <is>
          <t>=</t>
        </is>
      </c>
      <c r="C550" s="189">
        <f>B476</f>
        <v/>
      </c>
      <c r="D550" s="189">
        <f>C476</f>
        <v/>
      </c>
      <c r="E550" s="189">
        <f>D476</f>
        <v/>
      </c>
      <c r="F550" s="189">
        <f>E476</f>
        <v/>
      </c>
      <c r="G550" s="189">
        <f>F476</f>
        <v/>
      </c>
      <c r="H550" s="189">
        <f>G476</f>
        <v/>
      </c>
      <c r="I550" s="189">
        <f>H476</f>
        <v/>
      </c>
      <c r="J550" s="189">
        <f>I476</f>
        <v/>
      </c>
      <c r="K550" s="189">
        <f>J476</f>
        <v/>
      </c>
      <c r="L550" s="8">
        <f>K476</f>
        <v/>
      </c>
      <c r="M550" s="189">
        <f>L476</f>
        <v/>
      </c>
      <c r="N550" s="189">
        <f>M476</f>
        <v/>
      </c>
      <c r="O550" s="189">
        <f>N476</f>
        <v/>
      </c>
      <c r="P550" s="189">
        <f>O476</f>
        <v/>
      </c>
      <c r="Q550" s="189">
        <f>P476</f>
        <v/>
      </c>
      <c r="R550" s="189">
        <f>Q476</f>
        <v/>
      </c>
      <c r="S550" s="189">
        <f>R476</f>
        <v/>
      </c>
      <c r="T550" s="86">
        <f>S476</f>
        <v/>
      </c>
      <c r="U550" s="78">
        <f>T476</f>
        <v/>
      </c>
      <c r="V550" s="189">
        <f>U476</f>
        <v/>
      </c>
      <c r="W550" s="189">
        <f>V476</f>
        <v/>
      </c>
      <c r="X550" s="189">
        <f>W476</f>
        <v/>
      </c>
      <c r="Y550" s="189">
        <f>X476</f>
        <v/>
      </c>
      <c r="Z550" s="189">
        <f>Y476</f>
        <v/>
      </c>
      <c r="AA550" s="189">
        <f>Z476</f>
        <v/>
      </c>
      <c r="AB550" s="189">
        <f>AA476</f>
        <v/>
      </c>
      <c r="AC550" s="189">
        <f>AB476</f>
        <v/>
      </c>
      <c r="AD550" s="189">
        <f>AC476</f>
        <v/>
      </c>
      <c r="AE550" s="189">
        <f>AD476</f>
        <v/>
      </c>
      <c r="AF550" s="189">
        <f>AE476</f>
        <v/>
      </c>
      <c r="AG550" s="189">
        <f>AF476</f>
        <v/>
      </c>
      <c r="AH550" s="189">
        <f>AG476</f>
        <v/>
      </c>
      <c r="AI550" s="189">
        <f>AH476</f>
        <v/>
      </c>
      <c r="AQ550" s="187">
        <f>K513</f>
        <v/>
      </c>
    </row>
    <row r="551">
      <c r="A551" s="87">
        <f>E514</f>
        <v/>
      </c>
      <c r="B551" s="118" t="inlineStr">
        <is>
          <t>=</t>
        </is>
      </c>
      <c r="C551" s="189">
        <f>B477</f>
        <v/>
      </c>
      <c r="D551" s="189">
        <f>C477</f>
        <v/>
      </c>
      <c r="E551" s="189">
        <f>D477</f>
        <v/>
      </c>
      <c r="F551" s="189">
        <f>E477</f>
        <v/>
      </c>
      <c r="G551" s="189">
        <f>F477</f>
        <v/>
      </c>
      <c r="H551" s="189">
        <f>G477</f>
        <v/>
      </c>
      <c r="I551" s="189">
        <f>H477</f>
        <v/>
      </c>
      <c r="J551" s="189">
        <f>I477</f>
        <v/>
      </c>
      <c r="K551" s="189">
        <f>J477</f>
        <v/>
      </c>
      <c r="L551" s="189">
        <f>K477</f>
        <v/>
      </c>
      <c r="M551" s="8">
        <f>L477</f>
        <v/>
      </c>
      <c r="N551" s="189">
        <f>M477</f>
        <v/>
      </c>
      <c r="O551" s="189">
        <f>N477</f>
        <v/>
      </c>
      <c r="P551" s="189">
        <f>O477</f>
        <v/>
      </c>
      <c r="Q551" s="189">
        <f>P477</f>
        <v/>
      </c>
      <c r="R551" s="189">
        <f>Q477</f>
        <v/>
      </c>
      <c r="S551" s="189">
        <f>R477</f>
        <v/>
      </c>
      <c r="T551" s="86">
        <f>S477</f>
        <v/>
      </c>
      <c r="U551" s="78">
        <f>T477</f>
        <v/>
      </c>
      <c r="V551" s="189">
        <f>U477</f>
        <v/>
      </c>
      <c r="W551" s="189">
        <f>V477</f>
        <v/>
      </c>
      <c r="X551" s="189">
        <f>W477</f>
        <v/>
      </c>
      <c r="Y551" s="189">
        <f>X477</f>
        <v/>
      </c>
      <c r="Z551" s="189">
        <f>Y477</f>
        <v/>
      </c>
      <c r="AA551" s="189">
        <f>Z477</f>
        <v/>
      </c>
      <c r="AB551" s="189">
        <f>AA477</f>
        <v/>
      </c>
      <c r="AC551" s="189">
        <f>AB477</f>
        <v/>
      </c>
      <c r="AD551" s="189">
        <f>AC477</f>
        <v/>
      </c>
      <c r="AE551" s="189">
        <f>AD477</f>
        <v/>
      </c>
      <c r="AF551" s="189">
        <f>AE477</f>
        <v/>
      </c>
      <c r="AG551" s="189">
        <f>AF477</f>
        <v/>
      </c>
      <c r="AH551" s="189">
        <f>AG477</f>
        <v/>
      </c>
      <c r="AI551" s="189">
        <f>AH477</f>
        <v/>
      </c>
      <c r="AQ551" s="187">
        <f>K514</f>
        <v/>
      </c>
    </row>
    <row r="552">
      <c r="A552" s="87">
        <f>E515</f>
        <v/>
      </c>
      <c r="B552" s="118" t="inlineStr">
        <is>
          <t>=</t>
        </is>
      </c>
      <c r="C552" s="189">
        <f>B478</f>
        <v/>
      </c>
      <c r="D552" s="189">
        <f>C478</f>
        <v/>
      </c>
      <c r="E552" s="189">
        <f>D478</f>
        <v/>
      </c>
      <c r="F552" s="189">
        <f>E478</f>
        <v/>
      </c>
      <c r="G552" s="189">
        <f>F478</f>
        <v/>
      </c>
      <c r="H552" s="189">
        <f>G478</f>
        <v/>
      </c>
      <c r="I552" s="189">
        <f>H478</f>
        <v/>
      </c>
      <c r="J552" s="189">
        <f>I478</f>
        <v/>
      </c>
      <c r="K552" s="189">
        <f>J478</f>
        <v/>
      </c>
      <c r="L552" s="189">
        <f>K478</f>
        <v/>
      </c>
      <c r="M552" s="189">
        <f>L478</f>
        <v/>
      </c>
      <c r="N552" s="8">
        <f>M478</f>
        <v/>
      </c>
      <c r="O552" s="189">
        <f>N478</f>
        <v/>
      </c>
      <c r="P552" s="189">
        <f>O478</f>
        <v/>
      </c>
      <c r="Q552" s="189">
        <f>P478</f>
        <v/>
      </c>
      <c r="R552" s="189">
        <f>Q478</f>
        <v/>
      </c>
      <c r="S552" s="189">
        <f>R478</f>
        <v/>
      </c>
      <c r="T552" s="86">
        <f>S478</f>
        <v/>
      </c>
      <c r="U552" s="78">
        <f>T478</f>
        <v/>
      </c>
      <c r="V552" s="189">
        <f>U478</f>
        <v/>
      </c>
      <c r="W552" s="189">
        <f>V478</f>
        <v/>
      </c>
      <c r="X552" s="189">
        <f>W478</f>
        <v/>
      </c>
      <c r="Y552" s="189">
        <f>X478</f>
        <v/>
      </c>
      <c r="Z552" s="189">
        <f>Y478</f>
        <v/>
      </c>
      <c r="AA552" s="189">
        <f>Z478</f>
        <v/>
      </c>
      <c r="AB552" s="189">
        <f>AA478</f>
        <v/>
      </c>
      <c r="AC552" s="189">
        <f>AB478</f>
        <v/>
      </c>
      <c r="AD552" s="189">
        <f>AC478</f>
        <v/>
      </c>
      <c r="AE552" s="189">
        <f>AD478</f>
        <v/>
      </c>
      <c r="AF552" s="189">
        <f>AE478</f>
        <v/>
      </c>
      <c r="AG552" s="189">
        <f>AF478</f>
        <v/>
      </c>
      <c r="AH552" s="189">
        <f>AG478</f>
        <v/>
      </c>
      <c r="AI552" s="189">
        <f>AH478</f>
        <v/>
      </c>
      <c r="AQ552" s="187">
        <f>K515</f>
        <v/>
      </c>
    </row>
    <row r="553">
      <c r="A553" s="87">
        <f>E516</f>
        <v/>
      </c>
      <c r="B553" s="118" t="inlineStr">
        <is>
          <t>=</t>
        </is>
      </c>
      <c r="C553" s="189">
        <f>B479</f>
        <v/>
      </c>
      <c r="D553" s="189">
        <f>C479</f>
        <v/>
      </c>
      <c r="E553" s="189">
        <f>D479</f>
        <v/>
      </c>
      <c r="F553" s="189">
        <f>E479</f>
        <v/>
      </c>
      <c r="G553" s="189">
        <f>F479</f>
        <v/>
      </c>
      <c r="H553" s="189">
        <f>G479</f>
        <v/>
      </c>
      <c r="I553" s="189">
        <f>H479</f>
        <v/>
      </c>
      <c r="J553" s="189">
        <f>I479</f>
        <v/>
      </c>
      <c r="K553" s="189">
        <f>J479</f>
        <v/>
      </c>
      <c r="L553" s="189">
        <f>K479</f>
        <v/>
      </c>
      <c r="M553" s="189">
        <f>L479</f>
        <v/>
      </c>
      <c r="N553" s="189">
        <f>M479</f>
        <v/>
      </c>
      <c r="O553" s="8">
        <f>N479</f>
        <v/>
      </c>
      <c r="P553" s="189">
        <f>O479</f>
        <v/>
      </c>
      <c r="Q553" s="189">
        <f>P479</f>
        <v/>
      </c>
      <c r="R553" s="189">
        <f>Q479</f>
        <v/>
      </c>
      <c r="S553" s="189">
        <f>R479</f>
        <v/>
      </c>
      <c r="T553" s="86">
        <f>S479</f>
        <v/>
      </c>
      <c r="U553" s="78">
        <f>T479</f>
        <v/>
      </c>
      <c r="V553" s="189">
        <f>U479</f>
        <v/>
      </c>
      <c r="W553" s="189">
        <f>V479</f>
        <v/>
      </c>
      <c r="X553" s="189">
        <f>W479</f>
        <v/>
      </c>
      <c r="Y553" s="189">
        <f>X479</f>
        <v/>
      </c>
      <c r="Z553" s="189">
        <f>Y479</f>
        <v/>
      </c>
      <c r="AA553" s="189">
        <f>Z479</f>
        <v/>
      </c>
      <c r="AB553" s="189">
        <f>AA479</f>
        <v/>
      </c>
      <c r="AC553" s="189">
        <f>AB479</f>
        <v/>
      </c>
      <c r="AD553" s="189">
        <f>AC479</f>
        <v/>
      </c>
      <c r="AE553" s="189">
        <f>AD479</f>
        <v/>
      </c>
      <c r="AF553" s="189">
        <f>AE479</f>
        <v/>
      </c>
      <c r="AG553" s="189">
        <f>AF479</f>
        <v/>
      </c>
      <c r="AH553" s="189">
        <f>AG479</f>
        <v/>
      </c>
      <c r="AI553" s="189">
        <f>AH479</f>
        <v/>
      </c>
      <c r="AQ553" s="187">
        <f>K516</f>
        <v/>
      </c>
    </row>
    <row r="554">
      <c r="A554" s="87">
        <f>E517</f>
        <v/>
      </c>
      <c r="B554" s="118" t="inlineStr">
        <is>
          <t>=</t>
        </is>
      </c>
      <c r="C554" s="189">
        <f>B480</f>
        <v/>
      </c>
      <c r="D554" s="189">
        <f>C480</f>
        <v/>
      </c>
      <c r="E554" s="189">
        <f>D480</f>
        <v/>
      </c>
      <c r="F554" s="189">
        <f>E480</f>
        <v/>
      </c>
      <c r="G554" s="189">
        <f>F480</f>
        <v/>
      </c>
      <c r="H554" s="189">
        <f>G480</f>
        <v/>
      </c>
      <c r="I554" s="189">
        <f>H480</f>
        <v/>
      </c>
      <c r="J554" s="189">
        <f>I480</f>
        <v/>
      </c>
      <c r="K554" s="189">
        <f>J480</f>
        <v/>
      </c>
      <c r="L554" s="189">
        <f>K480</f>
        <v/>
      </c>
      <c r="M554" s="189">
        <f>L480</f>
        <v/>
      </c>
      <c r="N554" s="189">
        <f>M480</f>
        <v/>
      </c>
      <c r="O554" s="189">
        <f>N480</f>
        <v/>
      </c>
      <c r="P554" s="8">
        <f>O480</f>
        <v/>
      </c>
      <c r="Q554" s="189">
        <f>P480</f>
        <v/>
      </c>
      <c r="R554" s="189">
        <f>Q480</f>
        <v/>
      </c>
      <c r="S554" s="189">
        <f>R480</f>
        <v/>
      </c>
      <c r="T554" s="86">
        <f>S480</f>
        <v/>
      </c>
      <c r="U554" s="78">
        <f>T480</f>
        <v/>
      </c>
      <c r="V554" s="189">
        <f>U480</f>
        <v/>
      </c>
      <c r="W554" s="189">
        <f>V480</f>
        <v/>
      </c>
      <c r="X554" s="189">
        <f>W480</f>
        <v/>
      </c>
      <c r="Y554" s="189">
        <f>X480</f>
        <v/>
      </c>
      <c r="Z554" s="189">
        <f>Y480</f>
        <v/>
      </c>
      <c r="AA554" s="189">
        <f>Z480</f>
        <v/>
      </c>
      <c r="AB554" s="189">
        <f>AA480</f>
        <v/>
      </c>
      <c r="AC554" s="189">
        <f>AB480</f>
        <v/>
      </c>
      <c r="AD554" s="189">
        <f>AC480</f>
        <v/>
      </c>
      <c r="AE554" s="189">
        <f>AD480</f>
        <v/>
      </c>
      <c r="AF554" s="189">
        <f>AE480</f>
        <v/>
      </c>
      <c r="AG554" s="189">
        <f>AF480</f>
        <v/>
      </c>
      <c r="AH554" s="189">
        <f>AG480</f>
        <v/>
      </c>
      <c r="AI554" s="189">
        <f>AH480</f>
        <v/>
      </c>
      <c r="AQ554" s="187">
        <f>K517</f>
        <v/>
      </c>
    </row>
    <row r="555">
      <c r="A555" s="87">
        <f>E518</f>
        <v/>
      </c>
      <c r="B555" s="118" t="inlineStr">
        <is>
          <t>=</t>
        </is>
      </c>
      <c r="C555" s="189">
        <f>B481</f>
        <v/>
      </c>
      <c r="D555" s="189">
        <f>C481</f>
        <v/>
      </c>
      <c r="E555" s="189">
        <f>D481</f>
        <v/>
      </c>
      <c r="F555" s="189">
        <f>E481</f>
        <v/>
      </c>
      <c r="G555" s="189">
        <f>F481</f>
        <v/>
      </c>
      <c r="H555" s="189">
        <f>G481</f>
        <v/>
      </c>
      <c r="I555" s="189">
        <f>H481</f>
        <v/>
      </c>
      <c r="J555" s="189">
        <f>I481</f>
        <v/>
      </c>
      <c r="K555" s="189">
        <f>J481</f>
        <v/>
      </c>
      <c r="L555" s="189">
        <f>K481</f>
        <v/>
      </c>
      <c r="M555" s="189">
        <f>L481</f>
        <v/>
      </c>
      <c r="N555" s="189">
        <f>M481</f>
        <v/>
      </c>
      <c r="O555" s="189">
        <f>N481</f>
        <v/>
      </c>
      <c r="P555" s="189">
        <f>O481</f>
        <v/>
      </c>
      <c r="Q555" s="8">
        <f>P481</f>
        <v/>
      </c>
      <c r="R555" s="189">
        <f>Q481</f>
        <v/>
      </c>
      <c r="S555" s="189">
        <f>R481</f>
        <v/>
      </c>
      <c r="T555" s="86">
        <f>S481</f>
        <v/>
      </c>
      <c r="U555" s="78">
        <f>T481</f>
        <v/>
      </c>
      <c r="V555" s="189">
        <f>U481</f>
        <v/>
      </c>
      <c r="W555" s="189">
        <f>V481</f>
        <v/>
      </c>
      <c r="X555" s="189">
        <f>W481</f>
        <v/>
      </c>
      <c r="Y555" s="189">
        <f>X481</f>
        <v/>
      </c>
      <c r="Z555" s="189">
        <f>Y481</f>
        <v/>
      </c>
      <c r="AA555" s="189">
        <f>Z481</f>
        <v/>
      </c>
      <c r="AB555" s="189">
        <f>AA481</f>
        <v/>
      </c>
      <c r="AC555" s="189">
        <f>AB481</f>
        <v/>
      </c>
      <c r="AD555" s="189">
        <f>AC481</f>
        <v/>
      </c>
      <c r="AE555" s="189">
        <f>AD481</f>
        <v/>
      </c>
      <c r="AF555" s="189">
        <f>AE481</f>
        <v/>
      </c>
      <c r="AG555" s="189">
        <f>AF481</f>
        <v/>
      </c>
      <c r="AH555" s="189">
        <f>AG481</f>
        <v/>
      </c>
      <c r="AI555" s="189">
        <f>AH481</f>
        <v/>
      </c>
      <c r="AQ555" s="187">
        <f>K518</f>
        <v/>
      </c>
    </row>
    <row r="556">
      <c r="A556" s="126">
        <f>E519</f>
        <v/>
      </c>
      <c r="B556" s="127" t="inlineStr">
        <is>
          <t>=</t>
        </is>
      </c>
      <c r="C556" s="128">
        <f>B482</f>
        <v/>
      </c>
      <c r="D556" s="128">
        <f>C482</f>
        <v/>
      </c>
      <c r="E556" s="128">
        <f>D482</f>
        <v/>
      </c>
      <c r="F556" s="128">
        <f>E482</f>
        <v/>
      </c>
      <c r="G556" s="128">
        <f>F482</f>
        <v/>
      </c>
      <c r="H556" s="128">
        <f>G482</f>
        <v/>
      </c>
      <c r="I556" s="128">
        <f>H482</f>
        <v/>
      </c>
      <c r="J556" s="128">
        <f>I482</f>
        <v/>
      </c>
      <c r="K556" s="128">
        <f>J482</f>
        <v/>
      </c>
      <c r="L556" s="128">
        <f>K482</f>
        <v/>
      </c>
      <c r="M556" s="128">
        <f>L482</f>
        <v/>
      </c>
      <c r="N556" s="128">
        <f>M482</f>
        <v/>
      </c>
      <c r="O556" s="128">
        <f>N482</f>
        <v/>
      </c>
      <c r="P556" s="128">
        <f>O482</f>
        <v/>
      </c>
      <c r="Q556" s="128">
        <f>P482</f>
        <v/>
      </c>
      <c r="R556" s="129">
        <f>Q482</f>
        <v/>
      </c>
      <c r="S556" s="128">
        <f>R482</f>
        <v/>
      </c>
      <c r="T556" s="130">
        <f>S482</f>
        <v/>
      </c>
      <c r="U556" s="78">
        <f>T482</f>
        <v/>
      </c>
      <c r="V556" s="189">
        <f>U482</f>
        <v/>
      </c>
      <c r="W556" s="189">
        <f>V482</f>
        <v/>
      </c>
      <c r="X556" s="189">
        <f>W482</f>
        <v/>
      </c>
      <c r="Y556" s="189">
        <f>X482</f>
        <v/>
      </c>
      <c r="Z556" s="189">
        <f>Y482</f>
        <v/>
      </c>
      <c r="AA556" s="189">
        <f>Z482</f>
        <v/>
      </c>
      <c r="AB556" s="189">
        <f>AA482</f>
        <v/>
      </c>
      <c r="AC556" s="189">
        <f>AB482</f>
        <v/>
      </c>
      <c r="AD556" s="189">
        <f>AC482</f>
        <v/>
      </c>
      <c r="AE556" s="189">
        <f>AD482</f>
        <v/>
      </c>
      <c r="AF556" s="189">
        <f>AE482</f>
        <v/>
      </c>
      <c r="AG556" s="189">
        <f>AF482</f>
        <v/>
      </c>
      <c r="AH556" s="189">
        <f>AG482</f>
        <v/>
      </c>
      <c r="AI556" s="189">
        <f>AH482</f>
        <v/>
      </c>
      <c r="AQ556" s="187">
        <f>K519</f>
        <v/>
      </c>
    </row>
    <row r="557">
      <c r="A557" s="126">
        <f>E520</f>
        <v/>
      </c>
      <c r="B557" s="127" t="inlineStr">
        <is>
          <t>=</t>
        </is>
      </c>
      <c r="C557" s="128">
        <f>B483</f>
        <v/>
      </c>
      <c r="D557" s="128">
        <f>C483</f>
        <v/>
      </c>
      <c r="E557" s="128">
        <f>D483</f>
        <v/>
      </c>
      <c r="F557" s="128">
        <f>E483</f>
        <v/>
      </c>
      <c r="G557" s="128">
        <f>F483</f>
        <v/>
      </c>
      <c r="H557" s="128">
        <f>G483</f>
        <v/>
      </c>
      <c r="I557" s="128">
        <f>H483</f>
        <v/>
      </c>
      <c r="J557" s="128">
        <f>I483</f>
        <v/>
      </c>
      <c r="K557" s="128">
        <f>J483</f>
        <v/>
      </c>
      <c r="L557" s="128">
        <f>K483</f>
        <v/>
      </c>
      <c r="M557" s="128">
        <f>L483</f>
        <v/>
      </c>
      <c r="N557" s="128">
        <f>M483</f>
        <v/>
      </c>
      <c r="O557" s="128">
        <f>N483</f>
        <v/>
      </c>
      <c r="P557" s="128">
        <f>O483</f>
        <v/>
      </c>
      <c r="Q557" s="128">
        <f>P483</f>
        <v/>
      </c>
      <c r="R557" s="128">
        <f>Q483</f>
        <v/>
      </c>
      <c r="S557" s="129">
        <f>R483</f>
        <v/>
      </c>
      <c r="T557" s="130">
        <f>S483</f>
        <v/>
      </c>
      <c r="U557" s="78">
        <f>T483</f>
        <v/>
      </c>
      <c r="V557" s="189">
        <f>U483</f>
        <v/>
      </c>
      <c r="W557" s="189">
        <f>V483</f>
        <v/>
      </c>
      <c r="X557" s="189">
        <f>W483</f>
        <v/>
      </c>
      <c r="Y557" s="189">
        <f>X483</f>
        <v/>
      </c>
      <c r="Z557" s="189">
        <f>Y483</f>
        <v/>
      </c>
      <c r="AA557" s="189">
        <f>Z483</f>
        <v/>
      </c>
      <c r="AB557" s="189">
        <f>AA483</f>
        <v/>
      </c>
      <c r="AC557" s="189">
        <f>AB483</f>
        <v/>
      </c>
      <c r="AD557" s="189">
        <f>AC483</f>
        <v/>
      </c>
      <c r="AE557" s="189">
        <f>AD483</f>
        <v/>
      </c>
      <c r="AF557" s="189">
        <f>AE483</f>
        <v/>
      </c>
      <c r="AG557" s="189">
        <f>AF483</f>
        <v/>
      </c>
      <c r="AH557" s="189">
        <f>AG483</f>
        <v/>
      </c>
      <c r="AI557" s="189">
        <f>AH483</f>
        <v/>
      </c>
      <c r="AQ557" s="187">
        <f>K520</f>
        <v/>
      </c>
    </row>
    <row r="558" ht="15" customHeight="1" s="183" thickBot="1">
      <c r="A558" s="88">
        <f>E521</f>
        <v/>
      </c>
      <c r="B558" s="119" t="inlineStr">
        <is>
          <t>=</t>
        </is>
      </c>
      <c r="C558" s="89">
        <f>B484</f>
        <v/>
      </c>
      <c r="D558" s="89">
        <f>C484</f>
        <v/>
      </c>
      <c r="E558" s="89">
        <f>D484</f>
        <v/>
      </c>
      <c r="F558" s="89">
        <f>E484</f>
        <v/>
      </c>
      <c r="G558" s="89">
        <f>F484</f>
        <v/>
      </c>
      <c r="H558" s="89">
        <f>G484</f>
        <v/>
      </c>
      <c r="I558" s="89">
        <f>H484</f>
        <v/>
      </c>
      <c r="J558" s="89">
        <f>I484</f>
        <v/>
      </c>
      <c r="K558" s="89">
        <f>J484</f>
        <v/>
      </c>
      <c r="L558" s="89">
        <f>K484</f>
        <v/>
      </c>
      <c r="M558" s="89">
        <f>L484</f>
        <v/>
      </c>
      <c r="N558" s="89">
        <f>M484</f>
        <v/>
      </c>
      <c r="O558" s="89">
        <f>N484</f>
        <v/>
      </c>
      <c r="P558" s="89">
        <f>O484</f>
        <v/>
      </c>
      <c r="Q558" s="89">
        <f>P484</f>
        <v/>
      </c>
      <c r="R558" s="89">
        <f>Q484</f>
        <v/>
      </c>
      <c r="S558" s="89">
        <f>R484</f>
        <v/>
      </c>
      <c r="T558" s="120">
        <f>S484</f>
        <v/>
      </c>
      <c r="U558" s="78">
        <f>T484</f>
        <v/>
      </c>
      <c r="V558" s="189">
        <f>U484</f>
        <v/>
      </c>
      <c r="W558" s="189">
        <f>V484</f>
        <v/>
      </c>
      <c r="X558" s="189">
        <f>W484</f>
        <v/>
      </c>
      <c r="Y558" s="189">
        <f>X484</f>
        <v/>
      </c>
      <c r="Z558" s="189">
        <f>Y484</f>
        <v/>
      </c>
      <c r="AA558" s="189">
        <f>Z484</f>
        <v/>
      </c>
      <c r="AB558" s="189">
        <f>AA484</f>
        <v/>
      </c>
      <c r="AC558" s="189">
        <f>AB484</f>
        <v/>
      </c>
      <c r="AD558" s="189">
        <f>AC484</f>
        <v/>
      </c>
      <c r="AE558" s="189">
        <f>AD484</f>
        <v/>
      </c>
      <c r="AF558" s="189">
        <f>AE484</f>
        <v/>
      </c>
      <c r="AG558" s="189">
        <f>AF484</f>
        <v/>
      </c>
      <c r="AH558" s="189">
        <f>AG484</f>
        <v/>
      </c>
      <c r="AI558" s="189">
        <f>AH484</f>
        <v/>
      </c>
      <c r="AQ558" s="187">
        <f>K521</f>
        <v/>
      </c>
    </row>
    <row r="559">
      <c r="A559" s="81">
        <f>E522</f>
        <v/>
      </c>
      <c r="B559" s="118" t="inlineStr">
        <is>
          <t>=</t>
        </is>
      </c>
      <c r="C559" s="81">
        <f>B485</f>
        <v/>
      </c>
      <c r="D559" s="81">
        <f>C485</f>
        <v/>
      </c>
      <c r="E559" s="81">
        <f>D485</f>
        <v/>
      </c>
      <c r="F559" s="81">
        <f>E485</f>
        <v/>
      </c>
      <c r="G559" s="81">
        <f>F485</f>
        <v/>
      </c>
      <c r="H559" s="81">
        <f>G485</f>
        <v/>
      </c>
      <c r="I559" s="81">
        <f>H485</f>
        <v/>
      </c>
      <c r="J559" s="81">
        <f>I485</f>
        <v/>
      </c>
      <c r="K559" s="81">
        <f>J485</f>
        <v/>
      </c>
      <c r="L559" s="81">
        <f>K485</f>
        <v/>
      </c>
      <c r="M559" s="81">
        <f>L485</f>
        <v/>
      </c>
      <c r="N559" s="81">
        <f>M485</f>
        <v/>
      </c>
      <c r="O559" s="81">
        <f>N485</f>
        <v/>
      </c>
      <c r="P559" s="81">
        <f>O485</f>
        <v/>
      </c>
      <c r="Q559" s="81">
        <f>P485</f>
        <v/>
      </c>
      <c r="R559" s="81">
        <f>Q485</f>
        <v/>
      </c>
      <c r="S559" s="81">
        <f>R485</f>
        <v/>
      </c>
      <c r="T559" s="81">
        <f>S485</f>
        <v/>
      </c>
      <c r="U559" s="8">
        <f>T485</f>
        <v/>
      </c>
      <c r="V559" s="189">
        <f>U485</f>
        <v/>
      </c>
      <c r="W559" s="189">
        <f>V485</f>
        <v/>
      </c>
      <c r="X559" s="189">
        <f>W485</f>
        <v/>
      </c>
      <c r="Y559" s="189">
        <f>X485</f>
        <v/>
      </c>
      <c r="Z559" s="189">
        <f>Y485</f>
        <v/>
      </c>
      <c r="AA559" s="189">
        <f>Z485</f>
        <v/>
      </c>
      <c r="AB559" s="189">
        <f>AA485</f>
        <v/>
      </c>
      <c r="AC559" s="189">
        <f>AB485</f>
        <v/>
      </c>
      <c r="AD559" s="189">
        <f>AC485</f>
        <v/>
      </c>
      <c r="AE559" s="189">
        <f>AD485</f>
        <v/>
      </c>
      <c r="AF559" s="189">
        <f>AE485</f>
        <v/>
      </c>
      <c r="AG559" s="189">
        <f>AF485</f>
        <v/>
      </c>
      <c r="AH559" s="189">
        <f>AG485</f>
        <v/>
      </c>
      <c r="AI559" s="189">
        <f>AH485</f>
        <v/>
      </c>
      <c r="AQ559" s="187">
        <f>K522</f>
        <v/>
      </c>
    </row>
    <row r="560">
      <c r="A560" s="189">
        <f>E523</f>
        <v/>
      </c>
      <c r="B560" s="118" t="inlineStr">
        <is>
          <t>=</t>
        </is>
      </c>
      <c r="C560" s="189">
        <f>B486</f>
        <v/>
      </c>
      <c r="D560" s="189">
        <f>C486</f>
        <v/>
      </c>
      <c r="E560" s="189">
        <f>D486</f>
        <v/>
      </c>
      <c r="F560" s="189">
        <f>E486</f>
        <v/>
      </c>
      <c r="G560" s="189">
        <f>F486</f>
        <v/>
      </c>
      <c r="H560" s="189">
        <f>G486</f>
        <v/>
      </c>
      <c r="I560" s="189">
        <f>H486</f>
        <v/>
      </c>
      <c r="J560" s="189">
        <f>I486</f>
        <v/>
      </c>
      <c r="K560" s="189">
        <f>J486</f>
        <v/>
      </c>
      <c r="L560" s="189">
        <f>K486</f>
        <v/>
      </c>
      <c r="M560" s="189">
        <f>L486</f>
        <v/>
      </c>
      <c r="N560" s="189">
        <f>M486</f>
        <v/>
      </c>
      <c r="O560" s="189">
        <f>N486</f>
        <v/>
      </c>
      <c r="P560" s="189">
        <f>O486</f>
        <v/>
      </c>
      <c r="Q560" s="189">
        <f>P486</f>
        <v/>
      </c>
      <c r="R560" s="189">
        <f>Q486</f>
        <v/>
      </c>
      <c r="S560" s="189">
        <f>R486</f>
        <v/>
      </c>
      <c r="T560" s="189">
        <f>S486</f>
        <v/>
      </c>
      <c r="U560" s="189">
        <f>T486</f>
        <v/>
      </c>
      <c r="V560" s="8">
        <f>U486</f>
        <v/>
      </c>
      <c r="W560" s="189">
        <f>V486</f>
        <v/>
      </c>
      <c r="X560" s="189">
        <f>W486</f>
        <v/>
      </c>
      <c r="Y560" s="189">
        <f>X486</f>
        <v/>
      </c>
      <c r="Z560" s="189">
        <f>Y486</f>
        <v/>
      </c>
      <c r="AA560" s="189">
        <f>Z486</f>
        <v/>
      </c>
      <c r="AB560" s="189">
        <f>AA486</f>
        <v/>
      </c>
      <c r="AC560" s="189">
        <f>AB486</f>
        <v/>
      </c>
      <c r="AD560" s="189">
        <f>AC486</f>
        <v/>
      </c>
      <c r="AE560" s="189">
        <f>AD486</f>
        <v/>
      </c>
      <c r="AF560" s="189">
        <f>AE486</f>
        <v/>
      </c>
      <c r="AG560" s="189">
        <f>AF486</f>
        <v/>
      </c>
      <c r="AH560" s="189">
        <f>AG486</f>
        <v/>
      </c>
      <c r="AI560" s="189">
        <f>AH486</f>
        <v/>
      </c>
      <c r="AQ560" s="187">
        <f>K523</f>
        <v/>
      </c>
    </row>
    <row r="561">
      <c r="A561" s="189">
        <f>E524</f>
        <v/>
      </c>
      <c r="B561" s="118" t="inlineStr">
        <is>
          <t>=</t>
        </is>
      </c>
      <c r="C561" s="189">
        <f>B487</f>
        <v/>
      </c>
      <c r="D561" s="189">
        <f>C487</f>
        <v/>
      </c>
      <c r="E561" s="189">
        <f>D487</f>
        <v/>
      </c>
      <c r="F561" s="189">
        <f>E487</f>
        <v/>
      </c>
      <c r="G561" s="189">
        <f>F487</f>
        <v/>
      </c>
      <c r="H561" s="189">
        <f>G487</f>
        <v/>
      </c>
      <c r="I561" s="189">
        <f>H487</f>
        <v/>
      </c>
      <c r="J561" s="189">
        <f>I487</f>
        <v/>
      </c>
      <c r="K561" s="189">
        <f>J487</f>
        <v/>
      </c>
      <c r="L561" s="189">
        <f>K487</f>
        <v/>
      </c>
      <c r="M561" s="189">
        <f>L487</f>
        <v/>
      </c>
      <c r="N561" s="189">
        <f>M487</f>
        <v/>
      </c>
      <c r="O561" s="189">
        <f>N487</f>
        <v/>
      </c>
      <c r="P561" s="189">
        <f>O487</f>
        <v/>
      </c>
      <c r="Q561" s="189">
        <f>P487</f>
        <v/>
      </c>
      <c r="R561" s="189">
        <f>Q487</f>
        <v/>
      </c>
      <c r="S561" s="189">
        <f>R487</f>
        <v/>
      </c>
      <c r="T561" s="189">
        <f>S487</f>
        <v/>
      </c>
      <c r="U561" s="189">
        <f>T487</f>
        <v/>
      </c>
      <c r="V561" s="189">
        <f>U487</f>
        <v/>
      </c>
      <c r="W561" s="8">
        <f>V487</f>
        <v/>
      </c>
      <c r="X561" s="189">
        <f>W487</f>
        <v/>
      </c>
      <c r="Y561" s="189">
        <f>X487</f>
        <v/>
      </c>
      <c r="Z561" s="189">
        <f>Y487</f>
        <v/>
      </c>
      <c r="AA561" s="189">
        <f>Z487</f>
        <v/>
      </c>
      <c r="AB561" s="189">
        <f>AA487</f>
        <v/>
      </c>
      <c r="AC561" s="189">
        <f>AB487</f>
        <v/>
      </c>
      <c r="AD561" s="189">
        <f>AC487</f>
        <v/>
      </c>
      <c r="AE561" s="189">
        <f>AD487</f>
        <v/>
      </c>
      <c r="AF561" s="189">
        <f>AE487</f>
        <v/>
      </c>
      <c r="AG561" s="189">
        <f>AF487</f>
        <v/>
      </c>
      <c r="AH561" s="189">
        <f>AG487</f>
        <v/>
      </c>
      <c r="AI561" s="189">
        <f>AH487</f>
        <v/>
      </c>
      <c r="AQ561" s="187">
        <f>K524</f>
        <v/>
      </c>
    </row>
    <row r="562">
      <c r="A562" s="189">
        <f>E525</f>
        <v/>
      </c>
      <c r="B562" s="118" t="inlineStr">
        <is>
          <t>=</t>
        </is>
      </c>
      <c r="C562" s="189">
        <f>B488</f>
        <v/>
      </c>
      <c r="D562" s="189">
        <f>C488</f>
        <v/>
      </c>
      <c r="E562" s="189">
        <f>D488</f>
        <v/>
      </c>
      <c r="F562" s="189">
        <f>E488</f>
        <v/>
      </c>
      <c r="G562" s="189">
        <f>F488</f>
        <v/>
      </c>
      <c r="H562" s="189">
        <f>G488</f>
        <v/>
      </c>
      <c r="I562" s="189">
        <f>H488</f>
        <v/>
      </c>
      <c r="J562" s="189">
        <f>I488</f>
        <v/>
      </c>
      <c r="K562" s="189">
        <f>J488</f>
        <v/>
      </c>
      <c r="L562" s="189">
        <f>K488</f>
        <v/>
      </c>
      <c r="M562" s="189">
        <f>L488</f>
        <v/>
      </c>
      <c r="N562" s="189">
        <f>M488</f>
        <v/>
      </c>
      <c r="O562" s="189">
        <f>N488</f>
        <v/>
      </c>
      <c r="P562" s="189">
        <f>O488</f>
        <v/>
      </c>
      <c r="Q562" s="189">
        <f>P488</f>
        <v/>
      </c>
      <c r="R562" s="189">
        <f>Q488</f>
        <v/>
      </c>
      <c r="S562" s="189">
        <f>R488</f>
        <v/>
      </c>
      <c r="T562" s="189">
        <f>S488</f>
        <v/>
      </c>
      <c r="U562" s="189">
        <f>T488</f>
        <v/>
      </c>
      <c r="V562" s="189">
        <f>U488</f>
        <v/>
      </c>
      <c r="W562" s="189">
        <f>V488</f>
        <v/>
      </c>
      <c r="X562" s="8">
        <f>W488</f>
        <v/>
      </c>
      <c r="Y562" s="189">
        <f>X488</f>
        <v/>
      </c>
      <c r="Z562" s="189">
        <f>Y488</f>
        <v/>
      </c>
      <c r="AA562" s="189">
        <f>Z488</f>
        <v/>
      </c>
      <c r="AB562" s="189">
        <f>AA488</f>
        <v/>
      </c>
      <c r="AC562" s="189">
        <f>AB488</f>
        <v/>
      </c>
      <c r="AD562" s="189">
        <f>AC488</f>
        <v/>
      </c>
      <c r="AE562" s="189">
        <f>AD488</f>
        <v/>
      </c>
      <c r="AF562" s="189">
        <f>AE488</f>
        <v/>
      </c>
      <c r="AG562" s="189">
        <f>AF488</f>
        <v/>
      </c>
      <c r="AH562" s="189">
        <f>AG488</f>
        <v/>
      </c>
      <c r="AI562" s="189">
        <f>AH488</f>
        <v/>
      </c>
      <c r="AQ562" s="187">
        <f>K525</f>
        <v/>
      </c>
    </row>
    <row r="563">
      <c r="A563" s="189">
        <f>E526</f>
        <v/>
      </c>
      <c r="B563" s="118" t="inlineStr">
        <is>
          <t>=</t>
        </is>
      </c>
      <c r="C563" s="189">
        <f>B489</f>
        <v/>
      </c>
      <c r="D563" s="189">
        <f>C489</f>
        <v/>
      </c>
      <c r="E563" s="189">
        <f>D489</f>
        <v/>
      </c>
      <c r="F563" s="189">
        <f>E489</f>
        <v/>
      </c>
      <c r="G563" s="189">
        <f>F489</f>
        <v/>
      </c>
      <c r="H563" s="189">
        <f>G489</f>
        <v/>
      </c>
      <c r="I563" s="189">
        <f>H489</f>
        <v/>
      </c>
      <c r="J563" s="189">
        <f>I489</f>
        <v/>
      </c>
      <c r="K563" s="189">
        <f>J489</f>
        <v/>
      </c>
      <c r="L563" s="189">
        <f>K489</f>
        <v/>
      </c>
      <c r="M563" s="189">
        <f>L489</f>
        <v/>
      </c>
      <c r="N563" s="189">
        <f>M489</f>
        <v/>
      </c>
      <c r="O563" s="189">
        <f>N489</f>
        <v/>
      </c>
      <c r="P563" s="189">
        <f>O489</f>
        <v/>
      </c>
      <c r="Q563" s="189">
        <f>P489</f>
        <v/>
      </c>
      <c r="R563" s="189">
        <f>Q489</f>
        <v/>
      </c>
      <c r="S563" s="189">
        <f>R489</f>
        <v/>
      </c>
      <c r="T563" s="189">
        <f>S489</f>
        <v/>
      </c>
      <c r="U563" s="189">
        <f>T489</f>
        <v/>
      </c>
      <c r="V563" s="189">
        <f>U489</f>
        <v/>
      </c>
      <c r="W563" s="189">
        <f>V489</f>
        <v/>
      </c>
      <c r="X563" s="189">
        <f>W489</f>
        <v/>
      </c>
      <c r="Y563" s="8">
        <f>X489</f>
        <v/>
      </c>
      <c r="Z563" s="189">
        <f>Y489</f>
        <v/>
      </c>
      <c r="AA563" s="189">
        <f>Z489</f>
        <v/>
      </c>
      <c r="AB563" s="189">
        <f>AA489</f>
        <v/>
      </c>
      <c r="AC563" s="189">
        <f>AB489</f>
        <v/>
      </c>
      <c r="AD563" s="189">
        <f>AC489</f>
        <v/>
      </c>
      <c r="AE563" s="189">
        <f>AD489</f>
        <v/>
      </c>
      <c r="AF563" s="189">
        <f>AE489</f>
        <v/>
      </c>
      <c r="AG563" s="189">
        <f>AF489</f>
        <v/>
      </c>
      <c r="AH563" s="189">
        <f>AG489</f>
        <v/>
      </c>
      <c r="AI563" s="189">
        <f>AH489</f>
        <v/>
      </c>
      <c r="AQ563" s="187">
        <f>K526</f>
        <v/>
      </c>
    </row>
    <row r="564">
      <c r="A564" s="189">
        <f>E527</f>
        <v/>
      </c>
      <c r="B564" s="118" t="inlineStr">
        <is>
          <t>=</t>
        </is>
      </c>
      <c r="C564" s="189">
        <f>B490</f>
        <v/>
      </c>
      <c r="D564" s="189">
        <f>C490</f>
        <v/>
      </c>
      <c r="E564" s="189">
        <f>D490</f>
        <v/>
      </c>
      <c r="F564" s="189">
        <f>E490</f>
        <v/>
      </c>
      <c r="G564" s="189">
        <f>F490</f>
        <v/>
      </c>
      <c r="H564" s="189">
        <f>G490</f>
        <v/>
      </c>
      <c r="I564" s="189">
        <f>H490</f>
        <v/>
      </c>
      <c r="J564" s="189">
        <f>I490</f>
        <v/>
      </c>
      <c r="K564" s="189">
        <f>J490</f>
        <v/>
      </c>
      <c r="L564" s="189">
        <f>K490</f>
        <v/>
      </c>
      <c r="M564" s="189">
        <f>L490</f>
        <v/>
      </c>
      <c r="N564" s="189">
        <f>M490</f>
        <v/>
      </c>
      <c r="O564" s="189">
        <f>N490</f>
        <v/>
      </c>
      <c r="P564" s="189">
        <f>O490</f>
        <v/>
      </c>
      <c r="Q564" s="189">
        <f>P490</f>
        <v/>
      </c>
      <c r="R564" s="189">
        <f>Q490</f>
        <v/>
      </c>
      <c r="S564" s="189">
        <f>R490</f>
        <v/>
      </c>
      <c r="T564" s="189">
        <f>S490</f>
        <v/>
      </c>
      <c r="U564" s="189">
        <f>T490</f>
        <v/>
      </c>
      <c r="V564" s="189">
        <f>U490</f>
        <v/>
      </c>
      <c r="W564" s="189">
        <f>V490</f>
        <v/>
      </c>
      <c r="X564" s="189">
        <f>W490</f>
        <v/>
      </c>
      <c r="Y564" s="189">
        <f>X490</f>
        <v/>
      </c>
      <c r="Z564" s="8">
        <f>Y490</f>
        <v/>
      </c>
      <c r="AA564" s="189">
        <f>Z490</f>
        <v/>
      </c>
      <c r="AB564" s="189">
        <f>AA490</f>
        <v/>
      </c>
      <c r="AC564" s="189">
        <f>AB490</f>
        <v/>
      </c>
      <c r="AD564" s="189">
        <f>AC490</f>
        <v/>
      </c>
      <c r="AE564" s="189">
        <f>AD490</f>
        <v/>
      </c>
      <c r="AF564" s="189">
        <f>AE490</f>
        <v/>
      </c>
      <c r="AG564" s="189">
        <f>AF490</f>
        <v/>
      </c>
      <c r="AH564" s="189">
        <f>AG490</f>
        <v/>
      </c>
      <c r="AI564" s="189">
        <f>AH490</f>
        <v/>
      </c>
      <c r="AQ564" s="187">
        <f>K527</f>
        <v/>
      </c>
    </row>
    <row r="565">
      <c r="A565" s="189">
        <f>E528</f>
        <v/>
      </c>
      <c r="B565" s="118" t="inlineStr">
        <is>
          <t>=</t>
        </is>
      </c>
      <c r="C565" s="189">
        <f>B491</f>
        <v/>
      </c>
      <c r="D565" s="189">
        <f>C491</f>
        <v/>
      </c>
      <c r="E565" s="189">
        <f>D491</f>
        <v/>
      </c>
      <c r="F565" s="189">
        <f>E491</f>
        <v/>
      </c>
      <c r="G565" s="189">
        <f>F491</f>
        <v/>
      </c>
      <c r="H565" s="189">
        <f>G491</f>
        <v/>
      </c>
      <c r="I565" s="189">
        <f>H491</f>
        <v/>
      </c>
      <c r="J565" s="189">
        <f>I491</f>
        <v/>
      </c>
      <c r="K565" s="189">
        <f>J491</f>
        <v/>
      </c>
      <c r="L565" s="189">
        <f>K491</f>
        <v/>
      </c>
      <c r="M565" s="189">
        <f>L491</f>
        <v/>
      </c>
      <c r="N565" s="189">
        <f>M491</f>
        <v/>
      </c>
      <c r="O565" s="189">
        <f>N491</f>
        <v/>
      </c>
      <c r="P565" s="189">
        <f>O491</f>
        <v/>
      </c>
      <c r="Q565" s="189">
        <f>P491</f>
        <v/>
      </c>
      <c r="R565" s="189">
        <f>Q491</f>
        <v/>
      </c>
      <c r="S565" s="189">
        <f>R491</f>
        <v/>
      </c>
      <c r="T565" s="189">
        <f>S491</f>
        <v/>
      </c>
      <c r="U565" s="189">
        <f>T491</f>
        <v/>
      </c>
      <c r="V565" s="189">
        <f>U491</f>
        <v/>
      </c>
      <c r="W565" s="189">
        <f>V491</f>
        <v/>
      </c>
      <c r="X565" s="189">
        <f>W491</f>
        <v/>
      </c>
      <c r="Y565" s="189">
        <f>X491</f>
        <v/>
      </c>
      <c r="Z565" s="189">
        <f>Y491</f>
        <v/>
      </c>
      <c r="AA565" s="8">
        <f>Z491</f>
        <v/>
      </c>
      <c r="AB565" s="189">
        <f>AA491</f>
        <v/>
      </c>
      <c r="AC565" s="189">
        <f>AB491</f>
        <v/>
      </c>
      <c r="AD565" s="189">
        <f>AC491</f>
        <v/>
      </c>
      <c r="AE565" s="189">
        <f>AD491</f>
        <v/>
      </c>
      <c r="AF565" s="189">
        <f>AE491</f>
        <v/>
      </c>
      <c r="AG565" s="189">
        <f>AF491</f>
        <v/>
      </c>
      <c r="AH565" s="189">
        <f>AG491</f>
        <v/>
      </c>
      <c r="AI565" s="189">
        <f>AH491</f>
        <v/>
      </c>
      <c r="AQ565" s="187">
        <f>K528</f>
        <v/>
      </c>
    </row>
    <row r="566">
      <c r="A566" s="189">
        <f>E529</f>
        <v/>
      </c>
      <c r="B566" s="118" t="inlineStr">
        <is>
          <t>=</t>
        </is>
      </c>
      <c r="C566" s="189">
        <f>B492</f>
        <v/>
      </c>
      <c r="D566" s="189">
        <f>C492</f>
        <v/>
      </c>
      <c r="E566" s="189">
        <f>D492</f>
        <v/>
      </c>
      <c r="F566" s="189">
        <f>E492</f>
        <v/>
      </c>
      <c r="G566" s="189">
        <f>F492</f>
        <v/>
      </c>
      <c r="H566" s="189">
        <f>G492</f>
        <v/>
      </c>
      <c r="I566" s="189">
        <f>H492</f>
        <v/>
      </c>
      <c r="J566" s="189">
        <f>I492</f>
        <v/>
      </c>
      <c r="K566" s="189">
        <f>J492</f>
        <v/>
      </c>
      <c r="L566" s="189">
        <f>K492</f>
        <v/>
      </c>
      <c r="M566" s="189">
        <f>L492</f>
        <v/>
      </c>
      <c r="N566" s="189">
        <f>M492</f>
        <v/>
      </c>
      <c r="O566" s="189">
        <f>N492</f>
        <v/>
      </c>
      <c r="P566" s="189">
        <f>O492</f>
        <v/>
      </c>
      <c r="Q566" s="189">
        <f>P492</f>
        <v/>
      </c>
      <c r="R566" s="189">
        <f>Q492</f>
        <v/>
      </c>
      <c r="S566" s="189">
        <f>R492</f>
        <v/>
      </c>
      <c r="T566" s="189">
        <f>S492</f>
        <v/>
      </c>
      <c r="U566" s="189">
        <f>T492</f>
        <v/>
      </c>
      <c r="V566" s="189">
        <f>U492</f>
        <v/>
      </c>
      <c r="W566" s="189">
        <f>V492</f>
        <v/>
      </c>
      <c r="X566" s="189">
        <f>W492</f>
        <v/>
      </c>
      <c r="Y566" s="189">
        <f>X492</f>
        <v/>
      </c>
      <c r="Z566" s="189">
        <f>Y492</f>
        <v/>
      </c>
      <c r="AA566" s="189">
        <f>Z492</f>
        <v/>
      </c>
      <c r="AB566" s="8">
        <f>AA492</f>
        <v/>
      </c>
      <c r="AC566" s="189">
        <f>AB492</f>
        <v/>
      </c>
      <c r="AD566" s="189">
        <f>AC492</f>
        <v/>
      </c>
      <c r="AE566" s="189">
        <f>AD492</f>
        <v/>
      </c>
      <c r="AF566" s="189">
        <f>AE492</f>
        <v/>
      </c>
      <c r="AG566" s="189">
        <f>AF492</f>
        <v/>
      </c>
      <c r="AH566" s="189">
        <f>AG492</f>
        <v/>
      </c>
      <c r="AI566" s="189">
        <f>AH492</f>
        <v/>
      </c>
      <c r="AQ566" s="187">
        <f>K529</f>
        <v/>
      </c>
    </row>
    <row r="567">
      <c r="A567" s="189">
        <f>E530</f>
        <v/>
      </c>
      <c r="B567" s="118" t="inlineStr">
        <is>
          <t>=</t>
        </is>
      </c>
      <c r="C567" s="189">
        <f>B493</f>
        <v/>
      </c>
      <c r="D567" s="189">
        <f>C493</f>
        <v/>
      </c>
      <c r="E567" s="189">
        <f>D493</f>
        <v/>
      </c>
      <c r="F567" s="189">
        <f>E493</f>
        <v/>
      </c>
      <c r="G567" s="189">
        <f>F493</f>
        <v/>
      </c>
      <c r="H567" s="189">
        <f>G493</f>
        <v/>
      </c>
      <c r="I567" s="189">
        <f>H493</f>
        <v/>
      </c>
      <c r="J567" s="189">
        <f>I493</f>
        <v/>
      </c>
      <c r="K567" s="189">
        <f>J493</f>
        <v/>
      </c>
      <c r="L567" s="189">
        <f>K493</f>
        <v/>
      </c>
      <c r="M567" s="189">
        <f>L493</f>
        <v/>
      </c>
      <c r="N567" s="189">
        <f>M493</f>
        <v/>
      </c>
      <c r="O567" s="189">
        <f>N493</f>
        <v/>
      </c>
      <c r="P567" s="189">
        <f>O493</f>
        <v/>
      </c>
      <c r="Q567" s="189">
        <f>P493</f>
        <v/>
      </c>
      <c r="R567" s="189">
        <f>Q493</f>
        <v/>
      </c>
      <c r="S567" s="189">
        <f>R493</f>
        <v/>
      </c>
      <c r="T567" s="189">
        <f>S493</f>
        <v/>
      </c>
      <c r="U567" s="189">
        <f>T493</f>
        <v/>
      </c>
      <c r="V567" s="189">
        <f>U493</f>
        <v/>
      </c>
      <c r="W567" s="189">
        <f>V493</f>
        <v/>
      </c>
      <c r="X567" s="189">
        <f>W493</f>
        <v/>
      </c>
      <c r="Y567" s="189">
        <f>X493</f>
        <v/>
      </c>
      <c r="Z567" s="189">
        <f>Y493</f>
        <v/>
      </c>
      <c r="AA567" s="189">
        <f>Z493</f>
        <v/>
      </c>
      <c r="AB567" s="189">
        <f>AA493</f>
        <v/>
      </c>
      <c r="AC567" s="8">
        <f>AB493</f>
        <v/>
      </c>
      <c r="AD567" s="189">
        <f>AC493</f>
        <v/>
      </c>
      <c r="AE567" s="189">
        <f>AD493</f>
        <v/>
      </c>
      <c r="AF567" s="189">
        <f>AE493</f>
        <v/>
      </c>
      <c r="AG567" s="189">
        <f>AF493</f>
        <v/>
      </c>
      <c r="AH567" s="189">
        <f>AG493</f>
        <v/>
      </c>
      <c r="AI567" s="189">
        <f>AH493</f>
        <v/>
      </c>
      <c r="AQ567" s="187">
        <f>K530</f>
        <v/>
      </c>
    </row>
    <row r="568">
      <c r="A568" s="189">
        <f>E531</f>
        <v/>
      </c>
      <c r="B568" s="118" t="inlineStr">
        <is>
          <t>=</t>
        </is>
      </c>
      <c r="C568" s="189">
        <f>B494</f>
        <v/>
      </c>
      <c r="D568" s="189">
        <f>C494</f>
        <v/>
      </c>
      <c r="E568" s="189">
        <f>D494</f>
        <v/>
      </c>
      <c r="F568" s="189">
        <f>E494</f>
        <v/>
      </c>
      <c r="G568" s="189">
        <f>F494</f>
        <v/>
      </c>
      <c r="H568" s="189">
        <f>G494</f>
        <v/>
      </c>
      <c r="I568" s="189">
        <f>H494</f>
        <v/>
      </c>
      <c r="J568" s="189">
        <f>I494</f>
        <v/>
      </c>
      <c r="K568" s="189">
        <f>J494</f>
        <v/>
      </c>
      <c r="L568" s="189">
        <f>K494</f>
        <v/>
      </c>
      <c r="M568" s="189">
        <f>L494</f>
        <v/>
      </c>
      <c r="N568" s="189">
        <f>M494</f>
        <v/>
      </c>
      <c r="O568" s="189">
        <f>N494</f>
        <v/>
      </c>
      <c r="P568" s="189">
        <f>O494</f>
        <v/>
      </c>
      <c r="Q568" s="189">
        <f>P494</f>
        <v/>
      </c>
      <c r="R568" s="189">
        <f>Q494</f>
        <v/>
      </c>
      <c r="S568" s="189">
        <f>R494</f>
        <v/>
      </c>
      <c r="T568" s="189">
        <f>S494</f>
        <v/>
      </c>
      <c r="U568" s="189">
        <f>T494</f>
        <v/>
      </c>
      <c r="V568" s="189">
        <f>U494</f>
        <v/>
      </c>
      <c r="W568" s="189">
        <f>V494</f>
        <v/>
      </c>
      <c r="X568" s="189">
        <f>W494</f>
        <v/>
      </c>
      <c r="Y568" s="189">
        <f>X494</f>
        <v/>
      </c>
      <c r="Z568" s="189">
        <f>Y494</f>
        <v/>
      </c>
      <c r="AA568" s="189">
        <f>Z494</f>
        <v/>
      </c>
      <c r="AB568" s="189">
        <f>AA494</f>
        <v/>
      </c>
      <c r="AC568" s="189">
        <f>AB494</f>
        <v/>
      </c>
      <c r="AD568" s="8">
        <f>AC494</f>
        <v/>
      </c>
      <c r="AE568" s="189">
        <f>AD494</f>
        <v/>
      </c>
      <c r="AF568" s="189">
        <f>AE494</f>
        <v/>
      </c>
      <c r="AG568" s="189">
        <f>AF494</f>
        <v/>
      </c>
      <c r="AH568" s="189">
        <f>AG494</f>
        <v/>
      </c>
      <c r="AI568" s="189">
        <f>AH494</f>
        <v/>
      </c>
      <c r="AQ568" s="187">
        <f>K531</f>
        <v/>
      </c>
    </row>
    <row r="569">
      <c r="A569" s="189">
        <f>E532</f>
        <v/>
      </c>
      <c r="B569" s="118" t="inlineStr">
        <is>
          <t>=</t>
        </is>
      </c>
      <c r="C569" s="189">
        <f>B495</f>
        <v/>
      </c>
      <c r="D569" s="189">
        <f>C495</f>
        <v/>
      </c>
      <c r="E569" s="189">
        <f>D495</f>
        <v/>
      </c>
      <c r="F569" s="189">
        <f>E495</f>
        <v/>
      </c>
      <c r="G569" s="189">
        <f>F495</f>
        <v/>
      </c>
      <c r="H569" s="189">
        <f>G495</f>
        <v/>
      </c>
      <c r="I569" s="189">
        <f>H495</f>
        <v/>
      </c>
      <c r="J569" s="189">
        <f>I495</f>
        <v/>
      </c>
      <c r="K569" s="189">
        <f>J495</f>
        <v/>
      </c>
      <c r="L569" s="189">
        <f>K495</f>
        <v/>
      </c>
      <c r="M569" s="189">
        <f>L495</f>
        <v/>
      </c>
      <c r="N569" s="189">
        <f>M495</f>
        <v/>
      </c>
      <c r="O569" s="189">
        <f>N495</f>
        <v/>
      </c>
      <c r="P569" s="189">
        <f>O495</f>
        <v/>
      </c>
      <c r="Q569" s="189">
        <f>P495</f>
        <v/>
      </c>
      <c r="R569" s="189">
        <f>Q495</f>
        <v/>
      </c>
      <c r="S569" s="189">
        <f>R495</f>
        <v/>
      </c>
      <c r="T569" s="189">
        <f>S495</f>
        <v/>
      </c>
      <c r="U569" s="189">
        <f>T495</f>
        <v/>
      </c>
      <c r="V569" s="189">
        <f>U495</f>
        <v/>
      </c>
      <c r="W569" s="189">
        <f>V495</f>
        <v/>
      </c>
      <c r="X569" s="189">
        <f>W495</f>
        <v/>
      </c>
      <c r="Y569" s="189">
        <f>X495</f>
        <v/>
      </c>
      <c r="Z569" s="189">
        <f>Y495</f>
        <v/>
      </c>
      <c r="AA569" s="189">
        <f>Z495</f>
        <v/>
      </c>
      <c r="AB569" s="189">
        <f>AA495</f>
        <v/>
      </c>
      <c r="AC569" s="189">
        <f>AB495</f>
        <v/>
      </c>
      <c r="AD569" s="189">
        <f>AC495</f>
        <v/>
      </c>
      <c r="AE569" s="8">
        <f>AD495</f>
        <v/>
      </c>
      <c r="AF569" s="189">
        <f>AE495</f>
        <v/>
      </c>
      <c r="AG569" s="189">
        <f>AF495</f>
        <v/>
      </c>
      <c r="AH569" s="189">
        <f>AG495</f>
        <v/>
      </c>
      <c r="AI569" s="189">
        <f>AH495</f>
        <v/>
      </c>
      <c r="AQ569" s="187">
        <f>K532</f>
        <v/>
      </c>
    </row>
    <row r="570">
      <c r="A570" s="189">
        <f>E533</f>
        <v/>
      </c>
      <c r="B570" s="118" t="inlineStr">
        <is>
          <t>=</t>
        </is>
      </c>
      <c r="C570" s="189">
        <f>B496</f>
        <v/>
      </c>
      <c r="D570" s="189">
        <f>C496</f>
        <v/>
      </c>
      <c r="E570" s="189">
        <f>D496</f>
        <v/>
      </c>
      <c r="F570" s="189">
        <f>E496</f>
        <v/>
      </c>
      <c r="G570" s="189">
        <f>F496</f>
        <v/>
      </c>
      <c r="H570" s="189">
        <f>G496</f>
        <v/>
      </c>
      <c r="I570" s="189">
        <f>H496</f>
        <v/>
      </c>
      <c r="J570" s="189">
        <f>I496</f>
        <v/>
      </c>
      <c r="K570" s="189">
        <f>J496</f>
        <v/>
      </c>
      <c r="L570" s="189">
        <f>K496</f>
        <v/>
      </c>
      <c r="M570" s="189">
        <f>L496</f>
        <v/>
      </c>
      <c r="N570" s="189">
        <f>M496</f>
        <v/>
      </c>
      <c r="O570" s="189">
        <f>N496</f>
        <v/>
      </c>
      <c r="P570" s="189">
        <f>O496</f>
        <v/>
      </c>
      <c r="Q570" s="189">
        <f>P496</f>
        <v/>
      </c>
      <c r="R570" s="189">
        <f>Q496</f>
        <v/>
      </c>
      <c r="S570" s="189">
        <f>R496</f>
        <v/>
      </c>
      <c r="T570" s="189">
        <f>S496</f>
        <v/>
      </c>
      <c r="U570" s="189">
        <f>T496</f>
        <v/>
      </c>
      <c r="V570" s="189">
        <f>U496</f>
        <v/>
      </c>
      <c r="W570" s="189">
        <f>V496</f>
        <v/>
      </c>
      <c r="X570" s="189">
        <f>W496</f>
        <v/>
      </c>
      <c r="Y570" s="189">
        <f>X496</f>
        <v/>
      </c>
      <c r="Z570" s="189">
        <f>Y496</f>
        <v/>
      </c>
      <c r="AA570" s="189">
        <f>Z496</f>
        <v/>
      </c>
      <c r="AB570" s="189">
        <f>AA496</f>
        <v/>
      </c>
      <c r="AC570" s="189">
        <f>AB496</f>
        <v/>
      </c>
      <c r="AD570" s="189">
        <f>AC496</f>
        <v/>
      </c>
      <c r="AE570" s="189">
        <f>AD496</f>
        <v/>
      </c>
      <c r="AF570" s="8">
        <f>AE496</f>
        <v/>
      </c>
      <c r="AG570" s="189">
        <f>AF496</f>
        <v/>
      </c>
      <c r="AH570" s="189">
        <f>AG496</f>
        <v/>
      </c>
      <c r="AI570" s="189">
        <f>AH496</f>
        <v/>
      </c>
      <c r="AQ570" s="187">
        <f>K533</f>
        <v/>
      </c>
    </row>
    <row r="571">
      <c r="A571" s="189">
        <f>E534</f>
        <v/>
      </c>
      <c r="B571" s="118" t="inlineStr">
        <is>
          <t>=</t>
        </is>
      </c>
      <c r="C571" s="189">
        <f>B497</f>
        <v/>
      </c>
      <c r="D571" s="189">
        <f>C497</f>
        <v/>
      </c>
      <c r="E571" s="189">
        <f>D497</f>
        <v/>
      </c>
      <c r="F571" s="189">
        <f>E497</f>
        <v/>
      </c>
      <c r="G571" s="189">
        <f>F497</f>
        <v/>
      </c>
      <c r="H571" s="189">
        <f>G497</f>
        <v/>
      </c>
      <c r="I571" s="189">
        <f>H497</f>
        <v/>
      </c>
      <c r="J571" s="189">
        <f>I497</f>
        <v/>
      </c>
      <c r="K571" s="189">
        <f>J497</f>
        <v/>
      </c>
      <c r="L571" s="189">
        <f>K497</f>
        <v/>
      </c>
      <c r="M571" s="189">
        <f>L497</f>
        <v/>
      </c>
      <c r="N571" s="189">
        <f>M497</f>
        <v/>
      </c>
      <c r="O571" s="189">
        <f>N497</f>
        <v/>
      </c>
      <c r="P571" s="189">
        <f>O497</f>
        <v/>
      </c>
      <c r="Q571" s="189">
        <f>P497</f>
        <v/>
      </c>
      <c r="R571" s="189">
        <f>Q497</f>
        <v/>
      </c>
      <c r="S571" s="189">
        <f>R497</f>
        <v/>
      </c>
      <c r="T571" s="189">
        <f>S497</f>
        <v/>
      </c>
      <c r="U571" s="189">
        <f>T497</f>
        <v/>
      </c>
      <c r="V571" s="189">
        <f>U497</f>
        <v/>
      </c>
      <c r="W571" s="189">
        <f>V497</f>
        <v/>
      </c>
      <c r="X571" s="189">
        <f>W497</f>
        <v/>
      </c>
      <c r="Y571" s="189">
        <f>X497</f>
        <v/>
      </c>
      <c r="Z571" s="189">
        <f>Y497</f>
        <v/>
      </c>
      <c r="AA571" s="189">
        <f>Z497</f>
        <v/>
      </c>
      <c r="AB571" s="189">
        <f>AA497</f>
        <v/>
      </c>
      <c r="AC571" s="189">
        <f>AB497</f>
        <v/>
      </c>
      <c r="AD571" s="189">
        <f>AC497</f>
        <v/>
      </c>
      <c r="AE571" s="189">
        <f>AD497</f>
        <v/>
      </c>
      <c r="AF571" s="189">
        <f>AE497</f>
        <v/>
      </c>
      <c r="AG571" s="8">
        <f>AF497</f>
        <v/>
      </c>
      <c r="AH571" s="189">
        <f>AG497</f>
        <v/>
      </c>
      <c r="AI571" s="189">
        <f>AH497</f>
        <v/>
      </c>
      <c r="AQ571" s="187">
        <f>K534</f>
        <v/>
      </c>
    </row>
    <row r="572">
      <c r="A572" s="189">
        <f>E535</f>
        <v/>
      </c>
      <c r="B572" s="118" t="inlineStr">
        <is>
          <t>=</t>
        </is>
      </c>
      <c r="C572" s="189">
        <f>B498</f>
        <v/>
      </c>
      <c r="D572" s="189">
        <f>C498</f>
        <v/>
      </c>
      <c r="E572" s="189">
        <f>D498</f>
        <v/>
      </c>
      <c r="F572" s="189">
        <f>E498</f>
        <v/>
      </c>
      <c r="G572" s="189">
        <f>F498</f>
        <v/>
      </c>
      <c r="H572" s="189">
        <f>G498</f>
        <v/>
      </c>
      <c r="I572" s="189">
        <f>H498</f>
        <v/>
      </c>
      <c r="J572" s="189">
        <f>I498</f>
        <v/>
      </c>
      <c r="K572" s="189">
        <f>J498</f>
        <v/>
      </c>
      <c r="L572" s="189">
        <f>K498</f>
        <v/>
      </c>
      <c r="M572" s="189">
        <f>L498</f>
        <v/>
      </c>
      <c r="N572" s="189">
        <f>M498</f>
        <v/>
      </c>
      <c r="O572" s="189">
        <f>N498</f>
        <v/>
      </c>
      <c r="P572" s="189">
        <f>O498</f>
        <v/>
      </c>
      <c r="Q572" s="189">
        <f>P498</f>
        <v/>
      </c>
      <c r="R572" s="189">
        <f>Q498</f>
        <v/>
      </c>
      <c r="S572" s="189">
        <f>R498</f>
        <v/>
      </c>
      <c r="T572" s="189">
        <f>S498</f>
        <v/>
      </c>
      <c r="U572" s="189">
        <f>T498</f>
        <v/>
      </c>
      <c r="V572" s="189">
        <f>U498</f>
        <v/>
      </c>
      <c r="W572" s="189">
        <f>V498</f>
        <v/>
      </c>
      <c r="X572" s="189">
        <f>W498</f>
        <v/>
      </c>
      <c r="Y572" s="189">
        <f>X498</f>
        <v/>
      </c>
      <c r="Z572" s="189">
        <f>Y498</f>
        <v/>
      </c>
      <c r="AA572" s="189">
        <f>Z498</f>
        <v/>
      </c>
      <c r="AB572" s="189">
        <f>AA498</f>
        <v/>
      </c>
      <c r="AC572" s="189">
        <f>AB498</f>
        <v/>
      </c>
      <c r="AD572" s="189">
        <f>AC498</f>
        <v/>
      </c>
      <c r="AE572" s="189">
        <f>AD498</f>
        <v/>
      </c>
      <c r="AF572" s="189">
        <f>AE498</f>
        <v/>
      </c>
      <c r="AG572" s="189">
        <f>AF498</f>
        <v/>
      </c>
      <c r="AH572" s="8">
        <f>AG498</f>
        <v/>
      </c>
      <c r="AI572" s="189">
        <f>AH498</f>
        <v/>
      </c>
      <c r="AQ572" s="187">
        <f>K535</f>
        <v/>
      </c>
    </row>
    <row r="573">
      <c r="A573" s="189">
        <f>E536</f>
        <v/>
      </c>
      <c r="B573" s="118" t="inlineStr">
        <is>
          <t>=</t>
        </is>
      </c>
      <c r="C573" s="189">
        <f>B499</f>
        <v/>
      </c>
      <c r="D573" s="189">
        <f>C499</f>
        <v/>
      </c>
      <c r="E573" s="189">
        <f>D499</f>
        <v/>
      </c>
      <c r="F573" s="189">
        <f>E499</f>
        <v/>
      </c>
      <c r="G573" s="189">
        <f>F499</f>
        <v/>
      </c>
      <c r="H573" s="189">
        <f>G499</f>
        <v/>
      </c>
      <c r="I573" s="189">
        <f>H499</f>
        <v/>
      </c>
      <c r="J573" s="189">
        <f>I499</f>
        <v/>
      </c>
      <c r="K573" s="189">
        <f>J499</f>
        <v/>
      </c>
      <c r="L573" s="189">
        <f>K499</f>
        <v/>
      </c>
      <c r="M573" s="189">
        <f>L499</f>
        <v/>
      </c>
      <c r="N573" s="189">
        <f>M499</f>
        <v/>
      </c>
      <c r="O573" s="189">
        <f>N499</f>
        <v/>
      </c>
      <c r="P573" s="189">
        <f>O499</f>
        <v/>
      </c>
      <c r="Q573" s="189">
        <f>P499</f>
        <v/>
      </c>
      <c r="R573" s="189">
        <f>Q499</f>
        <v/>
      </c>
      <c r="S573" s="189">
        <f>R499</f>
        <v/>
      </c>
      <c r="T573" s="189">
        <f>S499</f>
        <v/>
      </c>
      <c r="U573" s="189">
        <f>T499</f>
        <v/>
      </c>
      <c r="V573" s="189">
        <f>U499</f>
        <v/>
      </c>
      <c r="W573" s="189">
        <f>V499</f>
        <v/>
      </c>
      <c r="X573" s="189">
        <f>W499</f>
        <v/>
      </c>
      <c r="Y573" s="189">
        <f>X499</f>
        <v/>
      </c>
      <c r="Z573" s="189">
        <f>Y499</f>
        <v/>
      </c>
      <c r="AA573" s="189">
        <f>Z499</f>
        <v/>
      </c>
      <c r="AB573" s="189">
        <f>AA499</f>
        <v/>
      </c>
      <c r="AC573" s="189">
        <f>AB499</f>
        <v/>
      </c>
      <c r="AD573" s="189">
        <f>AC499</f>
        <v/>
      </c>
      <c r="AE573" s="189">
        <f>AD499</f>
        <v/>
      </c>
      <c r="AF573" s="189">
        <f>AE499</f>
        <v/>
      </c>
      <c r="AG573" s="189">
        <f>AF499</f>
        <v/>
      </c>
      <c r="AH573" s="189">
        <f>AG499</f>
        <v/>
      </c>
      <c r="AI573" s="8">
        <f>AH499</f>
        <v/>
      </c>
      <c r="AQ573" s="187">
        <f>K536</f>
        <v/>
      </c>
    </row>
    <row r="576">
      <c r="B576" s="58" t="n"/>
      <c r="C576" s="190" t="n"/>
      <c r="D576" s="190" t="n"/>
      <c r="E576" s="190" t="n"/>
      <c r="F576" s="190" t="n"/>
      <c r="G576" s="190" t="n"/>
      <c r="H576" s="190" t="n"/>
      <c r="I576" s="190" t="n"/>
      <c r="J576" s="190" t="n"/>
      <c r="K576" s="190" t="n"/>
      <c r="L576" s="190" t="n"/>
      <c r="M576" s="190" t="n"/>
      <c r="N576" s="190" t="n"/>
      <c r="O576" s="190" t="n"/>
      <c r="P576" s="190" t="n"/>
      <c r="Q576" s="190" t="n"/>
      <c r="R576" s="190" t="n"/>
      <c r="S576" s="190" t="n"/>
      <c r="T576" s="190" t="n"/>
      <c r="U576" s="190" t="n"/>
      <c r="V576" s="190" t="n"/>
      <c r="W576" s="190" t="n"/>
      <c r="X576" s="190" t="n"/>
      <c r="Y576" s="190" t="n"/>
      <c r="Z576" s="190" t="n"/>
      <c r="AA576" s="190" t="n"/>
      <c r="AB576" s="190" t="n"/>
      <c r="AC576" s="190" t="n"/>
      <c r="AD576" s="190" t="n"/>
      <c r="AE576" s="190" t="n"/>
      <c r="AF576" s="190" t="n"/>
      <c r="AG576" s="190" t="n"/>
      <c r="AH576" s="191" t="n"/>
    </row>
    <row r="577" ht="41.4" customHeight="1" s="183" thickBot="1">
      <c r="AL577" s="131" t="inlineStr">
        <is>
          <t>D_CALCULADO</t>
        </is>
      </c>
      <c r="AN577" s="131" t="inlineStr">
        <is>
          <t>REACCIONES_CALCULADAS</t>
        </is>
      </c>
    </row>
    <row r="578">
      <c r="B578" s="115">
        <f>IF($N504="RESTRINGIDO", 1, IF(OR($N504="", $C467=""), 1, B467))</f>
        <v/>
      </c>
      <c r="C578" s="116">
        <f>IF(OR($N504="RESTRINGIDO", $N505="RESTRINGIDO"), 0, C467)</f>
        <v/>
      </c>
      <c r="D578" s="116">
        <f>IF(OR($N504="RESTRINGIDO", $N506="RESTRINGIDO"), 0, D467)</f>
        <v/>
      </c>
      <c r="E578" s="116">
        <f>IF(OR($N504="RESTRINGIDO", $N507="RESTRINGIDO"), 0, E467)</f>
        <v/>
      </c>
      <c r="F578" s="116">
        <f>IF(OR($N504="RESTRINGIDO", $N508="RESTRINGIDO"), 0, F467)</f>
        <v/>
      </c>
      <c r="G578" s="116">
        <f>IF(OR($N504="RESTRINGIDO", $N509="RESTRINGIDO"), 0, G467)</f>
        <v/>
      </c>
      <c r="H578" s="116">
        <f>IF(OR($N504="RESTRINGIDO", $N510="RESTRINGIDO"), 0, H467)</f>
        <v/>
      </c>
      <c r="I578" s="116">
        <f>IF(OR($N504="RESTRINGIDO", $N511="RESTRINGIDO"), 0, I467)</f>
        <v/>
      </c>
      <c r="J578" s="116">
        <f>IF(OR($N504="RESTRINGIDO", $N512="RESTRINGIDO"), 0, J467)</f>
        <v/>
      </c>
      <c r="K578" s="116">
        <f>IF(OR($N504="RESTRINGIDO", $N513="RESTRINGIDO"), 0, K467)</f>
        <v/>
      </c>
      <c r="L578" s="116">
        <f>IF(OR($N504="RESTRINGIDO", $N514="RESTRINGIDO"), 0, L467)</f>
        <v/>
      </c>
      <c r="M578" s="116">
        <f>IF(OR($N504="RESTRINGIDO", $N515="RESTRINGIDO"), 0, M467)</f>
        <v/>
      </c>
      <c r="N578" s="116">
        <f>IF(OR($N504="RESTRINGIDO", $N516="RESTRINGIDO"), 0, N467)</f>
        <v/>
      </c>
      <c r="O578" s="116">
        <f>IF(OR($N504="RESTRINGIDO", $N517="RESTRINGIDO"), 0, O467)</f>
        <v/>
      </c>
      <c r="P578" s="116">
        <f>IF(OR($N504="RESTRINGIDO", $N518="RESTRINGIDO"), 0, P467)</f>
        <v/>
      </c>
      <c r="Q578" s="116">
        <f>IF(OR($N504="RESTRINGIDO", $N519="RESTRINGIDO"), 0, Q467)</f>
        <v/>
      </c>
      <c r="R578" s="116">
        <f>IF(OR($N504="RESTRINGIDO", $N520="RESTRINGIDO"), 0, R467)</f>
        <v/>
      </c>
      <c r="S578" s="117">
        <f>IF(OR($N504="RESTRINGIDO", $N521="RESTRINGIDO"), 0, S467)</f>
        <v/>
      </c>
      <c r="T578" s="78">
        <f>IF(OR($N504="RESTRINGIDO", $N522="RESTRINGIDO"), 0, T467)</f>
        <v/>
      </c>
      <c r="U578" s="189">
        <f>IF(OR($N504="RESTRINGIDO", $N523="RESTRINGIDO"), 0, U467)</f>
        <v/>
      </c>
      <c r="V578" s="189">
        <f>IF(OR($N504="RESTRINGIDO", $N524="RESTRINGIDO"), 0, V467)</f>
        <v/>
      </c>
      <c r="W578" s="189">
        <f>IF(OR($N504="RESTRINGIDO", $N525="RESTRINGIDO"), 0, W467)</f>
        <v/>
      </c>
      <c r="X578" s="189">
        <f>IF(OR($N504="RESTRINGIDO", $N526="RESTRINGIDO"), 0, X467)</f>
        <v/>
      </c>
      <c r="Y578" s="189">
        <f>IF(OR($N504="RESTRINGIDO", $N527="RESTRINGIDO"), 0, Y467)</f>
        <v/>
      </c>
      <c r="Z578" s="189">
        <f>IF(OR($N504="RESTRINGIDO", $N528="RESTRINGIDO"), 0, Z467)</f>
        <v/>
      </c>
      <c r="AA578" s="189">
        <f>IF(OR($N504="RESTRINGIDO", $N529="RESTRINGIDO"), 0, AA467)</f>
        <v/>
      </c>
      <c r="AB578" s="189">
        <f>IF(OR($N504="RESTRINGIDO", $N530="RESTRINGIDO"), 0, AB467)</f>
        <v/>
      </c>
      <c r="AC578" s="189">
        <f>IF(OR($N504="RESTRINGIDO", $N531="RESTRINGIDO"), 0, AC467)</f>
        <v/>
      </c>
      <c r="AD578" s="189">
        <f>IF(OR($N504="RESTRINGIDO", $N532="RESTRINGIDO"), 0, AD467)</f>
        <v/>
      </c>
      <c r="AE578" s="189">
        <f>IF(OR($N504="RESTRINGIDO", $N533="RESTRINGIDO"), 0, AE467)</f>
        <v/>
      </c>
      <c r="AF578" s="189">
        <f>IF(OR($N504="RESTRINGIDO", $N534="RESTRINGIDO"), 0, AF467)</f>
        <v/>
      </c>
      <c r="AG578" s="189">
        <f>IF(OR($N504="RESTRINGIDO", $N535="RESTRINGIDO"), 0, AG467)</f>
        <v/>
      </c>
      <c r="AH578" s="189">
        <f>IF(OR($N504="RESTRINGIDO", $N536="RESTRINGIDO"), 0, AH467)</f>
        <v/>
      </c>
      <c r="AJ578" s="115">
        <f>IF($N504="LIBRE", IF(ISNUMBER(E504), E504, 0), 0)</f>
        <v/>
      </c>
      <c r="AK578" s="101" t="n"/>
      <c r="AL578" s="133">
        <f t="array" ref="AL578:AL610">MMULT(MINVERSE(B578:AH610), AJ578:AJ610)</f>
        <v/>
      </c>
      <c r="AM578" s="101" t="n"/>
      <c r="AN578" s="134">
        <f t="array" ref="AN578:AN610">MMULT(B467:AH499, AL578:AL610) - IF(ISNUMBER(E504:E536), E504:E536, 0)</f>
        <v/>
      </c>
    </row>
    <row r="579">
      <c r="B579" s="87">
        <f>IF(OR($N505="RESTRINGIDO", $N504="RESTRINGIDO"), 0, B468)</f>
        <v/>
      </c>
      <c r="C579" s="189">
        <f>IF($N505="RESTRINGIDO", 1, IF(OR($N505="", $C468=""), 1, C468))</f>
        <v/>
      </c>
      <c r="D579" s="189">
        <f>IF(OR($N505="RESTRINGIDO", $N506="RESTRINGIDO"), 0, D468)</f>
        <v/>
      </c>
      <c r="E579" s="189">
        <f>IF(OR($N505="RESTRINGIDO", $N507="RESTRINGIDO"), 0, E468)</f>
        <v/>
      </c>
      <c r="F579" s="189">
        <f>IF(OR($N505="RESTRINGIDO", $N508="RESTRINGIDO"), 0, F468)</f>
        <v/>
      </c>
      <c r="G579" s="189">
        <f>IF(OR($N505="RESTRINGIDO", $N509="RESTRINGIDO"), 0, G468)</f>
        <v/>
      </c>
      <c r="H579" s="189">
        <f>IF(OR($N505="RESTRINGIDO", $N510="RESTRINGIDO"), 0, H468)</f>
        <v/>
      </c>
      <c r="I579" s="189">
        <f>IF(OR($N505="RESTRINGIDO", $N511="RESTRINGIDO"), 0, I468)</f>
        <v/>
      </c>
      <c r="J579" s="189">
        <f>IF(OR($N505="RESTRINGIDO", $N512="RESTRINGIDO"), 0, J468)</f>
        <v/>
      </c>
      <c r="K579" s="189">
        <f>IF(OR($N505="RESTRINGIDO", $N513="RESTRINGIDO"), 0, K468)</f>
        <v/>
      </c>
      <c r="L579" s="189">
        <f>IF(OR($N505="RESTRINGIDO", $N514="RESTRINGIDO"), 0, L468)</f>
        <v/>
      </c>
      <c r="M579" s="189">
        <f>IF(OR($N505="RESTRINGIDO", $N515="RESTRINGIDO"), 0, M468)</f>
        <v/>
      </c>
      <c r="N579" s="189">
        <f>IF(OR($N505="RESTRINGIDO", $N516="RESTRINGIDO"), 0, N468)</f>
        <v/>
      </c>
      <c r="O579" s="189">
        <f>IF(OR($N505="RESTRINGIDO", $N517="RESTRINGIDO"), 0, O468)</f>
        <v/>
      </c>
      <c r="P579" s="189">
        <f>IF(OR($N505="RESTRINGIDO", $N518="RESTRINGIDO"), 0, P468)</f>
        <v/>
      </c>
      <c r="Q579" s="189">
        <f>IF(OR($N505="RESTRINGIDO", $N519="RESTRINGIDO"), 0, Q468)</f>
        <v/>
      </c>
      <c r="R579" s="189">
        <f>IF(OR($N505="RESTRINGIDO", $N520="RESTRINGIDO"), 0, R468)</f>
        <v/>
      </c>
      <c r="S579" s="86">
        <f>IF(OR($N505="RESTRINGIDO", $N521="RESTRINGIDO"), 0, S468)</f>
        <v/>
      </c>
      <c r="T579" s="78">
        <f>IF(OR($N505="RESTRINGIDO", $N522="RESTRINGIDO"), 0, T468)</f>
        <v/>
      </c>
      <c r="U579" s="189">
        <f>IF(OR($N505="RESTRINGIDO", $N523="RESTRINGIDO"), 0, U468)</f>
        <v/>
      </c>
      <c r="V579" s="189">
        <f>IF(OR($N505="RESTRINGIDO", $N524="RESTRINGIDO"), 0, V468)</f>
        <v/>
      </c>
      <c r="W579" s="189">
        <f>IF(OR($N505="RESTRINGIDO", $N525="RESTRINGIDO"), 0, W468)</f>
        <v/>
      </c>
      <c r="X579" s="189">
        <f>IF(OR($N505="RESTRINGIDO", $N526="RESTRINGIDO"), 0, X468)</f>
        <v/>
      </c>
      <c r="Y579" s="189">
        <f>IF(OR($N505="RESTRINGIDO", $N527="RESTRINGIDO"), 0, Y468)</f>
        <v/>
      </c>
      <c r="Z579" s="189">
        <f>IF(OR($N505="RESTRINGIDO", $N528="RESTRINGIDO"), 0, Z468)</f>
        <v/>
      </c>
      <c r="AA579" s="189">
        <f>IF(OR($N505="RESTRINGIDO", $N529="RESTRINGIDO"), 0, AA468)</f>
        <v/>
      </c>
      <c r="AB579" s="189">
        <f>IF(OR($N505="RESTRINGIDO", $N530="RESTRINGIDO"), 0, AB468)</f>
        <v/>
      </c>
      <c r="AC579" s="189">
        <f>IF(OR($N505="RESTRINGIDO", $N531="RESTRINGIDO"), 0, AC468)</f>
        <v/>
      </c>
      <c r="AD579" s="189">
        <f>IF(OR($N505="RESTRINGIDO", $N532="RESTRINGIDO"), 0, AD468)</f>
        <v/>
      </c>
      <c r="AE579" s="189">
        <f>IF(OR($N505="RESTRINGIDO", $N533="RESTRINGIDO"), 0, AE468)</f>
        <v/>
      </c>
      <c r="AF579" s="189">
        <f>IF(OR($N505="RESTRINGIDO", $N534="RESTRINGIDO"), 0, AF468)</f>
        <v/>
      </c>
      <c r="AG579" s="189">
        <f>IF(OR($N505="RESTRINGIDO", $N535="RESTRINGIDO"), 0, AG468)</f>
        <v/>
      </c>
      <c r="AH579" s="189">
        <f>IF(OR($N505="RESTRINGIDO", $N536="RESTRINGIDO"), 0, AH468)</f>
        <v/>
      </c>
      <c r="AJ579" s="87">
        <f>IF($N505="LIBRE", IF(ISNUMBER(E505), E505, 0), 0)</f>
        <v/>
      </c>
      <c r="AL579" s="188" t="n">
        <v>0</v>
      </c>
      <c r="AN579" s="135" t="n">
        <v>475.1515151515147</v>
      </c>
    </row>
    <row r="580">
      <c r="B580" s="87">
        <f>IF(OR($N506="RESTRINGIDO", $N504="RESTRINGIDO"), 0, B469)</f>
        <v/>
      </c>
      <c r="C580" s="189">
        <f>IF(OR($N506="RESTRINGIDO", $N505="RESTRINGIDO"), 0, C469)</f>
        <v/>
      </c>
      <c r="D580" s="189">
        <f>IF($N506="RESTRINGIDO", 1, IF(OR($N506="", $C469=""), 1, D469))</f>
        <v/>
      </c>
      <c r="E580" s="189">
        <f>IF(OR($N506="RESTRINGIDO", $N507="RESTRINGIDO"), 0, E469)</f>
        <v/>
      </c>
      <c r="F580" s="189">
        <f>IF(OR($N506="RESTRINGIDO", $N508="RESTRINGIDO"), 0, F469)</f>
        <v/>
      </c>
      <c r="G580" s="189">
        <f>IF(OR($N506="RESTRINGIDO", $N509="RESTRINGIDO"), 0, G469)</f>
        <v/>
      </c>
      <c r="H580" s="189">
        <f>IF(OR($N506="RESTRINGIDO", $N510="RESTRINGIDO"), 0, H469)</f>
        <v/>
      </c>
      <c r="I580" s="189">
        <f>IF(OR($N506="RESTRINGIDO", $N511="RESTRINGIDO"), 0, I469)</f>
        <v/>
      </c>
      <c r="J580" s="189">
        <f>IF(OR($N506="RESTRINGIDO", $N512="RESTRINGIDO"), 0, J469)</f>
        <v/>
      </c>
      <c r="K580" s="189">
        <f>IF(OR($N506="RESTRINGIDO", $N513="RESTRINGIDO"), 0, K469)</f>
        <v/>
      </c>
      <c r="L580" s="189">
        <f>IF(OR($N506="RESTRINGIDO", $N514="RESTRINGIDO"), 0, L469)</f>
        <v/>
      </c>
      <c r="M580" s="189">
        <f>IF(OR($N506="RESTRINGIDO", $N515="RESTRINGIDO"), 0, M469)</f>
        <v/>
      </c>
      <c r="N580" s="189">
        <f>IF(OR($N506="RESTRINGIDO", $N516="RESTRINGIDO"), 0, N469)</f>
        <v/>
      </c>
      <c r="O580" s="189">
        <f>IF(OR($N506="RESTRINGIDO", $N517="RESTRINGIDO"), 0, O469)</f>
        <v/>
      </c>
      <c r="P580" s="189">
        <f>IF(OR($N506="RESTRINGIDO", $N518="RESTRINGIDO"), 0, P469)</f>
        <v/>
      </c>
      <c r="Q580" s="189">
        <f>IF(OR($N506="RESTRINGIDO", $N519="RESTRINGIDO"), 0, Q469)</f>
        <v/>
      </c>
      <c r="R580" s="189">
        <f>IF(OR($N506="RESTRINGIDO", $N520="RESTRINGIDO"), 0, R469)</f>
        <v/>
      </c>
      <c r="S580" s="86">
        <f>IF(OR($N506="RESTRINGIDO", $N521="RESTRINGIDO"), 0, S469)</f>
        <v/>
      </c>
      <c r="T580" s="78">
        <f>IF(OR($N506="RESTRINGIDO", $N522="RESTRINGIDO"), 0, T469)</f>
        <v/>
      </c>
      <c r="U580" s="189">
        <f>IF(OR($N506="RESTRINGIDO", $N523="RESTRINGIDO"), 0, U469)</f>
        <v/>
      </c>
      <c r="V580" s="189">
        <f>IF(OR($N506="RESTRINGIDO", $N524="RESTRINGIDO"), 0, V469)</f>
        <v/>
      </c>
      <c r="W580" s="189">
        <f>IF(OR($N506="RESTRINGIDO", $N525="RESTRINGIDO"), 0, W469)</f>
        <v/>
      </c>
      <c r="X580" s="189">
        <f>IF(OR($N506="RESTRINGIDO", $N526="RESTRINGIDO"), 0, X469)</f>
        <v/>
      </c>
      <c r="Y580" s="189">
        <f>IF(OR($N506="RESTRINGIDO", $N527="RESTRINGIDO"), 0, Y469)</f>
        <v/>
      </c>
      <c r="Z580" s="189">
        <f>IF(OR($N506="RESTRINGIDO", $N528="RESTRINGIDO"), 0, Z469)</f>
        <v/>
      </c>
      <c r="AA580" s="189">
        <f>IF(OR($N506="RESTRINGIDO", $N529="RESTRINGIDO"), 0, AA469)</f>
        <v/>
      </c>
      <c r="AB580" s="189">
        <f>IF(OR($N506="RESTRINGIDO", $N530="RESTRINGIDO"), 0, AB469)</f>
        <v/>
      </c>
      <c r="AC580" s="189">
        <f>IF(OR($N506="RESTRINGIDO", $N531="RESTRINGIDO"), 0, AC469)</f>
        <v/>
      </c>
      <c r="AD580" s="189">
        <f>IF(OR($N506="RESTRINGIDO", $N532="RESTRINGIDO"), 0, AD469)</f>
        <v/>
      </c>
      <c r="AE580" s="189">
        <f>IF(OR($N506="RESTRINGIDO", $N533="RESTRINGIDO"), 0, AE469)</f>
        <v/>
      </c>
      <c r="AF580" s="189">
        <f>IF(OR($N506="RESTRINGIDO", $N534="RESTRINGIDO"), 0, AF469)</f>
        <v/>
      </c>
      <c r="AG580" s="189">
        <f>IF(OR($N506="RESTRINGIDO", $N535="RESTRINGIDO"), 0, AG469)</f>
        <v/>
      </c>
      <c r="AH580" s="189">
        <f>IF(OR($N506="RESTRINGIDO", $N536="RESTRINGIDO"), 0, AH469)</f>
        <v/>
      </c>
      <c r="AJ580" s="87">
        <f>IF($N506="LIBRE", IF(ISNUMBER(E506), E506, 0), 0)</f>
        <v/>
      </c>
      <c r="AL580" s="188" t="n">
        <v>-0.1061010101010101</v>
      </c>
      <c r="AN580" s="135" t="n">
        <v>-6.730260793119669e-11</v>
      </c>
    </row>
    <row r="581">
      <c r="B581" s="87">
        <f>IF(OR($N507="RESTRINGIDO", $N504="RESTRINGIDO"), 0, B470)</f>
        <v/>
      </c>
      <c r="C581" s="189">
        <f>IF(OR($N507="RESTRINGIDO", $N505="RESTRINGIDO"), 0, C470)</f>
        <v/>
      </c>
      <c r="D581" s="189">
        <f>IF(OR($N507="RESTRINGIDO", $N506="RESTRINGIDO"), 0, D470)</f>
        <v/>
      </c>
      <c r="E581" s="189">
        <f>IF($N507="RESTRINGIDO", 1, IF(OR($N507="", $C470=""), 1, E470))</f>
        <v/>
      </c>
      <c r="F581" s="189">
        <f>IF(OR($N507="RESTRINGIDO", $N508="RESTRINGIDO"), 0, F470)</f>
        <v/>
      </c>
      <c r="G581" s="189">
        <f>IF(OR($N507="RESTRINGIDO", $N509="RESTRINGIDO"), 0, G470)</f>
        <v/>
      </c>
      <c r="H581" s="189">
        <f>IF(OR($N507="RESTRINGIDO", $N510="RESTRINGIDO"), 0, H470)</f>
        <v/>
      </c>
      <c r="I581" s="189">
        <f>IF(OR($N507="RESTRINGIDO", $N511="RESTRINGIDO"), 0, I470)</f>
        <v/>
      </c>
      <c r="J581" s="189">
        <f>IF(OR($N507="RESTRINGIDO", $N512="RESTRINGIDO"), 0, J470)</f>
        <v/>
      </c>
      <c r="K581" s="189">
        <f>IF(OR($N507="RESTRINGIDO", $N513="RESTRINGIDO"), 0, K470)</f>
        <v/>
      </c>
      <c r="L581" s="189">
        <f>IF(OR($N507="RESTRINGIDO", $N514="RESTRINGIDO"), 0, L470)</f>
        <v/>
      </c>
      <c r="M581" s="189">
        <f>IF(OR($N507="RESTRINGIDO", $N515="RESTRINGIDO"), 0, M470)</f>
        <v/>
      </c>
      <c r="N581" s="189">
        <f>IF(OR($N507="RESTRINGIDO", $N516="RESTRINGIDO"), 0, N470)</f>
        <v/>
      </c>
      <c r="O581" s="189">
        <f>IF(OR($N507="RESTRINGIDO", $N517="RESTRINGIDO"), 0, O470)</f>
        <v/>
      </c>
      <c r="P581" s="189">
        <f>IF(OR($N507="RESTRINGIDO", $N518="RESTRINGIDO"), 0, P470)</f>
        <v/>
      </c>
      <c r="Q581" s="189">
        <f>IF(OR($N507="RESTRINGIDO", $N519="RESTRINGIDO"), 0, Q470)</f>
        <v/>
      </c>
      <c r="R581" s="189">
        <f>IF(OR($N507="RESTRINGIDO", $N520="RESTRINGIDO"), 0, R470)</f>
        <v/>
      </c>
      <c r="S581" s="86">
        <f>IF(OR($N507="RESTRINGIDO", $N521="RESTRINGIDO"), 0, S470)</f>
        <v/>
      </c>
      <c r="T581" s="78">
        <f>IF(OR($N507="RESTRINGIDO", $N522="RESTRINGIDO"), 0, T470)</f>
        <v/>
      </c>
      <c r="U581" s="189">
        <f>IF(OR($N507="RESTRINGIDO", $N523="RESTRINGIDO"), 0, U470)</f>
        <v/>
      </c>
      <c r="V581" s="189">
        <f>IF(OR($N507="RESTRINGIDO", $N524="RESTRINGIDO"), 0, V470)</f>
        <v/>
      </c>
      <c r="W581" s="189">
        <f>IF(OR($N507="RESTRINGIDO", $N525="RESTRINGIDO"), 0, W470)</f>
        <v/>
      </c>
      <c r="X581" s="189">
        <f>IF(OR($N507="RESTRINGIDO", $N526="RESTRINGIDO"), 0, X470)</f>
        <v/>
      </c>
      <c r="Y581" s="189">
        <f>IF(OR($N507="RESTRINGIDO", $N527="RESTRINGIDO"), 0, Y470)</f>
        <v/>
      </c>
      <c r="Z581" s="189">
        <f>IF(OR($N507="RESTRINGIDO", $N528="RESTRINGIDO"), 0, Z470)</f>
        <v/>
      </c>
      <c r="AA581" s="189">
        <f>IF(OR($N507="RESTRINGIDO", $N529="RESTRINGIDO"), 0, AA470)</f>
        <v/>
      </c>
      <c r="AB581" s="189">
        <f>IF(OR($N507="RESTRINGIDO", $N530="RESTRINGIDO"), 0, AB470)</f>
        <v/>
      </c>
      <c r="AC581" s="189">
        <f>IF(OR($N507="RESTRINGIDO", $N531="RESTRINGIDO"), 0, AC470)</f>
        <v/>
      </c>
      <c r="AD581" s="189">
        <f>IF(OR($N507="RESTRINGIDO", $N532="RESTRINGIDO"), 0, AD470)</f>
        <v/>
      </c>
      <c r="AE581" s="189">
        <f>IF(OR($N507="RESTRINGIDO", $N533="RESTRINGIDO"), 0, AE470)</f>
        <v/>
      </c>
      <c r="AF581" s="189">
        <f>IF(OR($N507="RESTRINGIDO", $N534="RESTRINGIDO"), 0, AF470)</f>
        <v/>
      </c>
      <c r="AG581" s="189">
        <f>IF(OR($N507="RESTRINGIDO", $N535="RESTRINGIDO"), 0, AG470)</f>
        <v/>
      </c>
      <c r="AH581" s="189">
        <f>IF(OR($N507="RESTRINGIDO", $N536="RESTRINGIDO"), 0, AH470)</f>
        <v/>
      </c>
      <c r="AJ581" s="87">
        <f>IF($N507="LIBRE", IF(ISNUMBER(E507), E507, 0), 0)</f>
        <v/>
      </c>
      <c r="AL581" s="188" t="n">
        <v>0</v>
      </c>
      <c r="AN581" s="135" t="n">
        <v>0</v>
      </c>
    </row>
    <row r="582">
      <c r="B582" s="87">
        <f>IF(OR($N508="RESTRINGIDO", $N504="RESTRINGIDO"), 0, B471)</f>
        <v/>
      </c>
      <c r="C582" s="189">
        <f>IF(OR($N508="RESTRINGIDO", $N505="RESTRINGIDO"), 0, C471)</f>
        <v/>
      </c>
      <c r="D582" s="189">
        <f>IF(OR($N508="RESTRINGIDO", $N506="RESTRINGIDO"), 0, D471)</f>
        <v/>
      </c>
      <c r="E582" s="189">
        <f>IF(OR($N508="RESTRINGIDO", $N507="RESTRINGIDO"), 0, E471)</f>
        <v/>
      </c>
      <c r="F582" s="189">
        <f>IF($N508="RESTRINGIDO", 1, IF(OR($N508="", $C471=""), 1, F471))</f>
        <v/>
      </c>
      <c r="G582" s="189">
        <f>IF(OR($N508="RESTRINGIDO", $N509="RESTRINGIDO"), 0, G471)</f>
        <v/>
      </c>
      <c r="H582" s="189">
        <f>IF(OR($N508="RESTRINGIDO", $N510="RESTRINGIDO"), 0, H471)</f>
        <v/>
      </c>
      <c r="I582" s="189">
        <f>IF(OR($N508="RESTRINGIDO", $N511="RESTRINGIDO"), 0, I471)</f>
        <v/>
      </c>
      <c r="J582" s="189">
        <f>IF(OR($N508="RESTRINGIDO", $N512="RESTRINGIDO"), 0, J471)</f>
        <v/>
      </c>
      <c r="K582" s="189">
        <f>IF(OR($N508="RESTRINGIDO", $N513="RESTRINGIDO"), 0, K471)</f>
        <v/>
      </c>
      <c r="L582" s="189">
        <f>IF(OR($N508="RESTRINGIDO", $N514="RESTRINGIDO"), 0, L471)</f>
        <v/>
      </c>
      <c r="M582" s="189">
        <f>IF(OR($N508="RESTRINGIDO", $N515="RESTRINGIDO"), 0, M471)</f>
        <v/>
      </c>
      <c r="N582" s="189">
        <f>IF(OR($N508="RESTRINGIDO", $N516="RESTRINGIDO"), 0, N471)</f>
        <v/>
      </c>
      <c r="O582" s="189">
        <f>IF(OR($N508="RESTRINGIDO", $N517="RESTRINGIDO"), 0, O471)</f>
        <v/>
      </c>
      <c r="P582" s="189">
        <f>IF(OR($N508="RESTRINGIDO", $N518="RESTRINGIDO"), 0, P471)</f>
        <v/>
      </c>
      <c r="Q582" s="189">
        <f>IF(OR($N508="RESTRINGIDO", $N519="RESTRINGIDO"), 0, Q471)</f>
        <v/>
      </c>
      <c r="R582" s="189">
        <f>IF(OR($N508="RESTRINGIDO", $N520="RESTRINGIDO"), 0, R471)</f>
        <v/>
      </c>
      <c r="S582" s="86">
        <f>IF(OR($N508="RESTRINGIDO", $N521="RESTRINGIDO"), 0, S471)</f>
        <v/>
      </c>
      <c r="T582" s="78">
        <f>IF(OR($N508="RESTRINGIDO", $N522="RESTRINGIDO"), 0, T471)</f>
        <v/>
      </c>
      <c r="U582" s="189">
        <f>IF(OR($N508="RESTRINGIDO", $N523="RESTRINGIDO"), 0, U471)</f>
        <v/>
      </c>
      <c r="V582" s="189">
        <f>IF(OR($N508="RESTRINGIDO", $N524="RESTRINGIDO"), 0, V471)</f>
        <v/>
      </c>
      <c r="W582" s="189">
        <f>IF(OR($N508="RESTRINGIDO", $N525="RESTRINGIDO"), 0, W471)</f>
        <v/>
      </c>
      <c r="X582" s="189">
        <f>IF(OR($N508="RESTRINGIDO", $N526="RESTRINGIDO"), 0, X471)</f>
        <v/>
      </c>
      <c r="Y582" s="189">
        <f>IF(OR($N508="RESTRINGIDO", $N527="RESTRINGIDO"), 0, Y471)</f>
        <v/>
      </c>
      <c r="Z582" s="189">
        <f>IF(OR($N508="RESTRINGIDO", $N528="RESTRINGIDO"), 0, Z471)</f>
        <v/>
      </c>
      <c r="AA582" s="189">
        <f>IF(OR($N508="RESTRINGIDO", $N529="RESTRINGIDO"), 0, AA471)</f>
        <v/>
      </c>
      <c r="AB582" s="189">
        <f>IF(OR($N508="RESTRINGIDO", $N530="RESTRINGIDO"), 0, AB471)</f>
        <v/>
      </c>
      <c r="AC582" s="189">
        <f>IF(OR($N508="RESTRINGIDO", $N531="RESTRINGIDO"), 0, AC471)</f>
        <v/>
      </c>
      <c r="AD582" s="189">
        <f>IF(OR($N508="RESTRINGIDO", $N532="RESTRINGIDO"), 0, AD471)</f>
        <v/>
      </c>
      <c r="AE582" s="189">
        <f>IF(OR($N508="RESTRINGIDO", $N533="RESTRINGIDO"), 0, AE471)</f>
        <v/>
      </c>
      <c r="AF582" s="189">
        <f>IF(OR($N508="RESTRINGIDO", $N534="RESTRINGIDO"), 0, AF471)</f>
        <v/>
      </c>
      <c r="AG582" s="189">
        <f>IF(OR($N508="RESTRINGIDO", $N535="RESTRINGIDO"), 0, AG471)</f>
        <v/>
      </c>
      <c r="AH582" s="189">
        <f>IF(OR($N508="RESTRINGIDO", $N536="RESTRINGIDO"), 0, AH471)</f>
        <v/>
      </c>
      <c r="AJ582" s="87">
        <f>IF($N508="LIBRE", IF(ISNUMBER(E508), E508, 0), 0)</f>
        <v/>
      </c>
      <c r="AL582" s="188" t="n">
        <v>-6.816969696969693</v>
      </c>
      <c r="AN582" s="135" t="n">
        <v>0</v>
      </c>
    </row>
    <row r="583">
      <c r="B583" s="87">
        <f>IF(OR($N509="RESTRINGIDO", $N504="RESTRINGIDO"), 0, B472)</f>
        <v/>
      </c>
      <c r="C583" s="189">
        <f>IF(OR($N509="RESTRINGIDO", $N505="RESTRINGIDO"), 0, C472)</f>
        <v/>
      </c>
      <c r="D583" s="189">
        <f>IF(OR($N509="RESTRINGIDO", $N506="RESTRINGIDO"), 0, D472)</f>
        <v/>
      </c>
      <c r="E583" s="189">
        <f>IF(OR($N509="RESTRINGIDO", $N507="RESTRINGIDO"), 0, E472)</f>
        <v/>
      </c>
      <c r="F583" s="189">
        <f>IF(OR($N509="RESTRINGIDO", $N508="RESTRINGIDO"), 0, F472)</f>
        <v/>
      </c>
      <c r="G583" s="189">
        <f>IF($N509="RESTRINGIDO", 1, IF(OR($N509="", $C472=""), 1, G472))</f>
        <v/>
      </c>
      <c r="H583" s="189">
        <f>IF(OR($N509="RESTRINGIDO", $N510="RESTRINGIDO"), 0, H472)</f>
        <v/>
      </c>
      <c r="I583" s="189">
        <f>IF(OR($N509="RESTRINGIDO", $N511="RESTRINGIDO"), 0, I472)</f>
        <v/>
      </c>
      <c r="J583" s="189">
        <f>IF(OR($N509="RESTRINGIDO", $N512="RESTRINGIDO"), 0, J472)</f>
        <v/>
      </c>
      <c r="K583" s="189">
        <f>IF(OR($N509="RESTRINGIDO", $N513="RESTRINGIDO"), 0, K472)</f>
        <v/>
      </c>
      <c r="L583" s="189">
        <f>IF(OR($N509="RESTRINGIDO", $N514="RESTRINGIDO"), 0, L472)</f>
        <v/>
      </c>
      <c r="M583" s="189">
        <f>IF(OR($N509="RESTRINGIDO", $N515="RESTRINGIDO"), 0, M472)</f>
        <v/>
      </c>
      <c r="N583" s="189">
        <f>IF(OR($N509="RESTRINGIDO", $N516="RESTRINGIDO"), 0, N472)</f>
        <v/>
      </c>
      <c r="O583" s="189">
        <f>IF(OR($N509="RESTRINGIDO", $N517="RESTRINGIDO"), 0, O472)</f>
        <v/>
      </c>
      <c r="P583" s="189">
        <f>IF(OR($N509="RESTRINGIDO", $N518="RESTRINGIDO"), 0, P472)</f>
        <v/>
      </c>
      <c r="Q583" s="189">
        <f>IF(OR($N509="RESTRINGIDO", $N519="RESTRINGIDO"), 0, Q472)</f>
        <v/>
      </c>
      <c r="R583" s="189">
        <f>IF(OR($N509="RESTRINGIDO", $N520="RESTRINGIDO"), 0, R472)</f>
        <v/>
      </c>
      <c r="S583" s="86">
        <f>IF(OR($N509="RESTRINGIDO", $N521="RESTRINGIDO"), 0, S472)</f>
        <v/>
      </c>
      <c r="T583" s="78">
        <f>IF(OR($N509="RESTRINGIDO", $N522="RESTRINGIDO"), 0, T472)</f>
        <v/>
      </c>
      <c r="U583" s="189">
        <f>IF(OR($N509="RESTRINGIDO", $N523="RESTRINGIDO"), 0, U472)</f>
        <v/>
      </c>
      <c r="V583" s="189">
        <f>IF(OR($N509="RESTRINGIDO", $N524="RESTRINGIDO"), 0, V472)</f>
        <v/>
      </c>
      <c r="W583" s="189">
        <f>IF(OR($N509="RESTRINGIDO", $N525="RESTRINGIDO"), 0, W472)</f>
        <v/>
      </c>
      <c r="X583" s="189">
        <f>IF(OR($N509="RESTRINGIDO", $N526="RESTRINGIDO"), 0, X472)</f>
        <v/>
      </c>
      <c r="Y583" s="189">
        <f>IF(OR($N509="RESTRINGIDO", $N527="RESTRINGIDO"), 0, Y472)</f>
        <v/>
      </c>
      <c r="Z583" s="189">
        <f>IF(OR($N509="RESTRINGIDO", $N528="RESTRINGIDO"), 0, Z472)</f>
        <v/>
      </c>
      <c r="AA583" s="189">
        <f>IF(OR($N509="RESTRINGIDO", $N529="RESTRINGIDO"), 0, AA472)</f>
        <v/>
      </c>
      <c r="AB583" s="189">
        <f>IF(OR($N509="RESTRINGIDO", $N530="RESTRINGIDO"), 0, AB472)</f>
        <v/>
      </c>
      <c r="AC583" s="189">
        <f>IF(OR($N509="RESTRINGIDO", $N531="RESTRINGIDO"), 0, AC472)</f>
        <v/>
      </c>
      <c r="AD583" s="189">
        <f>IF(OR($N509="RESTRINGIDO", $N532="RESTRINGIDO"), 0, AD472)</f>
        <v/>
      </c>
      <c r="AE583" s="189">
        <f>IF(OR($N509="RESTRINGIDO", $N533="RESTRINGIDO"), 0, AE472)</f>
        <v/>
      </c>
      <c r="AF583" s="189">
        <f>IF(OR($N509="RESTRINGIDO", $N534="RESTRINGIDO"), 0, AF472)</f>
        <v/>
      </c>
      <c r="AG583" s="189">
        <f>IF(OR($N509="RESTRINGIDO", $N535="RESTRINGIDO"), 0, AG472)</f>
        <v/>
      </c>
      <c r="AH583" s="189">
        <f>IF(OR($N509="RESTRINGIDO", $N536="RESTRINGIDO"), 0, AH472)</f>
        <v/>
      </c>
      <c r="AJ583" s="87">
        <f>IF($N509="LIBRE", IF(ISNUMBER(E509), E509, 0), 0)</f>
        <v/>
      </c>
      <c r="AL583" s="188" t="n">
        <v>0.08861414141414145</v>
      </c>
      <c r="AN583" s="135" t="n">
        <v>0</v>
      </c>
    </row>
    <row r="584">
      <c r="B584" s="87">
        <f>IF(OR($N510="RESTRINGIDO", $N504="RESTRINGIDO"), 0, B473)</f>
        <v/>
      </c>
      <c r="C584" s="189">
        <f>IF(OR($N510="RESTRINGIDO", $N505="RESTRINGIDO"), 0, C473)</f>
        <v/>
      </c>
      <c r="D584" s="189">
        <f>IF(OR($N510="RESTRINGIDO", $N506="RESTRINGIDO"), 0, D473)</f>
        <v/>
      </c>
      <c r="E584" s="189">
        <f>IF(OR($N510="RESTRINGIDO", $N507="RESTRINGIDO"), 0, E473)</f>
        <v/>
      </c>
      <c r="F584" s="189">
        <f>IF(OR($N510="RESTRINGIDO", $N508="RESTRINGIDO"), 0, F473)</f>
        <v/>
      </c>
      <c r="G584" s="189">
        <f>IF(OR($N510="RESTRINGIDO", $N509="RESTRINGIDO"), 0, G473)</f>
        <v/>
      </c>
      <c r="H584" s="189">
        <f>IF($N510="RESTRINGIDO", 1, IF(OR($N510="", $C473=""), 1, H473))</f>
        <v/>
      </c>
      <c r="I584" s="189">
        <f>IF(OR($N510="RESTRINGIDO", $N511="RESTRINGIDO"), 0, I473)</f>
        <v/>
      </c>
      <c r="J584" s="189">
        <f>IF(OR($N510="RESTRINGIDO", $N512="RESTRINGIDO"), 0, J473)</f>
        <v/>
      </c>
      <c r="K584" s="189">
        <f>IF(OR($N510="RESTRINGIDO", $N513="RESTRINGIDO"), 0, K473)</f>
        <v/>
      </c>
      <c r="L584" s="189">
        <f>IF(OR($N510="RESTRINGIDO", $N514="RESTRINGIDO"), 0, L473)</f>
        <v/>
      </c>
      <c r="M584" s="189">
        <f>IF(OR($N510="RESTRINGIDO", $N515="RESTRINGIDO"), 0, M473)</f>
        <v/>
      </c>
      <c r="N584" s="189">
        <f>IF(OR($N510="RESTRINGIDO", $N516="RESTRINGIDO"), 0, N473)</f>
        <v/>
      </c>
      <c r="O584" s="189">
        <f>IF(OR($N510="RESTRINGIDO", $N517="RESTRINGIDO"), 0, O473)</f>
        <v/>
      </c>
      <c r="P584" s="189">
        <f>IF(OR($N510="RESTRINGIDO", $N518="RESTRINGIDO"), 0, P473)</f>
        <v/>
      </c>
      <c r="Q584" s="189">
        <f>IF(OR($N510="RESTRINGIDO", $N519="RESTRINGIDO"), 0, Q473)</f>
        <v/>
      </c>
      <c r="R584" s="189">
        <f>IF(OR($N510="RESTRINGIDO", $N520="RESTRINGIDO"), 0, R473)</f>
        <v/>
      </c>
      <c r="S584" s="86">
        <f>IF(OR($N510="RESTRINGIDO", $N521="RESTRINGIDO"), 0, S473)</f>
        <v/>
      </c>
      <c r="T584" s="78">
        <f>IF(OR($N510="RESTRINGIDO", $N522="RESTRINGIDO"), 0, T473)</f>
        <v/>
      </c>
      <c r="U584" s="189">
        <f>IF(OR($N510="RESTRINGIDO", $N523="RESTRINGIDO"), 0, U473)</f>
        <v/>
      </c>
      <c r="V584" s="189">
        <f>IF(OR($N510="RESTRINGIDO", $N524="RESTRINGIDO"), 0, V473)</f>
        <v/>
      </c>
      <c r="W584" s="189">
        <f>IF(OR($N510="RESTRINGIDO", $N525="RESTRINGIDO"), 0, W473)</f>
        <v/>
      </c>
      <c r="X584" s="189">
        <f>IF(OR($N510="RESTRINGIDO", $N526="RESTRINGIDO"), 0, X473)</f>
        <v/>
      </c>
      <c r="Y584" s="189">
        <f>IF(OR($N510="RESTRINGIDO", $N527="RESTRINGIDO"), 0, Y473)</f>
        <v/>
      </c>
      <c r="Z584" s="189">
        <f>IF(OR($N510="RESTRINGIDO", $N528="RESTRINGIDO"), 0, Z473)</f>
        <v/>
      </c>
      <c r="AA584" s="189">
        <f>IF(OR($N510="RESTRINGIDO", $N529="RESTRINGIDO"), 0, AA473)</f>
        <v/>
      </c>
      <c r="AB584" s="189">
        <f>IF(OR($N510="RESTRINGIDO", $N530="RESTRINGIDO"), 0, AB473)</f>
        <v/>
      </c>
      <c r="AC584" s="189">
        <f>IF(OR($N510="RESTRINGIDO", $N531="RESTRINGIDO"), 0, AC473)</f>
        <v/>
      </c>
      <c r="AD584" s="189">
        <f>IF(OR($N510="RESTRINGIDO", $N532="RESTRINGIDO"), 0, AD473)</f>
        <v/>
      </c>
      <c r="AE584" s="189">
        <f>IF(OR($N510="RESTRINGIDO", $N533="RESTRINGIDO"), 0, AE473)</f>
        <v/>
      </c>
      <c r="AF584" s="189">
        <f>IF(OR($N510="RESTRINGIDO", $N534="RESTRINGIDO"), 0, AF473)</f>
        <v/>
      </c>
      <c r="AG584" s="189">
        <f>IF(OR($N510="RESTRINGIDO", $N535="RESTRINGIDO"), 0, AG473)</f>
        <v/>
      </c>
      <c r="AH584" s="189">
        <f>IF(OR($N510="RESTRINGIDO", $N536="RESTRINGIDO"), 0, AH473)</f>
        <v/>
      </c>
      <c r="AJ584" s="87">
        <f>IF($N510="LIBRE", IF(ISNUMBER(E510), E510, 0), 0)</f>
        <v/>
      </c>
      <c r="AL584" s="188" t="n">
        <v>0</v>
      </c>
      <c r="AN584" s="135" t="n">
        <v>0</v>
      </c>
    </row>
    <row r="585">
      <c r="B585" s="87">
        <f>IF(OR($N511="RESTRINGIDO", $N504="RESTRINGIDO"), 0, B474)</f>
        <v/>
      </c>
      <c r="C585" s="189">
        <f>IF(OR($N511="RESTRINGIDO", $N505="RESTRINGIDO"), 0, C474)</f>
        <v/>
      </c>
      <c r="D585" s="189">
        <f>IF(OR($N511="RESTRINGIDO", $N506="RESTRINGIDO"), 0, D474)</f>
        <v/>
      </c>
      <c r="E585" s="189">
        <f>IF(OR($N511="RESTRINGIDO", $N507="RESTRINGIDO"), 0, E474)</f>
        <v/>
      </c>
      <c r="F585" s="189">
        <f>IF(OR($N511="RESTRINGIDO", $N508="RESTRINGIDO"), 0, F474)</f>
        <v/>
      </c>
      <c r="G585" s="189">
        <f>IF(OR($N511="RESTRINGIDO", $N509="RESTRINGIDO"), 0, G474)</f>
        <v/>
      </c>
      <c r="H585" s="189">
        <f>IF(OR($N511="RESTRINGIDO", $N510="RESTRINGIDO"), 0, H474)</f>
        <v/>
      </c>
      <c r="I585" s="189">
        <f>IF($N511="RESTRINGIDO", 1, IF(OR($N511="", $C474=""), 1, I474))</f>
        <v/>
      </c>
      <c r="J585" s="189">
        <f>IF(OR($N511="RESTRINGIDO", $N512="RESTRINGIDO"), 0, J474)</f>
        <v/>
      </c>
      <c r="K585" s="189">
        <f>IF(OR($N511="RESTRINGIDO", $N513="RESTRINGIDO"), 0, K474)</f>
        <v/>
      </c>
      <c r="L585" s="189">
        <f>IF(OR($N511="RESTRINGIDO", $N514="RESTRINGIDO"), 0, L474)</f>
        <v/>
      </c>
      <c r="M585" s="189">
        <f>IF(OR($N511="RESTRINGIDO", $N515="RESTRINGIDO"), 0, M474)</f>
        <v/>
      </c>
      <c r="N585" s="189">
        <f>IF(OR($N511="RESTRINGIDO", $N516="RESTRINGIDO"), 0, N474)</f>
        <v/>
      </c>
      <c r="O585" s="189">
        <f>IF(OR($N511="RESTRINGIDO", $N517="RESTRINGIDO"), 0, O474)</f>
        <v/>
      </c>
      <c r="P585" s="189">
        <f>IF(OR($N511="RESTRINGIDO", $N518="RESTRINGIDO"), 0, P474)</f>
        <v/>
      </c>
      <c r="Q585" s="189">
        <f>IF(OR($N511="RESTRINGIDO", $N519="RESTRINGIDO"), 0, Q474)</f>
        <v/>
      </c>
      <c r="R585" s="189">
        <f>IF(OR($N511="RESTRINGIDO", $N520="RESTRINGIDO"), 0, R474)</f>
        <v/>
      </c>
      <c r="S585" s="86">
        <f>IF(OR($N511="RESTRINGIDO", $N521="RESTRINGIDO"), 0, S474)</f>
        <v/>
      </c>
      <c r="T585" s="78">
        <f>IF(OR($N511="RESTRINGIDO", $N522="RESTRINGIDO"), 0, T474)</f>
        <v/>
      </c>
      <c r="U585" s="189">
        <f>IF(OR($N511="RESTRINGIDO", $N523="RESTRINGIDO"), 0, U474)</f>
        <v/>
      </c>
      <c r="V585" s="189">
        <f>IF(OR($N511="RESTRINGIDO", $N524="RESTRINGIDO"), 0, V474)</f>
        <v/>
      </c>
      <c r="W585" s="189">
        <f>IF(OR($N511="RESTRINGIDO", $N525="RESTRINGIDO"), 0, W474)</f>
        <v/>
      </c>
      <c r="X585" s="189">
        <f>IF(OR($N511="RESTRINGIDO", $N526="RESTRINGIDO"), 0, X474)</f>
        <v/>
      </c>
      <c r="Y585" s="189">
        <f>IF(OR($N511="RESTRINGIDO", $N527="RESTRINGIDO"), 0, Y474)</f>
        <v/>
      </c>
      <c r="Z585" s="189">
        <f>IF(OR($N511="RESTRINGIDO", $N528="RESTRINGIDO"), 0, Z474)</f>
        <v/>
      </c>
      <c r="AA585" s="189">
        <f>IF(OR($N511="RESTRINGIDO", $N529="RESTRINGIDO"), 0, AA474)</f>
        <v/>
      </c>
      <c r="AB585" s="189">
        <f>IF(OR($N511="RESTRINGIDO", $N530="RESTRINGIDO"), 0, AB474)</f>
        <v/>
      </c>
      <c r="AC585" s="189">
        <f>IF(OR($N511="RESTRINGIDO", $N531="RESTRINGIDO"), 0, AC474)</f>
        <v/>
      </c>
      <c r="AD585" s="189">
        <f>IF(OR($N511="RESTRINGIDO", $N532="RESTRINGIDO"), 0, AD474)</f>
        <v/>
      </c>
      <c r="AE585" s="189">
        <f>IF(OR($N511="RESTRINGIDO", $N533="RESTRINGIDO"), 0, AE474)</f>
        <v/>
      </c>
      <c r="AF585" s="189">
        <f>IF(OR($N511="RESTRINGIDO", $N534="RESTRINGIDO"), 0, AF474)</f>
        <v/>
      </c>
      <c r="AG585" s="189">
        <f>IF(OR($N511="RESTRINGIDO", $N535="RESTRINGIDO"), 0, AG474)</f>
        <v/>
      </c>
      <c r="AH585" s="189">
        <f>IF(OR($N511="RESTRINGIDO", $N536="RESTRINGIDO"), 0, AH474)</f>
        <v/>
      </c>
      <c r="AJ585" s="87">
        <f>IF($N511="LIBRE", IF(ISNUMBER(E511), E511, 0), 0)</f>
        <v/>
      </c>
      <c r="AL585" s="188" t="n">
        <v>0</v>
      </c>
      <c r="AN585" s="135" t="n">
        <v>5295.555555555547</v>
      </c>
    </row>
    <row r="586">
      <c r="B586" s="87">
        <f>IF(OR($N512="RESTRINGIDO", $N504="RESTRINGIDO"), 0, B475)</f>
        <v/>
      </c>
      <c r="C586" s="189">
        <f>IF(OR($N512="RESTRINGIDO", $N505="RESTRINGIDO"), 0, C475)</f>
        <v/>
      </c>
      <c r="D586" s="189">
        <f>IF(OR($N512="RESTRINGIDO", $N506="RESTRINGIDO"), 0, D475)</f>
        <v/>
      </c>
      <c r="E586" s="189">
        <f>IF(OR($N512="RESTRINGIDO", $N507="RESTRINGIDO"), 0, E475)</f>
        <v/>
      </c>
      <c r="F586" s="189">
        <f>IF(OR($N512="RESTRINGIDO", $N508="RESTRINGIDO"), 0, F475)</f>
        <v/>
      </c>
      <c r="G586" s="189">
        <f>IF(OR($N512="RESTRINGIDO", $N509="RESTRINGIDO"), 0, G475)</f>
        <v/>
      </c>
      <c r="H586" s="189">
        <f>IF(OR($N512="RESTRINGIDO", $N510="RESTRINGIDO"), 0, H475)</f>
        <v/>
      </c>
      <c r="I586" s="189">
        <f>IF(OR($N512="RESTRINGIDO", $N511="RESTRINGIDO"), 0, I475)</f>
        <v/>
      </c>
      <c r="J586" s="189">
        <f>IF($N512="RESTRINGIDO", 1, IF(OR($N512="", $C475=""), 1, J475))</f>
        <v/>
      </c>
      <c r="K586" s="189">
        <f>IF(OR($N512="RESTRINGIDO", $N513="RESTRINGIDO"), 0, K475)</f>
        <v/>
      </c>
      <c r="L586" s="189">
        <f>IF(OR($N512="RESTRINGIDO", $N514="RESTRINGIDO"), 0, L475)</f>
        <v/>
      </c>
      <c r="M586" s="189">
        <f>IF(OR($N512="RESTRINGIDO", $N515="RESTRINGIDO"), 0, M475)</f>
        <v/>
      </c>
      <c r="N586" s="189">
        <f>IF(OR($N512="RESTRINGIDO", $N516="RESTRINGIDO"), 0, N475)</f>
        <v/>
      </c>
      <c r="O586" s="189">
        <f>IF(OR($N512="RESTRINGIDO", $N517="RESTRINGIDO"), 0, O475)</f>
        <v/>
      </c>
      <c r="P586" s="189">
        <f>IF(OR($N512="RESTRINGIDO", $N518="RESTRINGIDO"), 0, P475)</f>
        <v/>
      </c>
      <c r="Q586" s="189">
        <f>IF(OR($N512="RESTRINGIDO", $N519="RESTRINGIDO"), 0, Q475)</f>
        <v/>
      </c>
      <c r="R586" s="189">
        <f>IF(OR($N512="RESTRINGIDO", $N520="RESTRINGIDO"), 0, R475)</f>
        <v/>
      </c>
      <c r="S586" s="86">
        <f>IF(OR($N512="RESTRINGIDO", $N521="RESTRINGIDO"), 0, S475)</f>
        <v/>
      </c>
      <c r="T586" s="78">
        <f>IF(OR($N512="RESTRINGIDO", $N522="RESTRINGIDO"), 0, T475)</f>
        <v/>
      </c>
      <c r="U586" s="189">
        <f>IF(OR($N512="RESTRINGIDO", $N523="RESTRINGIDO"), 0, U475)</f>
        <v/>
      </c>
      <c r="V586" s="189">
        <f>IF(OR($N512="RESTRINGIDO", $N524="RESTRINGIDO"), 0, V475)</f>
        <v/>
      </c>
      <c r="W586" s="189">
        <f>IF(OR($N512="RESTRINGIDO", $N525="RESTRINGIDO"), 0, W475)</f>
        <v/>
      </c>
      <c r="X586" s="189">
        <f>IF(OR($N512="RESTRINGIDO", $N526="RESTRINGIDO"), 0, X475)</f>
        <v/>
      </c>
      <c r="Y586" s="189">
        <f>IF(OR($N512="RESTRINGIDO", $N527="RESTRINGIDO"), 0, Y475)</f>
        <v/>
      </c>
      <c r="Z586" s="189">
        <f>IF(OR($N512="RESTRINGIDO", $N528="RESTRINGIDO"), 0, Z475)</f>
        <v/>
      </c>
      <c r="AA586" s="189">
        <f>IF(OR($N512="RESTRINGIDO", $N529="RESTRINGIDO"), 0, AA475)</f>
        <v/>
      </c>
      <c r="AB586" s="189">
        <f>IF(OR($N512="RESTRINGIDO", $N530="RESTRINGIDO"), 0, AB475)</f>
        <v/>
      </c>
      <c r="AC586" s="189">
        <f>IF(OR($N512="RESTRINGIDO", $N531="RESTRINGIDO"), 0, AC475)</f>
        <v/>
      </c>
      <c r="AD586" s="189">
        <f>IF(OR($N512="RESTRINGIDO", $N532="RESTRINGIDO"), 0, AD475)</f>
        <v/>
      </c>
      <c r="AE586" s="189">
        <f>IF(OR($N512="RESTRINGIDO", $N533="RESTRINGIDO"), 0, AE475)</f>
        <v/>
      </c>
      <c r="AF586" s="189">
        <f>IF(OR($N512="RESTRINGIDO", $N534="RESTRINGIDO"), 0, AF475)</f>
        <v/>
      </c>
      <c r="AG586" s="189">
        <f>IF(OR($N512="RESTRINGIDO", $N535="RESTRINGIDO"), 0, AG475)</f>
        <v/>
      </c>
      <c r="AH586" s="189">
        <f>IF(OR($N512="RESTRINGIDO", $N536="RESTRINGIDO"), 0, AH475)</f>
        <v/>
      </c>
      <c r="AJ586" s="87">
        <f>IF($N512="LIBRE", IF(ISNUMBER(E512), E512, 0), 0)</f>
        <v/>
      </c>
      <c r="AL586" s="188" t="n">
        <v>-0.4091313131313132</v>
      </c>
      <c r="AN586" s="135" t="n">
        <v>0</v>
      </c>
    </row>
    <row r="587">
      <c r="B587" s="87">
        <f>IF(OR($N513="RESTRINGIDO", $N504="RESTRINGIDO"), 0, B476)</f>
        <v/>
      </c>
      <c r="C587" s="189">
        <f>IF(OR($N513="RESTRINGIDO", $N505="RESTRINGIDO"), 0, C476)</f>
        <v/>
      </c>
      <c r="D587" s="189">
        <f>IF(OR($N513="RESTRINGIDO", $N506="RESTRINGIDO"), 0, D476)</f>
        <v/>
      </c>
      <c r="E587" s="189">
        <f>IF(OR($N513="RESTRINGIDO", $N507="RESTRINGIDO"), 0, E476)</f>
        <v/>
      </c>
      <c r="F587" s="189">
        <f>IF(OR($N513="RESTRINGIDO", $N508="RESTRINGIDO"), 0, F476)</f>
        <v/>
      </c>
      <c r="G587" s="189">
        <f>IF(OR($N513="RESTRINGIDO", $N509="RESTRINGIDO"), 0, G476)</f>
        <v/>
      </c>
      <c r="H587" s="189">
        <f>IF(OR($N513="RESTRINGIDO", $N510="RESTRINGIDO"), 0, H476)</f>
        <v/>
      </c>
      <c r="I587" s="189">
        <f>IF(OR($N513="RESTRINGIDO", $N511="RESTRINGIDO"), 0, I476)</f>
        <v/>
      </c>
      <c r="J587" s="189">
        <f>IF(OR($N513="RESTRINGIDO", $N512="RESTRINGIDO"), 0, J476)</f>
        <v/>
      </c>
      <c r="K587" s="189">
        <f>IF($N513="RESTRINGIDO", 1, IF(OR($N513="", $C476=""), 1, K476))</f>
        <v/>
      </c>
      <c r="L587" s="189">
        <f>IF(OR($N513="RESTRINGIDO", $N514="RESTRINGIDO"), 0, L476)</f>
        <v/>
      </c>
      <c r="M587" s="189">
        <f>IF(OR($N513="RESTRINGIDO", $N515="RESTRINGIDO"), 0, M476)</f>
        <v/>
      </c>
      <c r="N587" s="189">
        <f>IF(OR($N513="RESTRINGIDO", $N516="RESTRINGIDO"), 0, N476)</f>
        <v/>
      </c>
      <c r="O587" s="189">
        <f>IF(OR($N513="RESTRINGIDO", $N517="RESTRINGIDO"), 0, O476)</f>
        <v/>
      </c>
      <c r="P587" s="189">
        <f>IF(OR($N513="RESTRINGIDO", $N518="RESTRINGIDO"), 0, P476)</f>
        <v/>
      </c>
      <c r="Q587" s="189">
        <f>IF(OR($N513="RESTRINGIDO", $N519="RESTRINGIDO"), 0, Q476)</f>
        <v/>
      </c>
      <c r="R587" s="189">
        <f>IF(OR($N513="RESTRINGIDO", $N520="RESTRINGIDO"), 0, R476)</f>
        <v/>
      </c>
      <c r="S587" s="86">
        <f>IF(OR($N513="RESTRINGIDO", $N521="RESTRINGIDO"), 0, S476)</f>
        <v/>
      </c>
      <c r="T587" s="78">
        <f>IF(OR($N513="RESTRINGIDO", $N522="RESTRINGIDO"), 0, T476)</f>
        <v/>
      </c>
      <c r="U587" s="189">
        <f>IF(OR($N513="RESTRINGIDO", $N523="RESTRINGIDO"), 0, U476)</f>
        <v/>
      </c>
      <c r="V587" s="189">
        <f>IF(OR($N513="RESTRINGIDO", $N524="RESTRINGIDO"), 0, V476)</f>
        <v/>
      </c>
      <c r="W587" s="189">
        <f>IF(OR($N513="RESTRINGIDO", $N525="RESTRINGIDO"), 0, W476)</f>
        <v/>
      </c>
      <c r="X587" s="189">
        <f>IF(OR($N513="RESTRINGIDO", $N526="RESTRINGIDO"), 0, X476)</f>
        <v/>
      </c>
      <c r="Y587" s="189">
        <f>IF(OR($N513="RESTRINGIDO", $N527="RESTRINGIDO"), 0, Y476)</f>
        <v/>
      </c>
      <c r="Z587" s="189">
        <f>IF(OR($N513="RESTRINGIDO", $N528="RESTRINGIDO"), 0, Z476)</f>
        <v/>
      </c>
      <c r="AA587" s="189">
        <f>IF(OR($N513="RESTRINGIDO", $N529="RESTRINGIDO"), 0, AA476)</f>
        <v/>
      </c>
      <c r="AB587" s="189">
        <f>IF(OR($N513="RESTRINGIDO", $N530="RESTRINGIDO"), 0, AB476)</f>
        <v/>
      </c>
      <c r="AC587" s="189">
        <f>IF(OR($N513="RESTRINGIDO", $N531="RESTRINGIDO"), 0, AC476)</f>
        <v/>
      </c>
      <c r="AD587" s="189">
        <f>IF(OR($N513="RESTRINGIDO", $N532="RESTRINGIDO"), 0, AD476)</f>
        <v/>
      </c>
      <c r="AE587" s="189">
        <f>IF(OR($N513="RESTRINGIDO", $N533="RESTRINGIDO"), 0, AE476)</f>
        <v/>
      </c>
      <c r="AF587" s="189">
        <f>IF(OR($N513="RESTRINGIDO", $N534="RESTRINGIDO"), 0, AF476)</f>
        <v/>
      </c>
      <c r="AG587" s="189">
        <f>IF(OR($N513="RESTRINGIDO", $N535="RESTRINGIDO"), 0, AG476)</f>
        <v/>
      </c>
      <c r="AH587" s="189">
        <f>IF(OR($N513="RESTRINGIDO", $N536="RESTRINGIDO"), 0, AH476)</f>
        <v/>
      </c>
      <c r="AJ587" s="87">
        <f>IF($N513="LIBRE", IF(ISNUMBER(E513), E513, 0), 0)</f>
        <v/>
      </c>
      <c r="AL587" s="188" t="n">
        <v>0</v>
      </c>
      <c r="AN587" s="135" t="n">
        <v>0</v>
      </c>
    </row>
    <row r="588">
      <c r="B588" s="87">
        <f>IF(OR($N514="RESTRINGIDO", $N504="RESTRINGIDO"), 0, B477)</f>
        <v/>
      </c>
      <c r="C588" s="189">
        <f>IF(OR($N514="RESTRINGIDO", $N505="RESTRINGIDO"), 0, C477)</f>
        <v/>
      </c>
      <c r="D588" s="189">
        <f>IF(OR($N514="RESTRINGIDO", $N506="RESTRINGIDO"), 0, D477)</f>
        <v/>
      </c>
      <c r="E588" s="189">
        <f>IF(OR($N514="RESTRINGIDO", $N507="RESTRINGIDO"), 0, E477)</f>
        <v/>
      </c>
      <c r="F588" s="189">
        <f>IF(OR($N514="RESTRINGIDO", $N508="RESTRINGIDO"), 0, F477)</f>
        <v/>
      </c>
      <c r="G588" s="189">
        <f>IF(OR($N514="RESTRINGIDO", $N509="RESTRINGIDO"), 0, G477)</f>
        <v/>
      </c>
      <c r="H588" s="189">
        <f>IF(OR($N514="RESTRINGIDO", $N510="RESTRINGIDO"), 0, H477)</f>
        <v/>
      </c>
      <c r="I588" s="189">
        <f>IF(OR($N514="RESTRINGIDO", $N511="RESTRINGIDO"), 0, I477)</f>
        <v/>
      </c>
      <c r="J588" s="189">
        <f>IF(OR($N514="RESTRINGIDO", $N512="RESTRINGIDO"), 0, J477)</f>
        <v/>
      </c>
      <c r="K588" s="189">
        <f>IF(OR($N514="RESTRINGIDO", $N513="RESTRINGIDO"), 0, K477)</f>
        <v/>
      </c>
      <c r="L588" s="189">
        <f>IF($N514="RESTRINGIDO", 1, IF(OR($N514="", $C477=""), 1, L477))</f>
        <v/>
      </c>
      <c r="M588" s="189">
        <f>IF(OR($N514="RESTRINGIDO", $N515="RESTRINGIDO"), 0, M477)</f>
        <v/>
      </c>
      <c r="N588" s="189">
        <f>IF(OR($N514="RESTRINGIDO", $N516="RESTRINGIDO"), 0, N477)</f>
        <v/>
      </c>
      <c r="O588" s="189">
        <f>IF(OR($N514="RESTRINGIDO", $N517="RESTRINGIDO"), 0, O477)</f>
        <v/>
      </c>
      <c r="P588" s="189">
        <f>IF(OR($N514="RESTRINGIDO", $N518="RESTRINGIDO"), 0, P477)</f>
        <v/>
      </c>
      <c r="Q588" s="189">
        <f>IF(OR($N514="RESTRINGIDO", $N519="RESTRINGIDO"), 0, Q477)</f>
        <v/>
      </c>
      <c r="R588" s="189">
        <f>IF(OR($N514="RESTRINGIDO", $N520="RESTRINGIDO"), 0, R477)</f>
        <v/>
      </c>
      <c r="S588" s="86">
        <f>IF(OR($N514="RESTRINGIDO", $N521="RESTRINGIDO"), 0, S477)</f>
        <v/>
      </c>
      <c r="T588" s="78">
        <f>IF(OR($N514="RESTRINGIDO", $N522="RESTRINGIDO"), 0, T477)</f>
        <v/>
      </c>
      <c r="U588" s="189">
        <f>IF(OR($N514="RESTRINGIDO", $N523="RESTRINGIDO"), 0, U477)</f>
        <v/>
      </c>
      <c r="V588" s="189">
        <f>IF(OR($N514="RESTRINGIDO", $N524="RESTRINGIDO"), 0, V477)</f>
        <v/>
      </c>
      <c r="W588" s="189">
        <f>IF(OR($N514="RESTRINGIDO", $N525="RESTRINGIDO"), 0, W477)</f>
        <v/>
      </c>
      <c r="X588" s="189">
        <f>IF(OR($N514="RESTRINGIDO", $N526="RESTRINGIDO"), 0, X477)</f>
        <v/>
      </c>
      <c r="Y588" s="189">
        <f>IF(OR($N514="RESTRINGIDO", $N527="RESTRINGIDO"), 0, Y477)</f>
        <v/>
      </c>
      <c r="Z588" s="189">
        <f>IF(OR($N514="RESTRINGIDO", $N528="RESTRINGIDO"), 0, Z477)</f>
        <v/>
      </c>
      <c r="AA588" s="189">
        <f>IF(OR($N514="RESTRINGIDO", $N529="RESTRINGIDO"), 0, AA477)</f>
        <v/>
      </c>
      <c r="AB588" s="189">
        <f>IF(OR($N514="RESTRINGIDO", $N530="RESTRINGIDO"), 0, AB477)</f>
        <v/>
      </c>
      <c r="AC588" s="189">
        <f>IF(OR($N514="RESTRINGIDO", $N531="RESTRINGIDO"), 0, AC477)</f>
        <v/>
      </c>
      <c r="AD588" s="189">
        <f>IF(OR($N514="RESTRINGIDO", $N532="RESTRINGIDO"), 0, AD477)</f>
        <v/>
      </c>
      <c r="AE588" s="189">
        <f>IF(OR($N514="RESTRINGIDO", $N533="RESTRINGIDO"), 0, AE477)</f>
        <v/>
      </c>
      <c r="AF588" s="189">
        <f>IF(OR($N514="RESTRINGIDO", $N534="RESTRINGIDO"), 0, AF477)</f>
        <v/>
      </c>
      <c r="AG588" s="189">
        <f>IF(OR($N514="RESTRINGIDO", $N535="RESTRINGIDO"), 0, AG477)</f>
        <v/>
      </c>
      <c r="AH588" s="189">
        <f>IF(OR($N514="RESTRINGIDO", $N536="RESTRINGIDO"), 0, AH477)</f>
        <v/>
      </c>
      <c r="AJ588" s="87">
        <f>IF($N514="LIBRE", IF(ISNUMBER(E514), E514, 0), 0)</f>
        <v/>
      </c>
      <c r="AL588" s="188" t="n">
        <v>-59.85185185185186</v>
      </c>
      <c r="AN588" s="135" t="n">
        <v>1.023181539494544e-11</v>
      </c>
    </row>
    <row r="589">
      <c r="B589" s="87">
        <f>IF(OR($N515="RESTRINGIDO", $N504="RESTRINGIDO"), 0, B478)</f>
        <v/>
      </c>
      <c r="C589" s="189">
        <f>IF(OR($N515="RESTRINGIDO", $N505="RESTRINGIDO"), 0, C478)</f>
        <v/>
      </c>
      <c r="D589" s="189">
        <f>IF(OR($N515="RESTRINGIDO", $N506="RESTRINGIDO"), 0, D478)</f>
        <v/>
      </c>
      <c r="E589" s="189">
        <f>IF(OR($N515="RESTRINGIDO", $N507="RESTRINGIDO"), 0, E478)</f>
        <v/>
      </c>
      <c r="F589" s="189">
        <f>IF(OR($N515="RESTRINGIDO", $N508="RESTRINGIDO"), 0, F478)</f>
        <v/>
      </c>
      <c r="G589" s="189">
        <f>IF(OR($N515="RESTRINGIDO", $N509="RESTRINGIDO"), 0, G478)</f>
        <v/>
      </c>
      <c r="H589" s="189">
        <f>IF(OR($N515="RESTRINGIDO", $N510="RESTRINGIDO"), 0, H478)</f>
        <v/>
      </c>
      <c r="I589" s="189">
        <f>IF(OR($N515="RESTRINGIDO", $N511="RESTRINGIDO"), 0, I478)</f>
        <v/>
      </c>
      <c r="J589" s="189">
        <f>IF(OR($N515="RESTRINGIDO", $N512="RESTRINGIDO"), 0, J478)</f>
        <v/>
      </c>
      <c r="K589" s="189">
        <f>IF(OR($N515="RESTRINGIDO", $N513="RESTRINGIDO"), 0, K478)</f>
        <v/>
      </c>
      <c r="L589" s="189">
        <f>IF(OR($N515="RESTRINGIDO", $N514="RESTRINGIDO"), 0, L478)</f>
        <v/>
      </c>
      <c r="M589" s="189">
        <f>IF($N515="RESTRINGIDO", 1, IF(OR($N515="", $C478=""), 1, M478))</f>
        <v/>
      </c>
      <c r="N589" s="189">
        <f>IF(OR($N515="RESTRINGIDO", $N516="RESTRINGIDO"), 0, N478)</f>
        <v/>
      </c>
      <c r="O589" s="189">
        <f>IF(OR($N515="RESTRINGIDO", $N517="RESTRINGIDO"), 0, O478)</f>
        <v/>
      </c>
      <c r="P589" s="189">
        <f>IF(OR($N515="RESTRINGIDO", $N518="RESTRINGIDO"), 0, P478)</f>
        <v/>
      </c>
      <c r="Q589" s="189">
        <f>IF(OR($N515="RESTRINGIDO", $N519="RESTRINGIDO"), 0, Q478)</f>
        <v/>
      </c>
      <c r="R589" s="189">
        <f>IF(OR($N515="RESTRINGIDO", $N520="RESTRINGIDO"), 0, R478)</f>
        <v/>
      </c>
      <c r="S589" s="86">
        <f>IF(OR($N515="RESTRINGIDO", $N521="RESTRINGIDO"), 0, S478)</f>
        <v/>
      </c>
      <c r="T589" s="78">
        <f>IF(OR($N515="RESTRINGIDO", $N522="RESTRINGIDO"), 0, T478)</f>
        <v/>
      </c>
      <c r="U589" s="189">
        <f>IF(OR($N515="RESTRINGIDO", $N523="RESTRINGIDO"), 0, U478)</f>
        <v/>
      </c>
      <c r="V589" s="189">
        <f>IF(OR($N515="RESTRINGIDO", $N524="RESTRINGIDO"), 0, V478)</f>
        <v/>
      </c>
      <c r="W589" s="189">
        <f>IF(OR($N515="RESTRINGIDO", $N525="RESTRINGIDO"), 0, W478)</f>
        <v/>
      </c>
      <c r="X589" s="189">
        <f>IF(OR($N515="RESTRINGIDO", $N526="RESTRINGIDO"), 0, X478)</f>
        <v/>
      </c>
      <c r="Y589" s="189">
        <f>IF(OR($N515="RESTRINGIDO", $N527="RESTRINGIDO"), 0, Y478)</f>
        <v/>
      </c>
      <c r="Z589" s="189">
        <f>IF(OR($N515="RESTRINGIDO", $N528="RESTRINGIDO"), 0, Z478)</f>
        <v/>
      </c>
      <c r="AA589" s="189">
        <f>IF(OR($N515="RESTRINGIDO", $N529="RESTRINGIDO"), 0, AA478)</f>
        <v/>
      </c>
      <c r="AB589" s="189">
        <f>IF(OR($N515="RESTRINGIDO", $N530="RESTRINGIDO"), 0, AB478)</f>
        <v/>
      </c>
      <c r="AC589" s="189">
        <f>IF(OR($N515="RESTRINGIDO", $N531="RESTRINGIDO"), 0, AC478)</f>
        <v/>
      </c>
      <c r="AD589" s="189">
        <f>IF(OR($N515="RESTRINGIDO", $N532="RESTRINGIDO"), 0, AD478)</f>
        <v/>
      </c>
      <c r="AE589" s="189">
        <f>IF(OR($N515="RESTRINGIDO", $N533="RESTRINGIDO"), 0, AE478)</f>
        <v/>
      </c>
      <c r="AF589" s="189">
        <f>IF(OR($N515="RESTRINGIDO", $N534="RESTRINGIDO"), 0, AF478)</f>
        <v/>
      </c>
      <c r="AG589" s="189">
        <f>IF(OR($N515="RESTRINGIDO", $N535="RESTRINGIDO"), 0, AG478)</f>
        <v/>
      </c>
      <c r="AH589" s="189">
        <f>IF(OR($N515="RESTRINGIDO", $N536="RESTRINGIDO"), 0, AH478)</f>
        <v/>
      </c>
      <c r="AJ589" s="87">
        <f>IF($N515="LIBRE", IF(ISNUMBER(E515), E515, 0), 0)</f>
        <v/>
      </c>
      <c r="AL589" s="188" t="n">
        <v>-0.6873535353535356</v>
      </c>
      <c r="AN589" s="135" t="n">
        <v>-1.236912794411182e-10</v>
      </c>
    </row>
    <row r="590">
      <c r="B590" s="87">
        <f>IF(OR($N516="RESTRINGIDO", $N504="RESTRINGIDO"), 0, B479)</f>
        <v/>
      </c>
      <c r="C590" s="189">
        <f>IF(OR($N516="RESTRINGIDO", $N505="RESTRINGIDO"), 0, C479)</f>
        <v/>
      </c>
      <c r="D590" s="189">
        <f>IF(OR($N516="RESTRINGIDO", $N506="RESTRINGIDO"), 0, D479)</f>
        <v/>
      </c>
      <c r="E590" s="189">
        <f>IF(OR($N516="RESTRINGIDO", $N507="RESTRINGIDO"), 0, E479)</f>
        <v/>
      </c>
      <c r="F590" s="189">
        <f>IF(OR($N516="RESTRINGIDO", $N508="RESTRINGIDO"), 0, F479)</f>
        <v/>
      </c>
      <c r="G590" s="189">
        <f>IF(OR($N516="RESTRINGIDO", $N509="RESTRINGIDO"), 0, G479)</f>
        <v/>
      </c>
      <c r="H590" s="189">
        <f>IF(OR($N516="RESTRINGIDO", $N510="RESTRINGIDO"), 0, H479)</f>
        <v/>
      </c>
      <c r="I590" s="189">
        <f>IF(OR($N516="RESTRINGIDO", $N511="RESTRINGIDO"), 0, I479)</f>
        <v/>
      </c>
      <c r="J590" s="189">
        <f>IF(OR($N516="RESTRINGIDO", $N512="RESTRINGIDO"), 0, J479)</f>
        <v/>
      </c>
      <c r="K590" s="189">
        <f>IF(OR($N516="RESTRINGIDO", $N513="RESTRINGIDO"), 0, K479)</f>
        <v/>
      </c>
      <c r="L590" s="189">
        <f>IF(OR($N516="RESTRINGIDO", $N514="RESTRINGIDO"), 0, L479)</f>
        <v/>
      </c>
      <c r="M590" s="189">
        <f>IF(OR($N516="RESTRINGIDO", $N515="RESTRINGIDO"), 0, M479)</f>
        <v/>
      </c>
      <c r="N590" s="189">
        <f>IF($N516="RESTRINGIDO", 1, IF(OR($N516="", $C479=""), 1, N479))</f>
        <v/>
      </c>
      <c r="O590" s="189">
        <f>IF(OR($N516="RESTRINGIDO", $N517="RESTRINGIDO"), 0, O479)</f>
        <v/>
      </c>
      <c r="P590" s="189">
        <f>IF(OR($N516="RESTRINGIDO", $N518="RESTRINGIDO"), 0, P479)</f>
        <v/>
      </c>
      <c r="Q590" s="189">
        <f>IF(OR($N516="RESTRINGIDO", $N519="RESTRINGIDO"), 0, Q479)</f>
        <v/>
      </c>
      <c r="R590" s="189">
        <f>IF(OR($N516="RESTRINGIDO", $N520="RESTRINGIDO"), 0, R479)</f>
        <v/>
      </c>
      <c r="S590" s="86">
        <f>IF(OR($N516="RESTRINGIDO", $N521="RESTRINGIDO"), 0, S479)</f>
        <v/>
      </c>
      <c r="T590" s="78">
        <f>IF(OR($N516="RESTRINGIDO", $N522="RESTRINGIDO"), 0, T479)</f>
        <v/>
      </c>
      <c r="U590" s="189">
        <f>IF(OR($N516="RESTRINGIDO", $N523="RESTRINGIDO"), 0, U479)</f>
        <v/>
      </c>
      <c r="V590" s="189">
        <f>IF(OR($N516="RESTRINGIDO", $N524="RESTRINGIDO"), 0, V479)</f>
        <v/>
      </c>
      <c r="W590" s="189">
        <f>IF(OR($N516="RESTRINGIDO", $N525="RESTRINGIDO"), 0, W479)</f>
        <v/>
      </c>
      <c r="X590" s="189">
        <f>IF(OR($N516="RESTRINGIDO", $N526="RESTRINGIDO"), 0, X479)</f>
        <v/>
      </c>
      <c r="Y590" s="189">
        <f>IF(OR($N516="RESTRINGIDO", $N527="RESTRINGIDO"), 0, Y479)</f>
        <v/>
      </c>
      <c r="Z590" s="189">
        <f>IF(OR($N516="RESTRINGIDO", $N528="RESTRINGIDO"), 0, Z479)</f>
        <v/>
      </c>
      <c r="AA590" s="189">
        <f>IF(OR($N516="RESTRINGIDO", $N529="RESTRINGIDO"), 0, AA479)</f>
        <v/>
      </c>
      <c r="AB590" s="189">
        <f>IF(OR($N516="RESTRINGIDO", $N530="RESTRINGIDO"), 0, AB479)</f>
        <v/>
      </c>
      <c r="AC590" s="189">
        <f>IF(OR($N516="RESTRINGIDO", $N531="RESTRINGIDO"), 0, AC479)</f>
        <v/>
      </c>
      <c r="AD590" s="189">
        <f>IF(OR($N516="RESTRINGIDO", $N532="RESTRINGIDO"), 0, AD479)</f>
        <v/>
      </c>
      <c r="AE590" s="189">
        <f>IF(OR($N516="RESTRINGIDO", $N533="RESTRINGIDO"), 0, AE479)</f>
        <v/>
      </c>
      <c r="AF590" s="189">
        <f>IF(OR($N516="RESTRINGIDO", $N534="RESTRINGIDO"), 0, AF479)</f>
        <v/>
      </c>
      <c r="AG590" s="189">
        <f>IF(OR($N516="RESTRINGIDO", $N535="RESTRINGIDO"), 0, AG479)</f>
        <v/>
      </c>
      <c r="AH590" s="189">
        <f>IF(OR($N516="RESTRINGIDO", $N536="RESTRINGIDO"), 0, AH479)</f>
        <v/>
      </c>
      <c r="AJ590" s="87">
        <f>IF($N516="LIBRE", IF(ISNUMBER(E516), E516, 0), 0)</f>
        <v/>
      </c>
      <c r="AL590" s="188" t="n">
        <v>0</v>
      </c>
      <c r="AN590" s="135" t="n">
        <v>0</v>
      </c>
    </row>
    <row r="591">
      <c r="B591" s="87">
        <f>IF(OR($N517="RESTRINGIDO", $N504="RESTRINGIDO"), 0, B480)</f>
        <v/>
      </c>
      <c r="C591" s="189">
        <f>IF(OR($N517="RESTRINGIDO", $N505="RESTRINGIDO"), 0, C480)</f>
        <v/>
      </c>
      <c r="D591" s="189">
        <f>IF(OR($N517="RESTRINGIDO", $N506="RESTRINGIDO"), 0, D480)</f>
        <v/>
      </c>
      <c r="E591" s="189">
        <f>IF(OR($N517="RESTRINGIDO", $N507="RESTRINGIDO"), 0, E480)</f>
        <v/>
      </c>
      <c r="F591" s="189">
        <f>IF(OR($N517="RESTRINGIDO", $N508="RESTRINGIDO"), 0, F480)</f>
        <v/>
      </c>
      <c r="G591" s="189">
        <f>IF(OR($N517="RESTRINGIDO", $N509="RESTRINGIDO"), 0, G480)</f>
        <v/>
      </c>
      <c r="H591" s="189">
        <f>IF(OR($N517="RESTRINGIDO", $N510="RESTRINGIDO"), 0, H480)</f>
        <v/>
      </c>
      <c r="I591" s="189">
        <f>IF(OR($N517="RESTRINGIDO", $N511="RESTRINGIDO"), 0, I480)</f>
        <v/>
      </c>
      <c r="J591" s="189">
        <f>IF(OR($N517="RESTRINGIDO", $N512="RESTRINGIDO"), 0, J480)</f>
        <v/>
      </c>
      <c r="K591" s="189">
        <f>IF(OR($N517="RESTRINGIDO", $N513="RESTRINGIDO"), 0, K480)</f>
        <v/>
      </c>
      <c r="L591" s="189">
        <f>IF(OR($N517="RESTRINGIDO", $N514="RESTRINGIDO"), 0, L480)</f>
        <v/>
      </c>
      <c r="M591" s="189">
        <f>IF(OR($N517="RESTRINGIDO", $N515="RESTRINGIDO"), 0, M480)</f>
        <v/>
      </c>
      <c r="N591" s="189">
        <f>IF(OR($N517="RESTRINGIDO", $N516="RESTRINGIDO"), 0, N480)</f>
        <v/>
      </c>
      <c r="O591" s="189">
        <f>IF($N517="RESTRINGIDO", 1, IF(OR($N517="", $C480=""), 1, O480))</f>
        <v/>
      </c>
      <c r="P591" s="189">
        <f>IF(OR($N517="RESTRINGIDO", $N518="RESTRINGIDO"), 0, P480)</f>
        <v/>
      </c>
      <c r="Q591" s="189">
        <f>IF(OR($N517="RESTRINGIDO", $N519="RESTRINGIDO"), 0, Q480)</f>
        <v/>
      </c>
      <c r="R591" s="189">
        <f>IF(OR($N517="RESTRINGIDO", $N520="RESTRINGIDO"), 0, R480)</f>
        <v/>
      </c>
      <c r="S591" s="86">
        <f>IF(OR($N517="RESTRINGIDO", $N521="RESTRINGIDO"), 0, S480)</f>
        <v/>
      </c>
      <c r="T591" s="78">
        <f>IF(OR($N517="RESTRINGIDO", $N522="RESTRINGIDO"), 0, T480)</f>
        <v/>
      </c>
      <c r="U591" s="189">
        <f>IF(OR($N517="RESTRINGIDO", $N523="RESTRINGIDO"), 0, U480)</f>
        <v/>
      </c>
      <c r="V591" s="189">
        <f>IF(OR($N517="RESTRINGIDO", $N524="RESTRINGIDO"), 0, V480)</f>
        <v/>
      </c>
      <c r="W591" s="189">
        <f>IF(OR($N517="RESTRINGIDO", $N525="RESTRINGIDO"), 0, W480)</f>
        <v/>
      </c>
      <c r="X591" s="189">
        <f>IF(OR($N517="RESTRINGIDO", $N526="RESTRINGIDO"), 0, X480)</f>
        <v/>
      </c>
      <c r="Y591" s="189">
        <f>IF(OR($N517="RESTRINGIDO", $N527="RESTRINGIDO"), 0, Y480)</f>
        <v/>
      </c>
      <c r="Z591" s="189">
        <f>IF(OR($N517="RESTRINGIDO", $N528="RESTRINGIDO"), 0, Z480)</f>
        <v/>
      </c>
      <c r="AA591" s="189">
        <f>IF(OR($N517="RESTRINGIDO", $N529="RESTRINGIDO"), 0, AA480)</f>
        <v/>
      </c>
      <c r="AB591" s="189">
        <f>IF(OR($N517="RESTRINGIDO", $N530="RESTRINGIDO"), 0, AB480)</f>
        <v/>
      </c>
      <c r="AC591" s="189">
        <f>IF(OR($N517="RESTRINGIDO", $N531="RESTRINGIDO"), 0, AC480)</f>
        <v/>
      </c>
      <c r="AD591" s="189">
        <f>IF(OR($N517="RESTRINGIDO", $N532="RESTRINGIDO"), 0, AD480)</f>
        <v/>
      </c>
      <c r="AE591" s="189">
        <f>IF(OR($N517="RESTRINGIDO", $N533="RESTRINGIDO"), 0, AE480)</f>
        <v/>
      </c>
      <c r="AF591" s="189">
        <f>IF(OR($N517="RESTRINGIDO", $N534="RESTRINGIDO"), 0, AF480)</f>
        <v/>
      </c>
      <c r="AG591" s="189">
        <f>IF(OR($N517="RESTRINGIDO", $N535="RESTRINGIDO"), 0, AG480)</f>
        <v/>
      </c>
      <c r="AH591" s="189">
        <f>IF(OR($N517="RESTRINGIDO", $N536="RESTRINGIDO"), 0, AH480)</f>
        <v/>
      </c>
      <c r="AJ591" s="87">
        <f>IF($N517="LIBRE", IF(ISNUMBER(E517), E517, 0), 0)</f>
        <v/>
      </c>
      <c r="AL591" s="188" t="n">
        <v>-154.8606060606061</v>
      </c>
      <c r="AN591" s="135" t="n">
        <v>0</v>
      </c>
    </row>
    <row r="592">
      <c r="B592" s="87">
        <f>IF(OR($N518="RESTRINGIDO", $N504="RESTRINGIDO"), 0, B481)</f>
        <v/>
      </c>
      <c r="C592" s="189">
        <f>IF(OR($N518="RESTRINGIDO", $N505="RESTRINGIDO"), 0, C481)</f>
        <v/>
      </c>
      <c r="D592" s="189">
        <f>IF(OR($N518="RESTRINGIDO", $N506="RESTRINGIDO"), 0, D481)</f>
        <v/>
      </c>
      <c r="E592" s="189">
        <f>IF(OR($N518="RESTRINGIDO", $N507="RESTRINGIDO"), 0, E481)</f>
        <v/>
      </c>
      <c r="F592" s="189">
        <f>IF(OR($N518="RESTRINGIDO", $N508="RESTRINGIDO"), 0, F481)</f>
        <v/>
      </c>
      <c r="G592" s="189">
        <f>IF(OR($N518="RESTRINGIDO", $N509="RESTRINGIDO"), 0, G481)</f>
        <v/>
      </c>
      <c r="H592" s="189">
        <f>IF(OR($N518="RESTRINGIDO", $N510="RESTRINGIDO"), 0, H481)</f>
        <v/>
      </c>
      <c r="I592" s="189">
        <f>IF(OR($N518="RESTRINGIDO", $N511="RESTRINGIDO"), 0, I481)</f>
        <v/>
      </c>
      <c r="J592" s="189">
        <f>IF(OR($N518="RESTRINGIDO", $N512="RESTRINGIDO"), 0, J481)</f>
        <v/>
      </c>
      <c r="K592" s="189">
        <f>IF(OR($N518="RESTRINGIDO", $N513="RESTRINGIDO"), 0, K481)</f>
        <v/>
      </c>
      <c r="L592" s="189">
        <f>IF(OR($N518="RESTRINGIDO", $N514="RESTRINGIDO"), 0, L481)</f>
        <v/>
      </c>
      <c r="M592" s="189">
        <f>IF(OR($N518="RESTRINGIDO", $N515="RESTRINGIDO"), 0, M481)</f>
        <v/>
      </c>
      <c r="N592" s="189">
        <f>IF(OR($N518="RESTRINGIDO", $N516="RESTRINGIDO"), 0, N481)</f>
        <v/>
      </c>
      <c r="O592" s="189">
        <f>IF(OR($N518="RESTRINGIDO", $N517="RESTRINGIDO"), 0, O481)</f>
        <v/>
      </c>
      <c r="P592" s="189">
        <f>IF($N518="RESTRINGIDO", 1, IF(OR($N518="", $C481=""), 1, P481))</f>
        <v/>
      </c>
      <c r="Q592" s="189">
        <f>IF(OR($N518="RESTRINGIDO", $N519="RESTRINGIDO"), 0, Q481)</f>
        <v/>
      </c>
      <c r="R592" s="189">
        <f>IF(OR($N518="RESTRINGIDO", $N520="RESTRINGIDO"), 0, R481)</f>
        <v/>
      </c>
      <c r="S592" s="86">
        <f>IF(OR($N518="RESTRINGIDO", $N521="RESTRINGIDO"), 0, S481)</f>
        <v/>
      </c>
      <c r="T592" s="78">
        <f>IF(OR($N518="RESTRINGIDO", $N522="RESTRINGIDO"), 0, T481)</f>
        <v/>
      </c>
      <c r="U592" s="189">
        <f>IF(OR($N518="RESTRINGIDO", $N523="RESTRINGIDO"), 0, U481)</f>
        <v/>
      </c>
      <c r="V592" s="189">
        <f>IF(OR($N518="RESTRINGIDO", $N524="RESTRINGIDO"), 0, V481)</f>
        <v/>
      </c>
      <c r="W592" s="189">
        <f>IF(OR($N518="RESTRINGIDO", $N525="RESTRINGIDO"), 0, W481)</f>
        <v/>
      </c>
      <c r="X592" s="189">
        <f>IF(OR($N518="RESTRINGIDO", $N526="RESTRINGIDO"), 0, X481)</f>
        <v/>
      </c>
      <c r="Y592" s="189">
        <f>IF(OR($N518="RESTRINGIDO", $N527="RESTRINGIDO"), 0, Y481)</f>
        <v/>
      </c>
      <c r="Z592" s="189">
        <f>IF(OR($N518="RESTRINGIDO", $N528="RESTRINGIDO"), 0, Z481)</f>
        <v/>
      </c>
      <c r="AA592" s="189">
        <f>IF(OR($N518="RESTRINGIDO", $N529="RESTRINGIDO"), 0, AA481)</f>
        <v/>
      </c>
      <c r="AB592" s="189">
        <f>IF(OR($N518="RESTRINGIDO", $N530="RESTRINGIDO"), 0, AB481)</f>
        <v/>
      </c>
      <c r="AC592" s="189">
        <f>IF(OR($N518="RESTRINGIDO", $N531="RESTRINGIDO"), 0, AC481)</f>
        <v/>
      </c>
      <c r="AD592" s="189">
        <f>IF(OR($N518="RESTRINGIDO", $N532="RESTRINGIDO"), 0, AD481)</f>
        <v/>
      </c>
      <c r="AE592" s="189">
        <f>IF(OR($N518="RESTRINGIDO", $N533="RESTRINGIDO"), 0, AE481)</f>
        <v/>
      </c>
      <c r="AF592" s="189">
        <f>IF(OR($N518="RESTRINGIDO", $N534="RESTRINGIDO"), 0, AF481)</f>
        <v/>
      </c>
      <c r="AG592" s="189">
        <f>IF(OR($N518="RESTRINGIDO", $N535="RESTRINGIDO"), 0, AG481)</f>
        <v/>
      </c>
      <c r="AH592" s="189">
        <f>IF(OR($N518="RESTRINGIDO", $N536="RESTRINGIDO"), 0, AH481)</f>
        <v/>
      </c>
      <c r="AJ592" s="87">
        <f>IF($N518="LIBRE", IF(ISNUMBER(E518), E518, 0), 0)</f>
        <v/>
      </c>
      <c r="AL592" s="188" t="n">
        <v>-0.07385858585858589</v>
      </c>
      <c r="AN592" s="135" t="n">
        <v>5.820766091346741e-11</v>
      </c>
    </row>
    <row r="593">
      <c r="B593" s="87">
        <f>IF(OR($N519="RESTRINGIDO", $N504="RESTRINGIDO"), 0, B482)</f>
        <v/>
      </c>
      <c r="C593" s="189">
        <f>IF(OR($N519="RESTRINGIDO", $N505="RESTRINGIDO"), 0, C482)</f>
        <v/>
      </c>
      <c r="D593" s="189">
        <f>IF(OR($N519="RESTRINGIDO", $N506="RESTRINGIDO"), 0, D482)</f>
        <v/>
      </c>
      <c r="E593" s="189">
        <f>IF(OR($N519="RESTRINGIDO", $N507="RESTRINGIDO"), 0, E482)</f>
        <v/>
      </c>
      <c r="F593" s="189">
        <f>IF(OR($N519="RESTRINGIDO", $N508="RESTRINGIDO"), 0, F482)</f>
        <v/>
      </c>
      <c r="G593" s="189">
        <f>IF(OR($N519="RESTRINGIDO", $N509="RESTRINGIDO"), 0, G482)</f>
        <v/>
      </c>
      <c r="H593" s="189">
        <f>IF(OR($N519="RESTRINGIDO", $N510="RESTRINGIDO"), 0, H482)</f>
        <v/>
      </c>
      <c r="I593" s="189">
        <f>IF(OR($N519="RESTRINGIDO", $N511="RESTRINGIDO"), 0, I482)</f>
        <v/>
      </c>
      <c r="J593" s="189">
        <f>IF(OR($N519="RESTRINGIDO", $N512="RESTRINGIDO"), 0, J482)</f>
        <v/>
      </c>
      <c r="K593" s="189">
        <f>IF(OR($N519="RESTRINGIDO", $N513="RESTRINGIDO"), 0, K482)</f>
        <v/>
      </c>
      <c r="L593" s="189">
        <f>IF(OR($N519="RESTRINGIDO", $N514="RESTRINGIDO"), 0, L482)</f>
        <v/>
      </c>
      <c r="M593" s="189">
        <f>IF(OR($N519="RESTRINGIDO", $N515="RESTRINGIDO"), 0, M482)</f>
        <v/>
      </c>
      <c r="N593" s="189">
        <f>IF(OR($N519="RESTRINGIDO", $N516="RESTRINGIDO"), 0, N482)</f>
        <v/>
      </c>
      <c r="O593" s="189">
        <f>IF(OR($N519="RESTRINGIDO", $N517="RESTRINGIDO"), 0, O482)</f>
        <v/>
      </c>
      <c r="P593" s="189">
        <f>IF(OR($N519="RESTRINGIDO", $N518="RESTRINGIDO"), 0, P482)</f>
        <v/>
      </c>
      <c r="Q593" s="189">
        <f>IF($N519="RESTRINGIDO", 1, IF(OR($N519="", $C482=""), 1, Q482))</f>
        <v/>
      </c>
      <c r="R593" s="189">
        <f>IF(OR($N519="RESTRINGIDO", $N520="RESTRINGIDO"), 0, R482)</f>
        <v/>
      </c>
      <c r="S593" s="86">
        <f>IF(OR($N519="RESTRINGIDO", $N521="RESTRINGIDO"), 0, S482)</f>
        <v/>
      </c>
      <c r="T593" s="78">
        <f>IF(OR($N519="RESTRINGIDO", $N522="RESTRINGIDO"), 0, T482)</f>
        <v/>
      </c>
      <c r="U593" s="189">
        <f>IF(OR($N519="RESTRINGIDO", $N523="RESTRINGIDO"), 0, U482)</f>
        <v/>
      </c>
      <c r="V593" s="189">
        <f>IF(OR($N519="RESTRINGIDO", $N524="RESTRINGIDO"), 0, V482)</f>
        <v/>
      </c>
      <c r="W593" s="189">
        <f>IF(OR($N519="RESTRINGIDO", $N525="RESTRINGIDO"), 0, W482)</f>
        <v/>
      </c>
      <c r="X593" s="189">
        <f>IF(OR($N519="RESTRINGIDO", $N526="RESTRINGIDO"), 0, X482)</f>
        <v/>
      </c>
      <c r="Y593" s="189">
        <f>IF(OR($N519="RESTRINGIDO", $N527="RESTRINGIDO"), 0, Y482)</f>
        <v/>
      </c>
      <c r="Z593" s="189">
        <f>IF(OR($N519="RESTRINGIDO", $N528="RESTRINGIDO"), 0, Z482)</f>
        <v/>
      </c>
      <c r="AA593" s="189">
        <f>IF(OR($N519="RESTRINGIDO", $N529="RESTRINGIDO"), 0, AA482)</f>
        <v/>
      </c>
      <c r="AB593" s="189">
        <f>IF(OR($N519="RESTRINGIDO", $N530="RESTRINGIDO"), 0, AB482)</f>
        <v/>
      </c>
      <c r="AC593" s="189">
        <f>IF(OR($N519="RESTRINGIDO", $N531="RESTRINGIDO"), 0, AC482)</f>
        <v/>
      </c>
      <c r="AD593" s="189">
        <f>IF(OR($N519="RESTRINGIDO", $N532="RESTRINGIDO"), 0, AD482)</f>
        <v/>
      </c>
      <c r="AE593" s="189">
        <f>IF(OR($N519="RESTRINGIDO", $N533="RESTRINGIDO"), 0, AE482)</f>
        <v/>
      </c>
      <c r="AF593" s="189">
        <f>IF(OR($N519="RESTRINGIDO", $N534="RESTRINGIDO"), 0, AF482)</f>
        <v/>
      </c>
      <c r="AG593" s="189">
        <f>IF(OR($N519="RESTRINGIDO", $N535="RESTRINGIDO"), 0, AG482)</f>
        <v/>
      </c>
      <c r="AH593" s="189">
        <f>IF(OR($N519="RESTRINGIDO", $N536="RESTRINGIDO"), 0, AH482)</f>
        <v/>
      </c>
      <c r="AJ593" s="87">
        <f>IF($N519="LIBRE", IF(ISNUMBER(E519), E519, 0), 0)</f>
        <v/>
      </c>
      <c r="AL593" s="188" t="n">
        <v>0</v>
      </c>
      <c r="AN593" s="135" t="n">
        <v>0</v>
      </c>
    </row>
    <row r="594" ht="15" customHeight="1" s="183" thickBot="1">
      <c r="B594" s="87">
        <f>IF(OR($N520="RESTRINGIDO", $N504="RESTRINGIDO"), 0, B483)</f>
        <v/>
      </c>
      <c r="C594" s="189">
        <f>IF(OR($N520="RESTRINGIDO", $N505="RESTRINGIDO"), 0, C483)</f>
        <v/>
      </c>
      <c r="D594" s="189">
        <f>IF(OR($N520="RESTRINGIDO", $N506="RESTRINGIDO"), 0, D483)</f>
        <v/>
      </c>
      <c r="E594" s="189">
        <f>IF(OR($N520="RESTRINGIDO", $N507="RESTRINGIDO"), 0, E483)</f>
        <v/>
      </c>
      <c r="F594" s="189">
        <f>IF(OR($N520="RESTRINGIDO", $N508="RESTRINGIDO"), 0, F483)</f>
        <v/>
      </c>
      <c r="G594" s="189">
        <f>IF(OR($N520="RESTRINGIDO", $N509="RESTRINGIDO"), 0, G483)</f>
        <v/>
      </c>
      <c r="H594" s="189">
        <f>IF(OR($N520="RESTRINGIDO", $N510="RESTRINGIDO"), 0, H483)</f>
        <v/>
      </c>
      <c r="I594" s="189">
        <f>IF(OR($N520="RESTRINGIDO", $N511="RESTRINGIDO"), 0, I483)</f>
        <v/>
      </c>
      <c r="J594" s="189">
        <f>IF(OR($N520="RESTRINGIDO", $N512="RESTRINGIDO"), 0, J483)</f>
        <v/>
      </c>
      <c r="K594" s="189">
        <f>IF(OR($N520="RESTRINGIDO", $N513="RESTRINGIDO"), 0, K483)</f>
        <v/>
      </c>
      <c r="L594" s="189">
        <f>IF(OR($N520="RESTRINGIDO", $N514="RESTRINGIDO"), 0, L483)</f>
        <v/>
      </c>
      <c r="M594" s="189">
        <f>IF(OR($N520="RESTRINGIDO", $N515="RESTRINGIDO"), 0, M483)</f>
        <v/>
      </c>
      <c r="N594" s="189">
        <f>IF(OR($N520="RESTRINGIDO", $N516="RESTRINGIDO"), 0, N483)</f>
        <v/>
      </c>
      <c r="O594" s="189">
        <f>IF(OR($N520="RESTRINGIDO", $N517="RESTRINGIDO"), 0, O483)</f>
        <v/>
      </c>
      <c r="P594" s="189">
        <f>IF(OR($N520="RESTRINGIDO", $N518="RESTRINGIDO"), 0, P483)</f>
        <v/>
      </c>
      <c r="Q594" s="189">
        <f>IF(OR($N520="RESTRINGIDO", $N519="RESTRINGIDO"), 0, Q483)</f>
        <v/>
      </c>
      <c r="R594" s="189">
        <f>IF($N520="RESTRINGIDO", 1, IF(OR($N520="", $C483=""), 1, R483))</f>
        <v/>
      </c>
      <c r="S594" s="86">
        <f>IF(OR($N520="RESTRINGIDO", $N521="RESTRINGIDO"), 0, S483)</f>
        <v/>
      </c>
      <c r="T594" s="78">
        <f>IF(OR($N520="RESTRINGIDO", $N522="RESTRINGIDO"), 0, T483)</f>
        <v/>
      </c>
      <c r="U594" s="189">
        <f>IF(OR($N520="RESTRINGIDO", $N523="RESTRINGIDO"), 0, U483)</f>
        <v/>
      </c>
      <c r="V594" s="189">
        <f>IF(OR($N520="RESTRINGIDO", $N524="RESTRINGIDO"), 0, V483)</f>
        <v/>
      </c>
      <c r="W594" s="189">
        <f>IF(OR($N520="RESTRINGIDO", $N525="RESTRINGIDO"), 0, W483)</f>
        <v/>
      </c>
      <c r="X594" s="189">
        <f>IF(OR($N520="RESTRINGIDO", $N526="RESTRINGIDO"), 0, X483)</f>
        <v/>
      </c>
      <c r="Y594" s="189">
        <f>IF(OR($N520="RESTRINGIDO", $N527="RESTRINGIDO"), 0, Y483)</f>
        <v/>
      </c>
      <c r="Z594" s="189">
        <f>IF(OR($N520="RESTRINGIDO", $N528="RESTRINGIDO"), 0, Z483)</f>
        <v/>
      </c>
      <c r="AA594" s="189">
        <f>IF(OR($N520="RESTRINGIDO", $N529="RESTRINGIDO"), 0, AA483)</f>
        <v/>
      </c>
      <c r="AB594" s="189">
        <f>IF(OR($N520="RESTRINGIDO", $N530="RESTRINGIDO"), 0, AB483)</f>
        <v/>
      </c>
      <c r="AC594" s="189">
        <f>IF(OR($N520="RESTRINGIDO", $N531="RESTRINGIDO"), 0, AC483)</f>
        <v/>
      </c>
      <c r="AD594" s="189">
        <f>IF(OR($N520="RESTRINGIDO", $N532="RESTRINGIDO"), 0, AD483)</f>
        <v/>
      </c>
      <c r="AE594" s="189">
        <f>IF(OR($N520="RESTRINGIDO", $N533="RESTRINGIDO"), 0, AE483)</f>
        <v/>
      </c>
      <c r="AF594" s="189">
        <f>IF(OR($N520="RESTRINGIDO", $N534="RESTRINGIDO"), 0, AF483)</f>
        <v/>
      </c>
      <c r="AG594" s="189">
        <f>IF(OR($N520="RESTRINGIDO", $N535="RESTRINGIDO"), 0, AG483)</f>
        <v/>
      </c>
      <c r="AH594" s="189">
        <f>IF(OR($N520="RESTRINGIDO", $N536="RESTRINGIDO"), 0, AH483)</f>
        <v/>
      </c>
      <c r="AJ594" s="88">
        <f>IF($N520="LIBRE", IF(ISNUMBER(E520), E520, 0), 0)</f>
        <v/>
      </c>
      <c r="AK594" s="111" t="n"/>
      <c r="AL594" s="136" t="n">
        <v>0</v>
      </c>
      <c r="AM594" s="111" t="n"/>
      <c r="AN594" s="137" t="n">
        <v>1229.29292929293</v>
      </c>
    </row>
    <row r="595" ht="15" customHeight="1" s="183" thickBot="1">
      <c r="B595" s="88">
        <f>IF(OR($N521="RESTRINGIDO", $N504="RESTRINGIDO"), 0, B484)</f>
        <v/>
      </c>
      <c r="C595" s="89">
        <f>IF(OR($N521="RESTRINGIDO", $N505="RESTRINGIDO"), 0, C484)</f>
        <v/>
      </c>
      <c r="D595" s="89">
        <f>IF(OR($N521="RESTRINGIDO", $N506="RESTRINGIDO"), 0, D484)</f>
        <v/>
      </c>
      <c r="E595" s="89">
        <f>IF(OR($N521="RESTRINGIDO", $N507="RESTRINGIDO"), 0, E484)</f>
        <v/>
      </c>
      <c r="F595" s="89">
        <f>IF(OR($N521="RESTRINGIDO", $N508="RESTRINGIDO"), 0, F484)</f>
        <v/>
      </c>
      <c r="G595" s="89">
        <f>IF(OR($N521="RESTRINGIDO", $N509="RESTRINGIDO"), 0, G484)</f>
        <v/>
      </c>
      <c r="H595" s="89">
        <f>IF(OR($N521="RESTRINGIDO", $N510="RESTRINGIDO"), 0, H484)</f>
        <v/>
      </c>
      <c r="I595" s="89">
        <f>IF(OR($N521="RESTRINGIDO", $N511="RESTRINGIDO"), 0, I484)</f>
        <v/>
      </c>
      <c r="J595" s="89">
        <f>IF(OR($N521="RESTRINGIDO", $N512="RESTRINGIDO"), 0, J484)</f>
        <v/>
      </c>
      <c r="K595" s="89">
        <f>IF(OR($N521="RESTRINGIDO", $N513="RESTRINGIDO"), 0, K484)</f>
        <v/>
      </c>
      <c r="L595" s="89">
        <f>IF(OR($N521="RESTRINGIDO", $N514="RESTRINGIDO"), 0, L484)</f>
        <v/>
      </c>
      <c r="M595" s="89">
        <f>IF(OR($N521="RESTRINGIDO", $N515="RESTRINGIDO"), 0, M484)</f>
        <v/>
      </c>
      <c r="N595" s="89">
        <f>IF(OR($N521="RESTRINGIDO", $N516="RESTRINGIDO"), 0, N484)</f>
        <v/>
      </c>
      <c r="O595" s="89">
        <f>IF(OR($N521="RESTRINGIDO", $N517="RESTRINGIDO"), 0, O484)</f>
        <v/>
      </c>
      <c r="P595" s="89">
        <f>IF(OR($N521="RESTRINGIDO", $N518="RESTRINGIDO"), 0, P484)</f>
        <v/>
      </c>
      <c r="Q595" s="89">
        <f>IF(OR($N521="RESTRINGIDO", $N519="RESTRINGIDO"), 0, Q484)</f>
        <v/>
      </c>
      <c r="R595" s="89">
        <f>IF(OR($N521="RESTRINGIDO", $N520="RESTRINGIDO"), 0, R484)</f>
        <v/>
      </c>
      <c r="S595" s="138">
        <f>IF($N521="RESTRINGIDO", 1, IF(OR($N521="", $C484=""), 1, S484))</f>
        <v/>
      </c>
      <c r="T595" s="78">
        <f>IF(OR($N521="RESTRINGIDO", $N522="RESTRINGIDO"), 0, T484)</f>
        <v/>
      </c>
      <c r="U595" s="189">
        <f>IF(OR($N521="RESTRINGIDO", $N523="RESTRINGIDO"), 0, U484)</f>
        <v/>
      </c>
      <c r="V595" s="189">
        <f>IF(OR($N521="RESTRINGIDO", $N524="RESTRINGIDO"), 0, V484)</f>
        <v/>
      </c>
      <c r="W595" s="189">
        <f>IF(OR($N521="RESTRINGIDO", $N525="RESTRINGIDO"), 0, W484)</f>
        <v/>
      </c>
      <c r="X595" s="189">
        <f>IF(OR($N521="RESTRINGIDO", $N526="RESTRINGIDO"), 0, X484)</f>
        <v/>
      </c>
      <c r="Y595" s="189">
        <f>IF(OR($N521="RESTRINGIDO", $N527="RESTRINGIDO"), 0, Y484)</f>
        <v/>
      </c>
      <c r="Z595" s="189">
        <f>IF(OR($N521="RESTRINGIDO", $N528="RESTRINGIDO"), 0, Z484)</f>
        <v/>
      </c>
      <c r="AA595" s="189">
        <f>IF(OR($N521="RESTRINGIDO", $N529="RESTRINGIDO"), 0, AA484)</f>
        <v/>
      </c>
      <c r="AB595" s="189">
        <f>IF(OR($N521="RESTRINGIDO", $N530="RESTRINGIDO"), 0, AB484)</f>
        <v/>
      </c>
      <c r="AC595" s="189">
        <f>IF(OR($N521="RESTRINGIDO", $N531="RESTRINGIDO"), 0, AC484)</f>
        <v/>
      </c>
      <c r="AD595" s="189">
        <f>IF(OR($N521="RESTRINGIDO", $N532="RESTRINGIDO"), 0, AD484)</f>
        <v/>
      </c>
      <c r="AE595" s="189">
        <f>IF(OR($N521="RESTRINGIDO", $N533="RESTRINGIDO"), 0, AE484)</f>
        <v/>
      </c>
      <c r="AF595" s="189">
        <f>IF(OR($N521="RESTRINGIDO", $N534="RESTRINGIDO"), 0, AF484)</f>
        <v/>
      </c>
      <c r="AG595" s="189">
        <f>IF(OR($N521="RESTRINGIDO", $N535="RESTRINGIDO"), 0, AG484)</f>
        <v/>
      </c>
      <c r="AH595" s="189">
        <f>IF(OR($N521="RESTRINGIDO", $N536="RESTRINGIDO"), 0, AH484)</f>
        <v/>
      </c>
      <c r="AJ595" s="81">
        <f>IF($N521="LIBRE", IF(ISNUMBER(E521), E521, 0), 0)</f>
        <v/>
      </c>
      <c r="AL595" s="132" t="n">
        <v>0.8112323232323235</v>
      </c>
      <c r="AN595" s="132" t="n">
        <v>-1.164153218269348e-10</v>
      </c>
    </row>
    <row r="596">
      <c r="B596" s="81">
        <f>IF(OR($N522="RESTRINGIDO", $N504="RESTRINGIDO"), 0, B485)</f>
        <v/>
      </c>
      <c r="C596" s="81">
        <f>IF(OR($N522="RESTRINGIDO", $N505="RESTRINGIDO"), 0, C485)</f>
        <v/>
      </c>
      <c r="D596" s="81">
        <f>IF(OR($N522="RESTRINGIDO", $N506="RESTRINGIDO"), 0, D485)</f>
        <v/>
      </c>
      <c r="E596" s="81">
        <f>IF(OR($N522="RESTRINGIDO", $N507="RESTRINGIDO"), 0, E485)</f>
        <v/>
      </c>
      <c r="F596" s="81">
        <f>IF(OR($N522="RESTRINGIDO", $N508="RESTRINGIDO"), 0, F485)</f>
        <v/>
      </c>
      <c r="G596" s="81">
        <f>IF(OR($N522="RESTRINGIDO", $N509="RESTRINGIDO"), 0, G485)</f>
        <v/>
      </c>
      <c r="H596" s="81">
        <f>IF(OR($N522="RESTRINGIDO", $N510="RESTRINGIDO"), 0, H485)</f>
        <v/>
      </c>
      <c r="I596" s="81">
        <f>IF(OR($N522="RESTRINGIDO", $N511="RESTRINGIDO"), 0, I485)</f>
        <v/>
      </c>
      <c r="J596" s="81">
        <f>IF(OR($N522="RESTRINGIDO", $N512="RESTRINGIDO"), 0, J485)</f>
        <v/>
      </c>
      <c r="K596" s="81">
        <f>IF(OR($N522="RESTRINGIDO", $N513="RESTRINGIDO"), 0, K485)</f>
        <v/>
      </c>
      <c r="L596" s="81">
        <f>IF(OR($N522="RESTRINGIDO", $N514="RESTRINGIDO"), 0, L485)</f>
        <v/>
      </c>
      <c r="M596" s="81">
        <f>IF(OR($N522="RESTRINGIDO", $N515="RESTRINGIDO"), 0, M485)</f>
        <v/>
      </c>
      <c r="N596" s="81">
        <f>IF(OR($N522="RESTRINGIDO", $N516="RESTRINGIDO"), 0, N485)</f>
        <v/>
      </c>
      <c r="O596" s="81">
        <f>IF(OR($N522="RESTRINGIDO", $N517="RESTRINGIDO"), 0, O485)</f>
        <v/>
      </c>
      <c r="P596" s="81">
        <f>IF(OR($N522="RESTRINGIDO", $N518="RESTRINGIDO"), 0, P485)</f>
        <v/>
      </c>
      <c r="Q596" s="81">
        <f>IF(OR($N522="RESTRINGIDO", $N519="RESTRINGIDO"), 0, Q485)</f>
        <v/>
      </c>
      <c r="R596" s="81">
        <f>IF(OR($N522="RESTRINGIDO", $N520="RESTRINGIDO"), 0, R485)</f>
        <v/>
      </c>
      <c r="S596" s="81">
        <f>IF(OR($N522="RESTRINGIDO", $N521="RESTRINGIDO"), 0, S485)</f>
        <v/>
      </c>
      <c r="T596" s="189">
        <f>IF($N522="RESTRINGIDO", 1, IF(OR($N522="", $C485=""), 1, T485))</f>
        <v/>
      </c>
      <c r="U596" s="189">
        <f>IF(OR($N522="RESTRINGIDO", $N523="RESTRINGIDO"), 0, U485)</f>
        <v/>
      </c>
      <c r="V596" s="189">
        <f>IF(OR($N522="RESTRINGIDO", $N524="RESTRINGIDO"), 0, V485)</f>
        <v/>
      </c>
      <c r="W596" s="189">
        <f>IF(OR($N522="RESTRINGIDO", $N525="RESTRINGIDO"), 0, W485)</f>
        <v/>
      </c>
      <c r="X596" s="189">
        <f>IF(OR($N522="RESTRINGIDO", $N526="RESTRINGIDO"), 0, X485)</f>
        <v/>
      </c>
      <c r="Y596" s="189">
        <f>IF(OR($N522="RESTRINGIDO", $N527="RESTRINGIDO"), 0, Y485)</f>
        <v/>
      </c>
      <c r="Z596" s="189">
        <f>IF(OR($N522="RESTRINGIDO", $N528="RESTRINGIDO"), 0, Z485)</f>
        <v/>
      </c>
      <c r="AA596" s="189">
        <f>IF(OR($N522="RESTRINGIDO", $N529="RESTRINGIDO"), 0, AA485)</f>
        <v/>
      </c>
      <c r="AB596" s="189">
        <f>IF(OR($N522="RESTRINGIDO", $N530="RESTRINGIDO"), 0, AB485)</f>
        <v/>
      </c>
      <c r="AC596" s="189">
        <f>IF(OR($N522="RESTRINGIDO", $N531="RESTRINGIDO"), 0, AC485)</f>
        <v/>
      </c>
      <c r="AD596" s="189">
        <f>IF(OR($N522="RESTRINGIDO", $N532="RESTRINGIDO"), 0, AD485)</f>
        <v/>
      </c>
      <c r="AE596" s="189">
        <f>IF(OR($N522="RESTRINGIDO", $N533="RESTRINGIDO"), 0, AE485)</f>
        <v/>
      </c>
      <c r="AF596" s="189">
        <f>IF(OR($N522="RESTRINGIDO", $N534="RESTRINGIDO"), 0, AF485)</f>
        <v/>
      </c>
      <c r="AG596" s="189">
        <f>IF(OR($N522="RESTRINGIDO", $N535="RESTRINGIDO"), 0, AG485)</f>
        <v/>
      </c>
      <c r="AH596" s="189">
        <f>IF(OR($N522="RESTRINGIDO", $N536="RESTRINGIDO"), 0, AH485)</f>
        <v/>
      </c>
      <c r="AJ596" s="189">
        <f>IF($N522="LIBRE", IF(ISNUMBER(E522), E522, 0), 0)</f>
        <v/>
      </c>
      <c r="AL596" s="188" t="n">
        <v>0</v>
      </c>
      <c r="AN596" s="188" t="n">
        <v>0</v>
      </c>
    </row>
    <row r="597">
      <c r="B597" s="189">
        <f>IF(OR($N523="RESTRINGIDO", $N504="RESTRINGIDO"), 0, B486)</f>
        <v/>
      </c>
      <c r="C597" s="189">
        <f>IF(OR($N523="RESTRINGIDO", $N505="RESTRINGIDO"), 0, C486)</f>
        <v/>
      </c>
      <c r="D597" s="189">
        <f>IF(OR($N523="RESTRINGIDO", $N506="RESTRINGIDO"), 0, D486)</f>
        <v/>
      </c>
      <c r="E597" s="189">
        <f>IF(OR($N523="RESTRINGIDO", $N507="RESTRINGIDO"), 0, E486)</f>
        <v/>
      </c>
      <c r="F597" s="189">
        <f>IF(OR($N523="RESTRINGIDO", $N508="RESTRINGIDO"), 0, F486)</f>
        <v/>
      </c>
      <c r="G597" s="189">
        <f>IF(OR($N523="RESTRINGIDO", $N509="RESTRINGIDO"), 0, G486)</f>
        <v/>
      </c>
      <c r="H597" s="189">
        <f>IF(OR($N523="RESTRINGIDO", $N510="RESTRINGIDO"), 0, H486)</f>
        <v/>
      </c>
      <c r="I597" s="189">
        <f>IF(OR($N523="RESTRINGIDO", $N511="RESTRINGIDO"), 0, I486)</f>
        <v/>
      </c>
      <c r="J597" s="189">
        <f>IF(OR($N523="RESTRINGIDO", $N512="RESTRINGIDO"), 0, J486)</f>
        <v/>
      </c>
      <c r="K597" s="189">
        <f>IF(OR($N523="RESTRINGIDO", $N513="RESTRINGIDO"), 0, K486)</f>
        <v/>
      </c>
      <c r="L597" s="189">
        <f>IF(OR($N523="RESTRINGIDO", $N514="RESTRINGIDO"), 0, L486)</f>
        <v/>
      </c>
      <c r="M597" s="189">
        <f>IF(OR($N523="RESTRINGIDO", $N515="RESTRINGIDO"), 0, M486)</f>
        <v/>
      </c>
      <c r="N597" s="189">
        <f>IF(OR($N523="RESTRINGIDO", $N516="RESTRINGIDO"), 0, N486)</f>
        <v/>
      </c>
      <c r="O597" s="189">
        <f>IF(OR($N523="RESTRINGIDO", $N517="RESTRINGIDO"), 0, O486)</f>
        <v/>
      </c>
      <c r="P597" s="189">
        <f>IF(OR($N523="RESTRINGIDO", $N518="RESTRINGIDO"), 0, P486)</f>
        <v/>
      </c>
      <c r="Q597" s="189">
        <f>IF(OR($N523="RESTRINGIDO", $N519="RESTRINGIDO"), 0, Q486)</f>
        <v/>
      </c>
      <c r="R597" s="189">
        <f>IF(OR($N523="RESTRINGIDO", $N520="RESTRINGIDO"), 0, R486)</f>
        <v/>
      </c>
      <c r="S597" s="189">
        <f>IF(OR($N523="RESTRINGIDO", $N521="RESTRINGIDO"), 0, S486)</f>
        <v/>
      </c>
      <c r="T597" s="189">
        <f>IF(OR($N523="RESTRINGIDO", $N522="RESTRINGIDO"), 0, T486)</f>
        <v/>
      </c>
      <c r="U597" s="189">
        <f>IF($N523="RESTRINGIDO", 1, IF(OR($N523="", $C486=""), 1, U486))</f>
        <v/>
      </c>
      <c r="V597" s="189">
        <f>IF(OR($N523="RESTRINGIDO", $N524="RESTRINGIDO"), 0, V486)</f>
        <v/>
      </c>
      <c r="W597" s="189">
        <f>IF(OR($N523="RESTRINGIDO", $N525="RESTRINGIDO"), 0, W486)</f>
        <v/>
      </c>
      <c r="X597" s="189">
        <f>IF(OR($N523="RESTRINGIDO", $N526="RESTRINGIDO"), 0, X486)</f>
        <v/>
      </c>
      <c r="Y597" s="189">
        <f>IF(OR($N523="RESTRINGIDO", $N527="RESTRINGIDO"), 0, Y486)</f>
        <v/>
      </c>
      <c r="Z597" s="189">
        <f>IF(OR($N523="RESTRINGIDO", $N528="RESTRINGIDO"), 0, Z486)</f>
        <v/>
      </c>
      <c r="AA597" s="189">
        <f>IF(OR($N523="RESTRINGIDO", $N529="RESTRINGIDO"), 0, AA486)</f>
        <v/>
      </c>
      <c r="AB597" s="189">
        <f>IF(OR($N523="RESTRINGIDO", $N530="RESTRINGIDO"), 0, AB486)</f>
        <v/>
      </c>
      <c r="AC597" s="189">
        <f>IF(OR($N523="RESTRINGIDO", $N531="RESTRINGIDO"), 0, AC486)</f>
        <v/>
      </c>
      <c r="AD597" s="189">
        <f>IF(OR($N523="RESTRINGIDO", $N532="RESTRINGIDO"), 0, AD486)</f>
        <v/>
      </c>
      <c r="AE597" s="189">
        <f>IF(OR($N523="RESTRINGIDO", $N533="RESTRINGIDO"), 0, AE486)</f>
        <v/>
      </c>
      <c r="AF597" s="189">
        <f>IF(OR($N523="RESTRINGIDO", $N534="RESTRINGIDO"), 0, AF486)</f>
        <v/>
      </c>
      <c r="AG597" s="189">
        <f>IF(OR($N523="RESTRINGIDO", $N535="RESTRINGIDO"), 0, AG486)</f>
        <v/>
      </c>
      <c r="AH597" s="189">
        <f>IF(OR($N523="RESTRINGIDO", $N536="RESTRINGIDO"), 0, AH486)</f>
        <v/>
      </c>
      <c r="AJ597" s="189">
        <f>IF($N523="LIBRE", IF(ISNUMBER(E523), E523, 0), 0)</f>
        <v/>
      </c>
      <c r="AL597" s="188" t="n">
        <v>0</v>
      </c>
      <c r="AN597" s="188" t="n">
        <v>0</v>
      </c>
    </row>
    <row r="598">
      <c r="B598" s="189">
        <f>IF(OR($N524="RESTRINGIDO", $N504="RESTRINGIDO"), 0, B487)</f>
        <v/>
      </c>
      <c r="C598" s="189">
        <f>IF(OR($N524="RESTRINGIDO", $N505="RESTRINGIDO"), 0, C487)</f>
        <v/>
      </c>
      <c r="D598" s="189">
        <f>IF(OR($N524="RESTRINGIDO", $N506="RESTRINGIDO"), 0, D487)</f>
        <v/>
      </c>
      <c r="E598" s="189">
        <f>IF(OR($N524="RESTRINGIDO", $N507="RESTRINGIDO"), 0, E487)</f>
        <v/>
      </c>
      <c r="F598" s="189">
        <f>IF(OR($N524="RESTRINGIDO", $N508="RESTRINGIDO"), 0, F487)</f>
        <v/>
      </c>
      <c r="G598" s="189">
        <f>IF(OR($N524="RESTRINGIDO", $N509="RESTRINGIDO"), 0, G487)</f>
        <v/>
      </c>
      <c r="H598" s="189">
        <f>IF(OR($N524="RESTRINGIDO", $N510="RESTRINGIDO"), 0, H487)</f>
        <v/>
      </c>
      <c r="I598" s="189">
        <f>IF(OR($N524="RESTRINGIDO", $N511="RESTRINGIDO"), 0, I487)</f>
        <v/>
      </c>
      <c r="J598" s="189">
        <f>IF(OR($N524="RESTRINGIDO", $N512="RESTRINGIDO"), 0, J487)</f>
        <v/>
      </c>
      <c r="K598" s="189">
        <f>IF(OR($N524="RESTRINGIDO", $N513="RESTRINGIDO"), 0, K487)</f>
        <v/>
      </c>
      <c r="L598" s="189">
        <f>IF(OR($N524="RESTRINGIDO", $N514="RESTRINGIDO"), 0, L487)</f>
        <v/>
      </c>
      <c r="M598" s="189">
        <f>IF(OR($N524="RESTRINGIDO", $N515="RESTRINGIDO"), 0, M487)</f>
        <v/>
      </c>
      <c r="N598" s="189">
        <f>IF(OR($N524="RESTRINGIDO", $N516="RESTRINGIDO"), 0, N487)</f>
        <v/>
      </c>
      <c r="O598" s="189">
        <f>IF(OR($N524="RESTRINGIDO", $N517="RESTRINGIDO"), 0, O487)</f>
        <v/>
      </c>
      <c r="P598" s="189">
        <f>IF(OR($N524="RESTRINGIDO", $N518="RESTRINGIDO"), 0, P487)</f>
        <v/>
      </c>
      <c r="Q598" s="189">
        <f>IF(OR($N524="RESTRINGIDO", $N519="RESTRINGIDO"), 0, Q487)</f>
        <v/>
      </c>
      <c r="R598" s="189">
        <f>IF(OR($N524="RESTRINGIDO", $N520="RESTRINGIDO"), 0, R487)</f>
        <v/>
      </c>
      <c r="S598" s="189">
        <f>IF(OR($N524="RESTRINGIDO", $N521="RESTRINGIDO"), 0, S487)</f>
        <v/>
      </c>
      <c r="T598" s="189">
        <f>IF(OR($N524="RESTRINGIDO", $N522="RESTRINGIDO"), 0, T487)</f>
        <v/>
      </c>
      <c r="U598" s="189">
        <f>IF(OR($N524="RESTRINGIDO", $N523="RESTRINGIDO"), 0, U487)</f>
        <v/>
      </c>
      <c r="V598" s="189">
        <f>IF($N524="RESTRINGIDO", 1, IF(OR($N524="", $C487=""), 1, V487))</f>
        <v/>
      </c>
      <c r="W598" s="189">
        <f>IF(OR($N524="RESTRINGIDO", $N525="RESTRINGIDO"), 0, W487)</f>
        <v/>
      </c>
      <c r="X598" s="189">
        <f>IF(OR($N524="RESTRINGIDO", $N526="RESTRINGIDO"), 0, X487)</f>
        <v/>
      </c>
      <c r="Y598" s="189">
        <f>IF(OR($N524="RESTRINGIDO", $N527="RESTRINGIDO"), 0, Y487)</f>
        <v/>
      </c>
      <c r="Z598" s="189">
        <f>IF(OR($N524="RESTRINGIDO", $N528="RESTRINGIDO"), 0, Z487)</f>
        <v/>
      </c>
      <c r="AA598" s="189">
        <f>IF(OR($N524="RESTRINGIDO", $N529="RESTRINGIDO"), 0, AA487)</f>
        <v/>
      </c>
      <c r="AB598" s="189">
        <f>IF(OR($N524="RESTRINGIDO", $N530="RESTRINGIDO"), 0, AB487)</f>
        <v/>
      </c>
      <c r="AC598" s="189">
        <f>IF(OR($N524="RESTRINGIDO", $N531="RESTRINGIDO"), 0, AC487)</f>
        <v/>
      </c>
      <c r="AD598" s="189">
        <f>IF(OR($N524="RESTRINGIDO", $N532="RESTRINGIDO"), 0, AD487)</f>
        <v/>
      </c>
      <c r="AE598" s="189">
        <f>IF(OR($N524="RESTRINGIDO", $N533="RESTRINGIDO"), 0, AE487)</f>
        <v/>
      </c>
      <c r="AF598" s="189">
        <f>IF(OR($N524="RESTRINGIDO", $N534="RESTRINGIDO"), 0, AF487)</f>
        <v/>
      </c>
      <c r="AG598" s="189">
        <f>IF(OR($N524="RESTRINGIDO", $N535="RESTRINGIDO"), 0, AG487)</f>
        <v/>
      </c>
      <c r="AH598" s="189">
        <f>IF(OR($N524="RESTRINGIDO", $N536="RESTRINGIDO"), 0, AH487)</f>
        <v/>
      </c>
      <c r="AJ598" s="189">
        <f>IF($N524="LIBRE", IF(ISNUMBER(E524), E524, 0), 0)</f>
        <v/>
      </c>
      <c r="AL598" s="188" t="n">
        <v>0</v>
      </c>
      <c r="AN598" s="188" t="n">
        <v>0</v>
      </c>
    </row>
    <row r="599">
      <c r="B599" s="189">
        <f>IF(OR($N525="RESTRINGIDO", $N504="RESTRINGIDO"), 0, B488)</f>
        <v/>
      </c>
      <c r="C599" s="189">
        <f>IF(OR($N525="RESTRINGIDO", $N505="RESTRINGIDO"), 0, C488)</f>
        <v/>
      </c>
      <c r="D599" s="189">
        <f>IF(OR($N525="RESTRINGIDO", $N506="RESTRINGIDO"), 0, D488)</f>
        <v/>
      </c>
      <c r="E599" s="189">
        <f>IF(OR($N525="RESTRINGIDO", $N507="RESTRINGIDO"), 0, E488)</f>
        <v/>
      </c>
      <c r="F599" s="189">
        <f>IF(OR($N525="RESTRINGIDO", $N508="RESTRINGIDO"), 0, F488)</f>
        <v/>
      </c>
      <c r="G599" s="189">
        <f>IF(OR($N525="RESTRINGIDO", $N509="RESTRINGIDO"), 0, G488)</f>
        <v/>
      </c>
      <c r="H599" s="189">
        <f>IF(OR($N525="RESTRINGIDO", $N510="RESTRINGIDO"), 0, H488)</f>
        <v/>
      </c>
      <c r="I599" s="189">
        <f>IF(OR($N525="RESTRINGIDO", $N511="RESTRINGIDO"), 0, I488)</f>
        <v/>
      </c>
      <c r="J599" s="189">
        <f>IF(OR($N525="RESTRINGIDO", $N512="RESTRINGIDO"), 0, J488)</f>
        <v/>
      </c>
      <c r="K599" s="189">
        <f>IF(OR($N525="RESTRINGIDO", $N513="RESTRINGIDO"), 0, K488)</f>
        <v/>
      </c>
      <c r="L599" s="189">
        <f>IF(OR($N525="RESTRINGIDO", $N514="RESTRINGIDO"), 0, L488)</f>
        <v/>
      </c>
      <c r="M599" s="189">
        <f>IF(OR($N525="RESTRINGIDO", $N515="RESTRINGIDO"), 0, M488)</f>
        <v/>
      </c>
      <c r="N599" s="189">
        <f>IF(OR($N525="RESTRINGIDO", $N516="RESTRINGIDO"), 0, N488)</f>
        <v/>
      </c>
      <c r="O599" s="189">
        <f>IF(OR($N525="RESTRINGIDO", $N517="RESTRINGIDO"), 0, O488)</f>
        <v/>
      </c>
      <c r="P599" s="189">
        <f>IF(OR($N525="RESTRINGIDO", $N518="RESTRINGIDO"), 0, P488)</f>
        <v/>
      </c>
      <c r="Q599" s="189">
        <f>IF(OR($N525="RESTRINGIDO", $N519="RESTRINGIDO"), 0, Q488)</f>
        <v/>
      </c>
      <c r="R599" s="189">
        <f>IF(OR($N525="RESTRINGIDO", $N520="RESTRINGIDO"), 0, R488)</f>
        <v/>
      </c>
      <c r="S599" s="189">
        <f>IF(OR($N525="RESTRINGIDO", $N521="RESTRINGIDO"), 0, S488)</f>
        <v/>
      </c>
      <c r="T599" s="189">
        <f>IF(OR($N525="RESTRINGIDO", $N522="RESTRINGIDO"), 0, T488)</f>
        <v/>
      </c>
      <c r="U599" s="189">
        <f>IF(OR($N525="RESTRINGIDO", $N523="RESTRINGIDO"), 0, U488)</f>
        <v/>
      </c>
      <c r="V599" s="189">
        <f>IF(OR($N525="RESTRINGIDO", $N524="RESTRINGIDO"), 0, V488)</f>
        <v/>
      </c>
      <c r="W599" s="189">
        <f>IF($N525="RESTRINGIDO", 1, IF(OR($N525="", $C488=""), 1, W488))</f>
        <v/>
      </c>
      <c r="X599" s="189">
        <f>IF(OR($N525="RESTRINGIDO", $N526="RESTRINGIDO"), 0, X488)</f>
        <v/>
      </c>
      <c r="Y599" s="189">
        <f>IF(OR($N525="RESTRINGIDO", $N527="RESTRINGIDO"), 0, Y488)</f>
        <v/>
      </c>
      <c r="Z599" s="189">
        <f>IF(OR($N525="RESTRINGIDO", $N528="RESTRINGIDO"), 0, Z488)</f>
        <v/>
      </c>
      <c r="AA599" s="189">
        <f>IF(OR($N525="RESTRINGIDO", $N529="RESTRINGIDO"), 0, AA488)</f>
        <v/>
      </c>
      <c r="AB599" s="189">
        <f>IF(OR($N525="RESTRINGIDO", $N530="RESTRINGIDO"), 0, AB488)</f>
        <v/>
      </c>
      <c r="AC599" s="189">
        <f>IF(OR($N525="RESTRINGIDO", $N531="RESTRINGIDO"), 0, AC488)</f>
        <v/>
      </c>
      <c r="AD599" s="189">
        <f>IF(OR($N525="RESTRINGIDO", $N532="RESTRINGIDO"), 0, AD488)</f>
        <v/>
      </c>
      <c r="AE599" s="189">
        <f>IF(OR($N525="RESTRINGIDO", $N533="RESTRINGIDO"), 0, AE488)</f>
        <v/>
      </c>
      <c r="AF599" s="189">
        <f>IF(OR($N525="RESTRINGIDO", $N534="RESTRINGIDO"), 0, AF488)</f>
        <v/>
      </c>
      <c r="AG599" s="189">
        <f>IF(OR($N525="RESTRINGIDO", $N535="RESTRINGIDO"), 0, AG488)</f>
        <v/>
      </c>
      <c r="AH599" s="189">
        <f>IF(OR($N525="RESTRINGIDO", $N536="RESTRINGIDO"), 0, AH488)</f>
        <v/>
      </c>
      <c r="AJ599" s="189">
        <f>IF($N525="LIBRE", IF(ISNUMBER(E525), E525, 0), 0)</f>
        <v/>
      </c>
      <c r="AL599" s="188" t="n">
        <v>0</v>
      </c>
      <c r="AN599" s="188" t="n">
        <v>0</v>
      </c>
    </row>
    <row r="600">
      <c r="B600" s="189">
        <f>IF(OR($N526="RESTRINGIDO", $N504="RESTRINGIDO"), 0, B489)</f>
        <v/>
      </c>
      <c r="C600" s="189">
        <f>IF(OR($N526="RESTRINGIDO", $N505="RESTRINGIDO"), 0, C489)</f>
        <v/>
      </c>
      <c r="D600" s="189">
        <f>IF(OR($N526="RESTRINGIDO", $N506="RESTRINGIDO"), 0, D489)</f>
        <v/>
      </c>
      <c r="E600" s="189">
        <f>IF(OR($N526="RESTRINGIDO", $N507="RESTRINGIDO"), 0, E489)</f>
        <v/>
      </c>
      <c r="F600" s="189">
        <f>IF(OR($N526="RESTRINGIDO", $N508="RESTRINGIDO"), 0, F489)</f>
        <v/>
      </c>
      <c r="G600" s="189">
        <f>IF(OR($N526="RESTRINGIDO", $N509="RESTRINGIDO"), 0, G489)</f>
        <v/>
      </c>
      <c r="H600" s="189">
        <f>IF(OR($N526="RESTRINGIDO", $N510="RESTRINGIDO"), 0, H489)</f>
        <v/>
      </c>
      <c r="I600" s="189">
        <f>IF(OR($N526="RESTRINGIDO", $N511="RESTRINGIDO"), 0, I489)</f>
        <v/>
      </c>
      <c r="J600" s="189">
        <f>IF(OR($N526="RESTRINGIDO", $N512="RESTRINGIDO"), 0, J489)</f>
        <v/>
      </c>
      <c r="K600" s="189">
        <f>IF(OR($N526="RESTRINGIDO", $N513="RESTRINGIDO"), 0, K489)</f>
        <v/>
      </c>
      <c r="L600" s="189">
        <f>IF(OR($N526="RESTRINGIDO", $N514="RESTRINGIDO"), 0, L489)</f>
        <v/>
      </c>
      <c r="M600" s="189">
        <f>IF(OR($N526="RESTRINGIDO", $N515="RESTRINGIDO"), 0, M489)</f>
        <v/>
      </c>
      <c r="N600" s="189">
        <f>IF(OR($N526="RESTRINGIDO", $N516="RESTRINGIDO"), 0, N489)</f>
        <v/>
      </c>
      <c r="O600" s="189">
        <f>IF(OR($N526="RESTRINGIDO", $N517="RESTRINGIDO"), 0, O489)</f>
        <v/>
      </c>
      <c r="P600" s="189">
        <f>IF(OR($N526="RESTRINGIDO", $N518="RESTRINGIDO"), 0, P489)</f>
        <v/>
      </c>
      <c r="Q600" s="189">
        <f>IF(OR($N526="RESTRINGIDO", $N519="RESTRINGIDO"), 0, Q489)</f>
        <v/>
      </c>
      <c r="R600" s="189">
        <f>IF(OR($N526="RESTRINGIDO", $N520="RESTRINGIDO"), 0, R489)</f>
        <v/>
      </c>
      <c r="S600" s="189">
        <f>IF(OR($N526="RESTRINGIDO", $N521="RESTRINGIDO"), 0, S489)</f>
        <v/>
      </c>
      <c r="T600" s="189">
        <f>IF(OR($N526="RESTRINGIDO", $N522="RESTRINGIDO"), 0, T489)</f>
        <v/>
      </c>
      <c r="U600" s="189">
        <f>IF(OR($N526="RESTRINGIDO", $N523="RESTRINGIDO"), 0, U489)</f>
        <v/>
      </c>
      <c r="V600" s="189">
        <f>IF(OR($N526="RESTRINGIDO", $N524="RESTRINGIDO"), 0, V489)</f>
        <v/>
      </c>
      <c r="W600" s="189">
        <f>IF(OR($N526="RESTRINGIDO", $N525="RESTRINGIDO"), 0, W489)</f>
        <v/>
      </c>
      <c r="X600" s="189">
        <f>IF($N526="RESTRINGIDO", 1, IF(OR($N526="", $C489=""), 1, X489))</f>
        <v/>
      </c>
      <c r="Y600" s="189">
        <f>IF(OR($N526="RESTRINGIDO", $N527="RESTRINGIDO"), 0, Y489)</f>
        <v/>
      </c>
      <c r="Z600" s="189">
        <f>IF(OR($N526="RESTRINGIDO", $N528="RESTRINGIDO"), 0, Z489)</f>
        <v/>
      </c>
      <c r="AA600" s="189">
        <f>IF(OR($N526="RESTRINGIDO", $N529="RESTRINGIDO"), 0, AA489)</f>
        <v/>
      </c>
      <c r="AB600" s="189">
        <f>IF(OR($N526="RESTRINGIDO", $N530="RESTRINGIDO"), 0, AB489)</f>
        <v/>
      </c>
      <c r="AC600" s="189">
        <f>IF(OR($N526="RESTRINGIDO", $N531="RESTRINGIDO"), 0, AC489)</f>
        <v/>
      </c>
      <c r="AD600" s="189">
        <f>IF(OR($N526="RESTRINGIDO", $N532="RESTRINGIDO"), 0, AD489)</f>
        <v/>
      </c>
      <c r="AE600" s="189">
        <f>IF(OR($N526="RESTRINGIDO", $N533="RESTRINGIDO"), 0, AE489)</f>
        <v/>
      </c>
      <c r="AF600" s="189">
        <f>IF(OR($N526="RESTRINGIDO", $N534="RESTRINGIDO"), 0, AF489)</f>
        <v/>
      </c>
      <c r="AG600" s="189">
        <f>IF(OR($N526="RESTRINGIDO", $N535="RESTRINGIDO"), 0, AG489)</f>
        <v/>
      </c>
      <c r="AH600" s="189">
        <f>IF(OR($N526="RESTRINGIDO", $N536="RESTRINGIDO"), 0, AH489)</f>
        <v/>
      </c>
      <c r="AJ600" s="189">
        <f>IF($N526="LIBRE", IF(ISNUMBER(E526), E526, 0), 0)</f>
        <v/>
      </c>
      <c r="AL600" s="188" t="n">
        <v>0</v>
      </c>
      <c r="AN600" s="188" t="n">
        <v>0</v>
      </c>
    </row>
    <row r="601">
      <c r="B601" s="189">
        <f>IF(OR($N527="RESTRINGIDO", $N504="RESTRINGIDO"), 0, B490)</f>
        <v/>
      </c>
      <c r="C601" s="189">
        <f>IF(OR($N527="RESTRINGIDO", $N505="RESTRINGIDO"), 0, C490)</f>
        <v/>
      </c>
      <c r="D601" s="189">
        <f>IF(OR($N527="RESTRINGIDO", $N506="RESTRINGIDO"), 0, D490)</f>
        <v/>
      </c>
      <c r="E601" s="189">
        <f>IF(OR($N527="RESTRINGIDO", $N507="RESTRINGIDO"), 0, E490)</f>
        <v/>
      </c>
      <c r="F601" s="189">
        <f>IF(OR($N527="RESTRINGIDO", $N508="RESTRINGIDO"), 0, F490)</f>
        <v/>
      </c>
      <c r="G601" s="189">
        <f>IF(OR($N527="RESTRINGIDO", $N509="RESTRINGIDO"), 0, G490)</f>
        <v/>
      </c>
      <c r="H601" s="189">
        <f>IF(OR($N527="RESTRINGIDO", $N510="RESTRINGIDO"), 0, H490)</f>
        <v/>
      </c>
      <c r="I601" s="189">
        <f>IF(OR($N527="RESTRINGIDO", $N511="RESTRINGIDO"), 0, I490)</f>
        <v/>
      </c>
      <c r="J601" s="189">
        <f>IF(OR($N527="RESTRINGIDO", $N512="RESTRINGIDO"), 0, J490)</f>
        <v/>
      </c>
      <c r="K601" s="189">
        <f>IF(OR($N527="RESTRINGIDO", $N513="RESTRINGIDO"), 0, K490)</f>
        <v/>
      </c>
      <c r="L601" s="189">
        <f>IF(OR($N527="RESTRINGIDO", $N514="RESTRINGIDO"), 0, L490)</f>
        <v/>
      </c>
      <c r="M601" s="189">
        <f>IF(OR($N527="RESTRINGIDO", $N515="RESTRINGIDO"), 0, M490)</f>
        <v/>
      </c>
      <c r="N601" s="189">
        <f>IF(OR($N527="RESTRINGIDO", $N516="RESTRINGIDO"), 0, N490)</f>
        <v/>
      </c>
      <c r="O601" s="189">
        <f>IF(OR($N527="RESTRINGIDO", $N517="RESTRINGIDO"), 0, O490)</f>
        <v/>
      </c>
      <c r="P601" s="189">
        <f>IF(OR($N527="RESTRINGIDO", $N518="RESTRINGIDO"), 0, P490)</f>
        <v/>
      </c>
      <c r="Q601" s="189">
        <f>IF(OR($N527="RESTRINGIDO", $N519="RESTRINGIDO"), 0, Q490)</f>
        <v/>
      </c>
      <c r="R601" s="189">
        <f>IF(OR($N527="RESTRINGIDO", $N520="RESTRINGIDO"), 0, R490)</f>
        <v/>
      </c>
      <c r="S601" s="189">
        <f>IF(OR($N527="RESTRINGIDO", $N521="RESTRINGIDO"), 0, S490)</f>
        <v/>
      </c>
      <c r="T601" s="189">
        <f>IF(OR($N527="RESTRINGIDO", $N522="RESTRINGIDO"), 0, T490)</f>
        <v/>
      </c>
      <c r="U601" s="189">
        <f>IF(OR($N527="RESTRINGIDO", $N523="RESTRINGIDO"), 0, U490)</f>
        <v/>
      </c>
      <c r="V601" s="189">
        <f>IF(OR($N527="RESTRINGIDO", $N524="RESTRINGIDO"), 0, V490)</f>
        <v/>
      </c>
      <c r="W601" s="189">
        <f>IF(OR($N527="RESTRINGIDO", $N525="RESTRINGIDO"), 0, W490)</f>
        <v/>
      </c>
      <c r="X601" s="189">
        <f>IF(OR($N527="RESTRINGIDO", $N526="RESTRINGIDO"), 0, X490)</f>
        <v/>
      </c>
      <c r="Y601" s="189">
        <f>IF($N527="RESTRINGIDO", 1, IF(OR($N527="", $C490=""), 1, Y490))</f>
        <v/>
      </c>
      <c r="Z601" s="189">
        <f>IF(OR($N527="RESTRINGIDO", $N528="RESTRINGIDO"), 0, Z490)</f>
        <v/>
      </c>
      <c r="AA601" s="189">
        <f>IF(OR($N527="RESTRINGIDO", $N529="RESTRINGIDO"), 0, AA490)</f>
        <v/>
      </c>
      <c r="AB601" s="189">
        <f>IF(OR($N527="RESTRINGIDO", $N530="RESTRINGIDO"), 0, AB490)</f>
        <v/>
      </c>
      <c r="AC601" s="189">
        <f>IF(OR($N527="RESTRINGIDO", $N531="RESTRINGIDO"), 0, AC490)</f>
        <v/>
      </c>
      <c r="AD601" s="189">
        <f>IF(OR($N527="RESTRINGIDO", $N532="RESTRINGIDO"), 0, AD490)</f>
        <v/>
      </c>
      <c r="AE601" s="189">
        <f>IF(OR($N527="RESTRINGIDO", $N533="RESTRINGIDO"), 0, AE490)</f>
        <v/>
      </c>
      <c r="AF601" s="189">
        <f>IF(OR($N527="RESTRINGIDO", $N534="RESTRINGIDO"), 0, AF490)</f>
        <v/>
      </c>
      <c r="AG601" s="189">
        <f>IF(OR($N527="RESTRINGIDO", $N535="RESTRINGIDO"), 0, AG490)</f>
        <v/>
      </c>
      <c r="AH601" s="189">
        <f>IF(OR($N527="RESTRINGIDO", $N536="RESTRINGIDO"), 0, AH490)</f>
        <v/>
      </c>
      <c r="AJ601" s="189">
        <f>IF($N527="LIBRE", IF(ISNUMBER(E527), E527, 0), 0)</f>
        <v/>
      </c>
      <c r="AL601" s="188" t="n">
        <v>0</v>
      </c>
      <c r="AN601" s="188" t="n">
        <v>0</v>
      </c>
    </row>
    <row r="602">
      <c r="B602" s="189">
        <f>IF(OR($N528="RESTRINGIDO", $N504="RESTRINGIDO"), 0, B491)</f>
        <v/>
      </c>
      <c r="C602" s="189">
        <f>IF(OR($N528="RESTRINGIDO", $N505="RESTRINGIDO"), 0, C491)</f>
        <v/>
      </c>
      <c r="D602" s="189">
        <f>IF(OR($N528="RESTRINGIDO", $N506="RESTRINGIDO"), 0, D491)</f>
        <v/>
      </c>
      <c r="E602" s="189">
        <f>IF(OR($N528="RESTRINGIDO", $N507="RESTRINGIDO"), 0, E491)</f>
        <v/>
      </c>
      <c r="F602" s="189">
        <f>IF(OR($N528="RESTRINGIDO", $N508="RESTRINGIDO"), 0, F491)</f>
        <v/>
      </c>
      <c r="G602" s="189">
        <f>IF(OR($N528="RESTRINGIDO", $N509="RESTRINGIDO"), 0, G491)</f>
        <v/>
      </c>
      <c r="H602" s="189">
        <f>IF(OR($N528="RESTRINGIDO", $N510="RESTRINGIDO"), 0, H491)</f>
        <v/>
      </c>
      <c r="I602" s="189">
        <f>IF(OR($N528="RESTRINGIDO", $N511="RESTRINGIDO"), 0, I491)</f>
        <v/>
      </c>
      <c r="J602" s="189">
        <f>IF(OR($N528="RESTRINGIDO", $N512="RESTRINGIDO"), 0, J491)</f>
        <v/>
      </c>
      <c r="K602" s="189">
        <f>IF(OR($N528="RESTRINGIDO", $N513="RESTRINGIDO"), 0, K491)</f>
        <v/>
      </c>
      <c r="L602" s="189">
        <f>IF(OR($N528="RESTRINGIDO", $N514="RESTRINGIDO"), 0, L491)</f>
        <v/>
      </c>
      <c r="M602" s="189">
        <f>IF(OR($N528="RESTRINGIDO", $N515="RESTRINGIDO"), 0, M491)</f>
        <v/>
      </c>
      <c r="N602" s="189">
        <f>IF(OR($N528="RESTRINGIDO", $N516="RESTRINGIDO"), 0, N491)</f>
        <v/>
      </c>
      <c r="O602" s="189">
        <f>IF(OR($N528="RESTRINGIDO", $N517="RESTRINGIDO"), 0, O491)</f>
        <v/>
      </c>
      <c r="P602" s="189">
        <f>IF(OR($N528="RESTRINGIDO", $N518="RESTRINGIDO"), 0, P491)</f>
        <v/>
      </c>
      <c r="Q602" s="189">
        <f>IF(OR($N528="RESTRINGIDO", $N519="RESTRINGIDO"), 0, Q491)</f>
        <v/>
      </c>
      <c r="R602" s="189">
        <f>IF(OR($N528="RESTRINGIDO", $N520="RESTRINGIDO"), 0, R491)</f>
        <v/>
      </c>
      <c r="S602" s="189">
        <f>IF(OR($N528="RESTRINGIDO", $N521="RESTRINGIDO"), 0, S491)</f>
        <v/>
      </c>
      <c r="T602" s="189">
        <f>IF(OR($N528="RESTRINGIDO", $N522="RESTRINGIDO"), 0, T491)</f>
        <v/>
      </c>
      <c r="U602" s="189">
        <f>IF(OR($N528="RESTRINGIDO", $N523="RESTRINGIDO"), 0, U491)</f>
        <v/>
      </c>
      <c r="V602" s="189">
        <f>IF(OR($N528="RESTRINGIDO", $N524="RESTRINGIDO"), 0, V491)</f>
        <v/>
      </c>
      <c r="W602" s="189">
        <f>IF(OR($N528="RESTRINGIDO", $N525="RESTRINGIDO"), 0, W491)</f>
        <v/>
      </c>
      <c r="X602" s="189">
        <f>IF(OR($N528="RESTRINGIDO", $N526="RESTRINGIDO"), 0, X491)</f>
        <v/>
      </c>
      <c r="Y602" s="189">
        <f>IF(OR($N528="RESTRINGIDO", $N527="RESTRINGIDO"), 0, Y491)</f>
        <v/>
      </c>
      <c r="Z602" s="189">
        <f>IF($N528="RESTRINGIDO", 1, IF(OR($N528="", $C491=""), 1, Z491))</f>
        <v/>
      </c>
      <c r="AA602" s="189">
        <f>IF(OR($N528="RESTRINGIDO", $N529="RESTRINGIDO"), 0, AA491)</f>
        <v/>
      </c>
      <c r="AB602" s="189">
        <f>IF(OR($N528="RESTRINGIDO", $N530="RESTRINGIDO"), 0, AB491)</f>
        <v/>
      </c>
      <c r="AC602" s="189">
        <f>IF(OR($N528="RESTRINGIDO", $N531="RESTRINGIDO"), 0, AC491)</f>
        <v/>
      </c>
      <c r="AD602" s="189">
        <f>IF(OR($N528="RESTRINGIDO", $N532="RESTRINGIDO"), 0, AD491)</f>
        <v/>
      </c>
      <c r="AE602" s="189">
        <f>IF(OR($N528="RESTRINGIDO", $N533="RESTRINGIDO"), 0, AE491)</f>
        <v/>
      </c>
      <c r="AF602" s="189">
        <f>IF(OR($N528="RESTRINGIDO", $N534="RESTRINGIDO"), 0, AF491)</f>
        <v/>
      </c>
      <c r="AG602" s="189">
        <f>IF(OR($N528="RESTRINGIDO", $N535="RESTRINGIDO"), 0, AG491)</f>
        <v/>
      </c>
      <c r="AH602" s="189">
        <f>IF(OR($N528="RESTRINGIDO", $N536="RESTRINGIDO"), 0, AH491)</f>
        <v/>
      </c>
      <c r="AJ602" s="189">
        <f>IF($N528="LIBRE", IF(ISNUMBER(E528), E528, 0), 0)</f>
        <v/>
      </c>
      <c r="AL602" s="188" t="n">
        <v>0</v>
      </c>
      <c r="AN602" s="188" t="n">
        <v>0</v>
      </c>
    </row>
    <row r="603">
      <c r="B603" s="189">
        <f>IF(OR($N529="RESTRINGIDO", $N504="RESTRINGIDO"), 0, B492)</f>
        <v/>
      </c>
      <c r="C603" s="189">
        <f>IF(OR($N529="RESTRINGIDO", $N505="RESTRINGIDO"), 0, C492)</f>
        <v/>
      </c>
      <c r="D603" s="189">
        <f>IF(OR($N529="RESTRINGIDO", $N506="RESTRINGIDO"), 0, D492)</f>
        <v/>
      </c>
      <c r="E603" s="189">
        <f>IF(OR($N529="RESTRINGIDO", $N507="RESTRINGIDO"), 0, E492)</f>
        <v/>
      </c>
      <c r="F603" s="189">
        <f>IF(OR($N529="RESTRINGIDO", $N508="RESTRINGIDO"), 0, F492)</f>
        <v/>
      </c>
      <c r="G603" s="189">
        <f>IF(OR($N529="RESTRINGIDO", $N509="RESTRINGIDO"), 0, G492)</f>
        <v/>
      </c>
      <c r="H603" s="189">
        <f>IF(OR($N529="RESTRINGIDO", $N510="RESTRINGIDO"), 0, H492)</f>
        <v/>
      </c>
      <c r="I603" s="189">
        <f>IF(OR($N529="RESTRINGIDO", $N511="RESTRINGIDO"), 0, I492)</f>
        <v/>
      </c>
      <c r="J603" s="189">
        <f>IF(OR($N529="RESTRINGIDO", $N512="RESTRINGIDO"), 0, J492)</f>
        <v/>
      </c>
      <c r="K603" s="189">
        <f>IF(OR($N529="RESTRINGIDO", $N513="RESTRINGIDO"), 0, K492)</f>
        <v/>
      </c>
      <c r="L603" s="189">
        <f>IF(OR($N529="RESTRINGIDO", $N514="RESTRINGIDO"), 0, L492)</f>
        <v/>
      </c>
      <c r="M603" s="189">
        <f>IF(OR($N529="RESTRINGIDO", $N515="RESTRINGIDO"), 0, M492)</f>
        <v/>
      </c>
      <c r="N603" s="189">
        <f>IF(OR($N529="RESTRINGIDO", $N516="RESTRINGIDO"), 0, N492)</f>
        <v/>
      </c>
      <c r="O603" s="189">
        <f>IF(OR($N529="RESTRINGIDO", $N517="RESTRINGIDO"), 0, O492)</f>
        <v/>
      </c>
      <c r="P603" s="189">
        <f>IF(OR($N529="RESTRINGIDO", $N518="RESTRINGIDO"), 0, P492)</f>
        <v/>
      </c>
      <c r="Q603" s="189">
        <f>IF(OR($N529="RESTRINGIDO", $N519="RESTRINGIDO"), 0, Q492)</f>
        <v/>
      </c>
      <c r="R603" s="189">
        <f>IF(OR($N529="RESTRINGIDO", $N520="RESTRINGIDO"), 0, R492)</f>
        <v/>
      </c>
      <c r="S603" s="189">
        <f>IF(OR($N529="RESTRINGIDO", $N521="RESTRINGIDO"), 0, S492)</f>
        <v/>
      </c>
      <c r="T603" s="189">
        <f>IF(OR($N529="RESTRINGIDO", $N522="RESTRINGIDO"), 0, T492)</f>
        <v/>
      </c>
      <c r="U603" s="189">
        <f>IF(OR($N529="RESTRINGIDO", $N523="RESTRINGIDO"), 0, U492)</f>
        <v/>
      </c>
      <c r="V603" s="189">
        <f>IF(OR($N529="RESTRINGIDO", $N524="RESTRINGIDO"), 0, V492)</f>
        <v/>
      </c>
      <c r="W603" s="189">
        <f>IF(OR($N529="RESTRINGIDO", $N525="RESTRINGIDO"), 0, W492)</f>
        <v/>
      </c>
      <c r="X603" s="189">
        <f>IF(OR($N529="RESTRINGIDO", $N526="RESTRINGIDO"), 0, X492)</f>
        <v/>
      </c>
      <c r="Y603" s="189">
        <f>IF(OR($N529="RESTRINGIDO", $N527="RESTRINGIDO"), 0, Y492)</f>
        <v/>
      </c>
      <c r="Z603" s="189">
        <f>IF(OR($N529="RESTRINGIDO", $N528="RESTRINGIDO"), 0, Z492)</f>
        <v/>
      </c>
      <c r="AA603" s="189">
        <f>IF($N529="RESTRINGIDO", 1, IF(OR($N529="", $C492=""), 1, AA492))</f>
        <v/>
      </c>
      <c r="AB603" s="189">
        <f>IF(OR($N529="RESTRINGIDO", $N530="RESTRINGIDO"), 0, AB492)</f>
        <v/>
      </c>
      <c r="AC603" s="189">
        <f>IF(OR($N529="RESTRINGIDO", $N531="RESTRINGIDO"), 0, AC492)</f>
        <v/>
      </c>
      <c r="AD603" s="189">
        <f>IF(OR($N529="RESTRINGIDO", $N532="RESTRINGIDO"), 0, AD492)</f>
        <v/>
      </c>
      <c r="AE603" s="189">
        <f>IF(OR($N529="RESTRINGIDO", $N533="RESTRINGIDO"), 0, AE492)</f>
        <v/>
      </c>
      <c r="AF603" s="189">
        <f>IF(OR($N529="RESTRINGIDO", $N534="RESTRINGIDO"), 0, AF492)</f>
        <v/>
      </c>
      <c r="AG603" s="189">
        <f>IF(OR($N529="RESTRINGIDO", $N535="RESTRINGIDO"), 0, AG492)</f>
        <v/>
      </c>
      <c r="AH603" s="189">
        <f>IF(OR($N529="RESTRINGIDO", $N536="RESTRINGIDO"), 0, AH492)</f>
        <v/>
      </c>
      <c r="AJ603" s="189">
        <f>IF($N529="LIBRE", IF(ISNUMBER(E529), E529, 0), 0)</f>
        <v/>
      </c>
      <c r="AL603" s="188" t="n">
        <v>0</v>
      </c>
      <c r="AN603" s="188" t="n">
        <v>0</v>
      </c>
    </row>
    <row r="604">
      <c r="B604" s="189">
        <f>IF(OR($N530="RESTRINGIDO", $N504="RESTRINGIDO"), 0, B493)</f>
        <v/>
      </c>
      <c r="C604" s="189">
        <f>IF(OR($N530="RESTRINGIDO", $N505="RESTRINGIDO"), 0, C493)</f>
        <v/>
      </c>
      <c r="D604" s="189">
        <f>IF(OR($N530="RESTRINGIDO", $N506="RESTRINGIDO"), 0, D493)</f>
        <v/>
      </c>
      <c r="E604" s="189">
        <f>IF(OR($N530="RESTRINGIDO", $N507="RESTRINGIDO"), 0, E493)</f>
        <v/>
      </c>
      <c r="F604" s="189">
        <f>IF(OR($N530="RESTRINGIDO", $N508="RESTRINGIDO"), 0, F493)</f>
        <v/>
      </c>
      <c r="G604" s="189">
        <f>IF(OR($N530="RESTRINGIDO", $N509="RESTRINGIDO"), 0, G493)</f>
        <v/>
      </c>
      <c r="H604" s="189">
        <f>IF(OR($N530="RESTRINGIDO", $N510="RESTRINGIDO"), 0, H493)</f>
        <v/>
      </c>
      <c r="I604" s="189">
        <f>IF(OR($N530="RESTRINGIDO", $N511="RESTRINGIDO"), 0, I493)</f>
        <v/>
      </c>
      <c r="J604" s="189">
        <f>IF(OR($N530="RESTRINGIDO", $N512="RESTRINGIDO"), 0, J493)</f>
        <v/>
      </c>
      <c r="K604" s="189">
        <f>IF(OR($N530="RESTRINGIDO", $N513="RESTRINGIDO"), 0, K493)</f>
        <v/>
      </c>
      <c r="L604" s="189">
        <f>IF(OR($N530="RESTRINGIDO", $N514="RESTRINGIDO"), 0, L493)</f>
        <v/>
      </c>
      <c r="M604" s="189">
        <f>IF(OR($N530="RESTRINGIDO", $N515="RESTRINGIDO"), 0, M493)</f>
        <v/>
      </c>
      <c r="N604" s="189">
        <f>IF(OR($N530="RESTRINGIDO", $N516="RESTRINGIDO"), 0, N493)</f>
        <v/>
      </c>
      <c r="O604" s="189">
        <f>IF(OR($N530="RESTRINGIDO", $N517="RESTRINGIDO"), 0, O493)</f>
        <v/>
      </c>
      <c r="P604" s="189">
        <f>IF(OR($N530="RESTRINGIDO", $N518="RESTRINGIDO"), 0, P493)</f>
        <v/>
      </c>
      <c r="Q604" s="189">
        <f>IF(OR($N530="RESTRINGIDO", $N519="RESTRINGIDO"), 0, Q493)</f>
        <v/>
      </c>
      <c r="R604" s="189">
        <f>IF(OR($N530="RESTRINGIDO", $N520="RESTRINGIDO"), 0, R493)</f>
        <v/>
      </c>
      <c r="S604" s="189">
        <f>IF(OR($N530="RESTRINGIDO", $N521="RESTRINGIDO"), 0, S493)</f>
        <v/>
      </c>
      <c r="T604" s="189">
        <f>IF(OR($N530="RESTRINGIDO", $N522="RESTRINGIDO"), 0, T493)</f>
        <v/>
      </c>
      <c r="U604" s="189">
        <f>IF(OR($N530="RESTRINGIDO", $N523="RESTRINGIDO"), 0, U493)</f>
        <v/>
      </c>
      <c r="V604" s="189">
        <f>IF(OR($N530="RESTRINGIDO", $N524="RESTRINGIDO"), 0, V493)</f>
        <v/>
      </c>
      <c r="W604" s="189">
        <f>IF(OR($N530="RESTRINGIDO", $N525="RESTRINGIDO"), 0, W493)</f>
        <v/>
      </c>
      <c r="X604" s="189">
        <f>IF(OR($N530="RESTRINGIDO", $N526="RESTRINGIDO"), 0, X493)</f>
        <v/>
      </c>
      <c r="Y604" s="189">
        <f>IF(OR($N530="RESTRINGIDO", $N527="RESTRINGIDO"), 0, Y493)</f>
        <v/>
      </c>
      <c r="Z604" s="189">
        <f>IF(OR($N530="RESTRINGIDO", $N528="RESTRINGIDO"), 0, Z493)</f>
        <v/>
      </c>
      <c r="AA604" s="189">
        <f>IF(OR($N530="RESTRINGIDO", $N529="RESTRINGIDO"), 0, AA493)</f>
        <v/>
      </c>
      <c r="AB604" s="189">
        <f>IF($N530="RESTRINGIDO", 1, IF(OR($N530="", $C493=""), 1, AB493))</f>
        <v/>
      </c>
      <c r="AC604" s="189">
        <f>IF(OR($N530="RESTRINGIDO", $N531="RESTRINGIDO"), 0, AC493)</f>
        <v/>
      </c>
      <c r="AD604" s="189">
        <f>IF(OR($N530="RESTRINGIDO", $N532="RESTRINGIDO"), 0, AD493)</f>
        <v/>
      </c>
      <c r="AE604" s="189">
        <f>IF(OR($N530="RESTRINGIDO", $N533="RESTRINGIDO"), 0, AE493)</f>
        <v/>
      </c>
      <c r="AF604" s="189">
        <f>IF(OR($N530="RESTRINGIDO", $N534="RESTRINGIDO"), 0, AF493)</f>
        <v/>
      </c>
      <c r="AG604" s="189">
        <f>IF(OR($N530="RESTRINGIDO", $N535="RESTRINGIDO"), 0, AG493)</f>
        <v/>
      </c>
      <c r="AH604" s="189">
        <f>IF(OR($N530="RESTRINGIDO", $N536="RESTRINGIDO"), 0, AH493)</f>
        <v/>
      </c>
      <c r="AJ604" s="189">
        <f>IF($N530="LIBRE", IF(ISNUMBER(E530), E530, 0), 0)</f>
        <v/>
      </c>
      <c r="AL604" s="188" t="n">
        <v>0</v>
      </c>
      <c r="AN604" s="188" t="n">
        <v>0</v>
      </c>
    </row>
    <row r="605">
      <c r="B605" s="189">
        <f>IF(OR($N531="RESTRINGIDO", $N504="RESTRINGIDO"), 0, B494)</f>
        <v/>
      </c>
      <c r="C605" s="189">
        <f>IF(OR($N531="RESTRINGIDO", $N505="RESTRINGIDO"), 0, C494)</f>
        <v/>
      </c>
      <c r="D605" s="189">
        <f>IF(OR($N531="RESTRINGIDO", $N506="RESTRINGIDO"), 0, D494)</f>
        <v/>
      </c>
      <c r="E605" s="189">
        <f>IF(OR($N531="RESTRINGIDO", $N507="RESTRINGIDO"), 0, E494)</f>
        <v/>
      </c>
      <c r="F605" s="189">
        <f>IF(OR($N531="RESTRINGIDO", $N508="RESTRINGIDO"), 0, F494)</f>
        <v/>
      </c>
      <c r="G605" s="189">
        <f>IF(OR($N531="RESTRINGIDO", $N509="RESTRINGIDO"), 0, G494)</f>
        <v/>
      </c>
      <c r="H605" s="189">
        <f>IF(OR($N531="RESTRINGIDO", $N510="RESTRINGIDO"), 0, H494)</f>
        <v/>
      </c>
      <c r="I605" s="189">
        <f>IF(OR($N531="RESTRINGIDO", $N511="RESTRINGIDO"), 0, I494)</f>
        <v/>
      </c>
      <c r="J605" s="189">
        <f>IF(OR($N531="RESTRINGIDO", $N512="RESTRINGIDO"), 0, J494)</f>
        <v/>
      </c>
      <c r="K605" s="189">
        <f>IF(OR($N531="RESTRINGIDO", $N513="RESTRINGIDO"), 0, K494)</f>
        <v/>
      </c>
      <c r="L605" s="189">
        <f>IF(OR($N531="RESTRINGIDO", $N514="RESTRINGIDO"), 0, L494)</f>
        <v/>
      </c>
      <c r="M605" s="189">
        <f>IF(OR($N531="RESTRINGIDO", $N515="RESTRINGIDO"), 0, M494)</f>
        <v/>
      </c>
      <c r="N605" s="189">
        <f>IF(OR($N531="RESTRINGIDO", $N516="RESTRINGIDO"), 0, N494)</f>
        <v/>
      </c>
      <c r="O605" s="189">
        <f>IF(OR($N531="RESTRINGIDO", $N517="RESTRINGIDO"), 0, O494)</f>
        <v/>
      </c>
      <c r="P605" s="189">
        <f>IF(OR($N531="RESTRINGIDO", $N518="RESTRINGIDO"), 0, P494)</f>
        <v/>
      </c>
      <c r="Q605" s="189">
        <f>IF(OR($N531="RESTRINGIDO", $N519="RESTRINGIDO"), 0, Q494)</f>
        <v/>
      </c>
      <c r="R605" s="189">
        <f>IF(OR($N531="RESTRINGIDO", $N520="RESTRINGIDO"), 0, R494)</f>
        <v/>
      </c>
      <c r="S605" s="189">
        <f>IF(OR($N531="RESTRINGIDO", $N521="RESTRINGIDO"), 0, S494)</f>
        <v/>
      </c>
      <c r="T605" s="189">
        <f>IF(OR($N531="RESTRINGIDO", $N522="RESTRINGIDO"), 0, T494)</f>
        <v/>
      </c>
      <c r="U605" s="189">
        <f>IF(OR($N531="RESTRINGIDO", $N523="RESTRINGIDO"), 0, U494)</f>
        <v/>
      </c>
      <c r="V605" s="189">
        <f>IF(OR($N531="RESTRINGIDO", $N524="RESTRINGIDO"), 0, V494)</f>
        <v/>
      </c>
      <c r="W605" s="189">
        <f>IF(OR($N531="RESTRINGIDO", $N525="RESTRINGIDO"), 0, W494)</f>
        <v/>
      </c>
      <c r="X605" s="189">
        <f>IF(OR($N531="RESTRINGIDO", $N526="RESTRINGIDO"), 0, X494)</f>
        <v/>
      </c>
      <c r="Y605" s="189">
        <f>IF(OR($N531="RESTRINGIDO", $N527="RESTRINGIDO"), 0, Y494)</f>
        <v/>
      </c>
      <c r="Z605" s="189">
        <f>IF(OR($N531="RESTRINGIDO", $N528="RESTRINGIDO"), 0, Z494)</f>
        <v/>
      </c>
      <c r="AA605" s="189">
        <f>IF(OR($N531="RESTRINGIDO", $N529="RESTRINGIDO"), 0, AA494)</f>
        <v/>
      </c>
      <c r="AB605" s="189">
        <f>IF(OR($N531="RESTRINGIDO", $N530="RESTRINGIDO"), 0, AB494)</f>
        <v/>
      </c>
      <c r="AC605" s="189">
        <f>IF($N531="RESTRINGIDO", 1, IF(OR($N531="", $C494=""), 1, AC494))</f>
        <v/>
      </c>
      <c r="AD605" s="189">
        <f>IF(OR($N531="RESTRINGIDO", $N532="RESTRINGIDO"), 0, AD494)</f>
        <v/>
      </c>
      <c r="AE605" s="189">
        <f>IF(OR($N531="RESTRINGIDO", $N533="RESTRINGIDO"), 0, AE494)</f>
        <v/>
      </c>
      <c r="AF605" s="189">
        <f>IF(OR($N531="RESTRINGIDO", $N534="RESTRINGIDO"), 0, AF494)</f>
        <v/>
      </c>
      <c r="AG605" s="189">
        <f>IF(OR($N531="RESTRINGIDO", $N535="RESTRINGIDO"), 0, AG494)</f>
        <v/>
      </c>
      <c r="AH605" s="189">
        <f>IF(OR($N531="RESTRINGIDO", $N536="RESTRINGIDO"), 0, AH494)</f>
        <v/>
      </c>
      <c r="AJ605" s="189">
        <f>IF($N531="LIBRE", IF(ISNUMBER(E531), E531, 0), 0)</f>
        <v/>
      </c>
      <c r="AL605" s="188" t="n">
        <v>0</v>
      </c>
      <c r="AN605" s="188" t="n">
        <v>0</v>
      </c>
    </row>
    <row r="606">
      <c r="B606" s="189">
        <f>IF(OR($N532="RESTRINGIDO", $N504="RESTRINGIDO"), 0, B495)</f>
        <v/>
      </c>
      <c r="C606" s="189">
        <f>IF(OR($N532="RESTRINGIDO", $N505="RESTRINGIDO"), 0, C495)</f>
        <v/>
      </c>
      <c r="D606" s="189">
        <f>IF(OR($N532="RESTRINGIDO", $N506="RESTRINGIDO"), 0, D495)</f>
        <v/>
      </c>
      <c r="E606" s="189">
        <f>IF(OR($N532="RESTRINGIDO", $N507="RESTRINGIDO"), 0, E495)</f>
        <v/>
      </c>
      <c r="F606" s="189">
        <f>IF(OR($N532="RESTRINGIDO", $N508="RESTRINGIDO"), 0, F495)</f>
        <v/>
      </c>
      <c r="G606" s="189">
        <f>IF(OR($N532="RESTRINGIDO", $N509="RESTRINGIDO"), 0, G495)</f>
        <v/>
      </c>
      <c r="H606" s="189">
        <f>IF(OR($N532="RESTRINGIDO", $N510="RESTRINGIDO"), 0, H495)</f>
        <v/>
      </c>
      <c r="I606" s="189">
        <f>IF(OR($N532="RESTRINGIDO", $N511="RESTRINGIDO"), 0, I495)</f>
        <v/>
      </c>
      <c r="J606" s="189">
        <f>IF(OR($N532="RESTRINGIDO", $N512="RESTRINGIDO"), 0, J495)</f>
        <v/>
      </c>
      <c r="K606" s="189">
        <f>IF(OR($N532="RESTRINGIDO", $N513="RESTRINGIDO"), 0, K495)</f>
        <v/>
      </c>
      <c r="L606" s="189">
        <f>IF(OR($N532="RESTRINGIDO", $N514="RESTRINGIDO"), 0, L495)</f>
        <v/>
      </c>
      <c r="M606" s="189">
        <f>IF(OR($N532="RESTRINGIDO", $N515="RESTRINGIDO"), 0, M495)</f>
        <v/>
      </c>
      <c r="N606" s="189">
        <f>IF(OR($N532="RESTRINGIDO", $N516="RESTRINGIDO"), 0, N495)</f>
        <v/>
      </c>
      <c r="O606" s="189">
        <f>IF(OR($N532="RESTRINGIDO", $N517="RESTRINGIDO"), 0, O495)</f>
        <v/>
      </c>
      <c r="P606" s="189">
        <f>IF(OR($N532="RESTRINGIDO", $N518="RESTRINGIDO"), 0, P495)</f>
        <v/>
      </c>
      <c r="Q606" s="189">
        <f>IF(OR($N532="RESTRINGIDO", $N519="RESTRINGIDO"), 0, Q495)</f>
        <v/>
      </c>
      <c r="R606" s="189">
        <f>IF(OR($N532="RESTRINGIDO", $N520="RESTRINGIDO"), 0, R495)</f>
        <v/>
      </c>
      <c r="S606" s="189">
        <f>IF(OR($N532="RESTRINGIDO", $N521="RESTRINGIDO"), 0, S495)</f>
        <v/>
      </c>
      <c r="T606" s="189">
        <f>IF(OR($N532="RESTRINGIDO", $N522="RESTRINGIDO"), 0, T495)</f>
        <v/>
      </c>
      <c r="U606" s="189">
        <f>IF(OR($N532="RESTRINGIDO", $N523="RESTRINGIDO"), 0, U495)</f>
        <v/>
      </c>
      <c r="V606" s="189">
        <f>IF(OR($N532="RESTRINGIDO", $N524="RESTRINGIDO"), 0, V495)</f>
        <v/>
      </c>
      <c r="W606" s="189">
        <f>IF(OR($N532="RESTRINGIDO", $N525="RESTRINGIDO"), 0, W495)</f>
        <v/>
      </c>
      <c r="X606" s="189">
        <f>IF(OR($N532="RESTRINGIDO", $N526="RESTRINGIDO"), 0, X495)</f>
        <v/>
      </c>
      <c r="Y606" s="189">
        <f>IF(OR($N532="RESTRINGIDO", $N527="RESTRINGIDO"), 0, Y495)</f>
        <v/>
      </c>
      <c r="Z606" s="189">
        <f>IF(OR($N532="RESTRINGIDO", $N528="RESTRINGIDO"), 0, Z495)</f>
        <v/>
      </c>
      <c r="AA606" s="189">
        <f>IF(OR($N532="RESTRINGIDO", $N529="RESTRINGIDO"), 0, AA495)</f>
        <v/>
      </c>
      <c r="AB606" s="189">
        <f>IF(OR($N532="RESTRINGIDO", $N530="RESTRINGIDO"), 0, AB495)</f>
        <v/>
      </c>
      <c r="AC606" s="189">
        <f>IF(OR($N532="RESTRINGIDO", $N531="RESTRINGIDO"), 0, AC495)</f>
        <v/>
      </c>
      <c r="AD606" s="189">
        <f>IF($N532="RESTRINGIDO", 1, IF(OR($N532="", $C495=""), 1, AD495))</f>
        <v/>
      </c>
      <c r="AE606" s="189">
        <f>IF(OR($N532="RESTRINGIDO", $N533="RESTRINGIDO"), 0, AE495)</f>
        <v/>
      </c>
      <c r="AF606" s="189">
        <f>IF(OR($N532="RESTRINGIDO", $N534="RESTRINGIDO"), 0, AF495)</f>
        <v/>
      </c>
      <c r="AG606" s="189">
        <f>IF(OR($N532="RESTRINGIDO", $N535="RESTRINGIDO"), 0, AG495)</f>
        <v/>
      </c>
      <c r="AH606" s="189">
        <f>IF(OR($N532="RESTRINGIDO", $N536="RESTRINGIDO"), 0, AH495)</f>
        <v/>
      </c>
      <c r="AJ606" s="189">
        <f>IF($N532="LIBRE", IF(ISNUMBER(E532), E532, 0), 0)</f>
        <v/>
      </c>
      <c r="AL606" s="188" t="n">
        <v>0</v>
      </c>
      <c r="AN606" s="188" t="n">
        <v>0</v>
      </c>
    </row>
    <row r="607">
      <c r="B607" s="189">
        <f>IF(OR($N533="RESTRINGIDO", $N504="RESTRINGIDO"), 0, B496)</f>
        <v/>
      </c>
      <c r="C607" s="189">
        <f>IF(OR($N533="RESTRINGIDO", $N505="RESTRINGIDO"), 0, C496)</f>
        <v/>
      </c>
      <c r="D607" s="189">
        <f>IF(OR($N533="RESTRINGIDO", $N506="RESTRINGIDO"), 0, D496)</f>
        <v/>
      </c>
      <c r="E607" s="189">
        <f>IF(OR($N533="RESTRINGIDO", $N507="RESTRINGIDO"), 0, E496)</f>
        <v/>
      </c>
      <c r="F607" s="189">
        <f>IF(OR($N533="RESTRINGIDO", $N508="RESTRINGIDO"), 0, F496)</f>
        <v/>
      </c>
      <c r="G607" s="189">
        <f>IF(OR($N533="RESTRINGIDO", $N509="RESTRINGIDO"), 0, G496)</f>
        <v/>
      </c>
      <c r="H607" s="189">
        <f>IF(OR($N533="RESTRINGIDO", $N510="RESTRINGIDO"), 0, H496)</f>
        <v/>
      </c>
      <c r="I607" s="189">
        <f>IF(OR($N533="RESTRINGIDO", $N511="RESTRINGIDO"), 0, I496)</f>
        <v/>
      </c>
      <c r="J607" s="189">
        <f>IF(OR($N533="RESTRINGIDO", $N512="RESTRINGIDO"), 0, J496)</f>
        <v/>
      </c>
      <c r="K607" s="189">
        <f>IF(OR($N533="RESTRINGIDO", $N513="RESTRINGIDO"), 0, K496)</f>
        <v/>
      </c>
      <c r="L607" s="189">
        <f>IF(OR($N533="RESTRINGIDO", $N514="RESTRINGIDO"), 0, L496)</f>
        <v/>
      </c>
      <c r="M607" s="189">
        <f>IF(OR($N533="RESTRINGIDO", $N515="RESTRINGIDO"), 0, M496)</f>
        <v/>
      </c>
      <c r="N607" s="189">
        <f>IF(OR($N533="RESTRINGIDO", $N516="RESTRINGIDO"), 0, N496)</f>
        <v/>
      </c>
      <c r="O607" s="189">
        <f>IF(OR($N533="RESTRINGIDO", $N517="RESTRINGIDO"), 0, O496)</f>
        <v/>
      </c>
      <c r="P607" s="189">
        <f>IF(OR($N533="RESTRINGIDO", $N518="RESTRINGIDO"), 0, P496)</f>
        <v/>
      </c>
      <c r="Q607" s="189">
        <f>IF(OR($N533="RESTRINGIDO", $N519="RESTRINGIDO"), 0, Q496)</f>
        <v/>
      </c>
      <c r="R607" s="189">
        <f>IF(OR($N533="RESTRINGIDO", $N520="RESTRINGIDO"), 0, R496)</f>
        <v/>
      </c>
      <c r="S607" s="189">
        <f>IF(OR($N533="RESTRINGIDO", $N521="RESTRINGIDO"), 0, S496)</f>
        <v/>
      </c>
      <c r="T607" s="189">
        <f>IF(OR($N533="RESTRINGIDO", $N522="RESTRINGIDO"), 0, T496)</f>
        <v/>
      </c>
      <c r="U607" s="189">
        <f>IF(OR($N533="RESTRINGIDO", $N523="RESTRINGIDO"), 0, U496)</f>
        <v/>
      </c>
      <c r="V607" s="189">
        <f>IF(OR($N533="RESTRINGIDO", $N524="RESTRINGIDO"), 0, V496)</f>
        <v/>
      </c>
      <c r="W607" s="189">
        <f>IF(OR($N533="RESTRINGIDO", $N525="RESTRINGIDO"), 0, W496)</f>
        <v/>
      </c>
      <c r="X607" s="189">
        <f>IF(OR($N533="RESTRINGIDO", $N526="RESTRINGIDO"), 0, X496)</f>
        <v/>
      </c>
      <c r="Y607" s="189">
        <f>IF(OR($N533="RESTRINGIDO", $N527="RESTRINGIDO"), 0, Y496)</f>
        <v/>
      </c>
      <c r="Z607" s="189">
        <f>IF(OR($N533="RESTRINGIDO", $N528="RESTRINGIDO"), 0, Z496)</f>
        <v/>
      </c>
      <c r="AA607" s="189">
        <f>IF(OR($N533="RESTRINGIDO", $N529="RESTRINGIDO"), 0, AA496)</f>
        <v/>
      </c>
      <c r="AB607" s="189">
        <f>IF(OR($N533="RESTRINGIDO", $N530="RESTRINGIDO"), 0, AB496)</f>
        <v/>
      </c>
      <c r="AC607" s="189">
        <f>IF(OR($N533="RESTRINGIDO", $N531="RESTRINGIDO"), 0, AC496)</f>
        <v/>
      </c>
      <c r="AD607" s="189">
        <f>IF(OR($N533="RESTRINGIDO", $N532="RESTRINGIDO"), 0, AD496)</f>
        <v/>
      </c>
      <c r="AE607" s="189">
        <f>IF($N533="RESTRINGIDO", 1, IF(OR($N533="", $C496=""), 1, AE496))</f>
        <v/>
      </c>
      <c r="AF607" s="189">
        <f>IF(OR($N533="RESTRINGIDO", $N534="RESTRINGIDO"), 0, AF496)</f>
        <v/>
      </c>
      <c r="AG607" s="189">
        <f>IF(OR($N533="RESTRINGIDO", $N535="RESTRINGIDO"), 0, AG496)</f>
        <v/>
      </c>
      <c r="AH607" s="189">
        <f>IF(OR($N533="RESTRINGIDO", $N536="RESTRINGIDO"), 0, AH496)</f>
        <v/>
      </c>
      <c r="AJ607" s="189">
        <f>IF($N533="LIBRE", IF(ISNUMBER(E533), E533, 0), 0)</f>
        <v/>
      </c>
      <c r="AL607" s="188" t="n">
        <v>0</v>
      </c>
      <c r="AN607" s="188" t="n">
        <v>0</v>
      </c>
    </row>
    <row r="608">
      <c r="B608" s="189">
        <f>IF(OR($N534="RESTRINGIDO", $N504="RESTRINGIDO"), 0, B497)</f>
        <v/>
      </c>
      <c r="C608" s="189">
        <f>IF(OR($N534="RESTRINGIDO", $N505="RESTRINGIDO"), 0, C497)</f>
        <v/>
      </c>
      <c r="D608" s="189">
        <f>IF(OR($N534="RESTRINGIDO", $N506="RESTRINGIDO"), 0, D497)</f>
        <v/>
      </c>
      <c r="E608" s="189">
        <f>IF(OR($N534="RESTRINGIDO", $N507="RESTRINGIDO"), 0, E497)</f>
        <v/>
      </c>
      <c r="F608" s="189">
        <f>IF(OR($N534="RESTRINGIDO", $N508="RESTRINGIDO"), 0, F497)</f>
        <v/>
      </c>
      <c r="G608" s="189">
        <f>IF(OR($N534="RESTRINGIDO", $N509="RESTRINGIDO"), 0, G497)</f>
        <v/>
      </c>
      <c r="H608" s="189">
        <f>IF(OR($N534="RESTRINGIDO", $N510="RESTRINGIDO"), 0, H497)</f>
        <v/>
      </c>
      <c r="I608" s="189">
        <f>IF(OR($N534="RESTRINGIDO", $N511="RESTRINGIDO"), 0, I497)</f>
        <v/>
      </c>
      <c r="J608" s="189">
        <f>IF(OR($N534="RESTRINGIDO", $N512="RESTRINGIDO"), 0, J497)</f>
        <v/>
      </c>
      <c r="K608" s="189">
        <f>IF(OR($N534="RESTRINGIDO", $N513="RESTRINGIDO"), 0, K497)</f>
        <v/>
      </c>
      <c r="L608" s="189">
        <f>IF(OR($N534="RESTRINGIDO", $N514="RESTRINGIDO"), 0, L497)</f>
        <v/>
      </c>
      <c r="M608" s="189">
        <f>IF(OR($N534="RESTRINGIDO", $N515="RESTRINGIDO"), 0, M497)</f>
        <v/>
      </c>
      <c r="N608" s="189">
        <f>IF(OR($N534="RESTRINGIDO", $N516="RESTRINGIDO"), 0, N497)</f>
        <v/>
      </c>
      <c r="O608" s="189">
        <f>IF(OR($N534="RESTRINGIDO", $N517="RESTRINGIDO"), 0, O497)</f>
        <v/>
      </c>
      <c r="P608" s="189">
        <f>IF(OR($N534="RESTRINGIDO", $N518="RESTRINGIDO"), 0, P497)</f>
        <v/>
      </c>
      <c r="Q608" s="189">
        <f>IF(OR($N534="RESTRINGIDO", $N519="RESTRINGIDO"), 0, Q497)</f>
        <v/>
      </c>
      <c r="R608" s="189">
        <f>IF(OR($N534="RESTRINGIDO", $N520="RESTRINGIDO"), 0, R497)</f>
        <v/>
      </c>
      <c r="S608" s="189">
        <f>IF(OR($N534="RESTRINGIDO", $N521="RESTRINGIDO"), 0, S497)</f>
        <v/>
      </c>
      <c r="T608" s="189">
        <f>IF(OR($N534="RESTRINGIDO", $N522="RESTRINGIDO"), 0, T497)</f>
        <v/>
      </c>
      <c r="U608" s="189">
        <f>IF(OR($N534="RESTRINGIDO", $N523="RESTRINGIDO"), 0, U497)</f>
        <v/>
      </c>
      <c r="V608" s="189">
        <f>IF(OR($N534="RESTRINGIDO", $N524="RESTRINGIDO"), 0, V497)</f>
        <v/>
      </c>
      <c r="W608" s="189">
        <f>IF(OR($N534="RESTRINGIDO", $N525="RESTRINGIDO"), 0, W497)</f>
        <v/>
      </c>
      <c r="X608" s="189">
        <f>IF(OR($N534="RESTRINGIDO", $N526="RESTRINGIDO"), 0, X497)</f>
        <v/>
      </c>
      <c r="Y608" s="189">
        <f>IF(OR($N534="RESTRINGIDO", $N527="RESTRINGIDO"), 0, Y497)</f>
        <v/>
      </c>
      <c r="Z608" s="189">
        <f>IF(OR($N534="RESTRINGIDO", $N528="RESTRINGIDO"), 0, Z497)</f>
        <v/>
      </c>
      <c r="AA608" s="189">
        <f>IF(OR($N534="RESTRINGIDO", $N529="RESTRINGIDO"), 0, AA497)</f>
        <v/>
      </c>
      <c r="AB608" s="189">
        <f>IF(OR($N534="RESTRINGIDO", $N530="RESTRINGIDO"), 0, AB497)</f>
        <v/>
      </c>
      <c r="AC608" s="189">
        <f>IF(OR($N534="RESTRINGIDO", $N531="RESTRINGIDO"), 0, AC497)</f>
        <v/>
      </c>
      <c r="AD608" s="189">
        <f>IF(OR($N534="RESTRINGIDO", $N532="RESTRINGIDO"), 0, AD497)</f>
        <v/>
      </c>
      <c r="AE608" s="189">
        <f>IF(OR($N534="RESTRINGIDO", $N533="RESTRINGIDO"), 0, AE497)</f>
        <v/>
      </c>
      <c r="AF608" s="189">
        <f>IF($N534="RESTRINGIDO", 1, IF(OR($N534="", $C497=""), 1, AF497))</f>
        <v/>
      </c>
      <c r="AG608" s="189">
        <f>IF(OR($N534="RESTRINGIDO", $N535="RESTRINGIDO"), 0, AG497)</f>
        <v/>
      </c>
      <c r="AH608" s="189">
        <f>IF(OR($N534="RESTRINGIDO", $N536="RESTRINGIDO"), 0, AH497)</f>
        <v/>
      </c>
      <c r="AJ608" s="189">
        <f>IF($N534="LIBRE", IF(ISNUMBER(E534), E534, 0), 0)</f>
        <v/>
      </c>
      <c r="AL608" s="188" t="n">
        <v>0</v>
      </c>
      <c r="AN608" s="188" t="n">
        <v>0</v>
      </c>
    </row>
    <row r="609">
      <c r="B609" s="189">
        <f>IF(OR($N535="RESTRINGIDO", $N504="RESTRINGIDO"), 0, B498)</f>
        <v/>
      </c>
      <c r="C609" s="189">
        <f>IF(OR($N535="RESTRINGIDO", $N505="RESTRINGIDO"), 0, C498)</f>
        <v/>
      </c>
      <c r="D609" s="189">
        <f>IF(OR($N535="RESTRINGIDO", $N506="RESTRINGIDO"), 0, D498)</f>
        <v/>
      </c>
      <c r="E609" s="189">
        <f>IF(OR($N535="RESTRINGIDO", $N507="RESTRINGIDO"), 0, E498)</f>
        <v/>
      </c>
      <c r="F609" s="189">
        <f>IF(OR($N535="RESTRINGIDO", $N508="RESTRINGIDO"), 0, F498)</f>
        <v/>
      </c>
      <c r="G609" s="189">
        <f>IF(OR($N535="RESTRINGIDO", $N509="RESTRINGIDO"), 0, G498)</f>
        <v/>
      </c>
      <c r="H609" s="189">
        <f>IF(OR($N535="RESTRINGIDO", $N510="RESTRINGIDO"), 0, H498)</f>
        <v/>
      </c>
      <c r="I609" s="189">
        <f>IF(OR($N535="RESTRINGIDO", $N511="RESTRINGIDO"), 0, I498)</f>
        <v/>
      </c>
      <c r="J609" s="189">
        <f>IF(OR($N535="RESTRINGIDO", $N512="RESTRINGIDO"), 0, J498)</f>
        <v/>
      </c>
      <c r="K609" s="189">
        <f>IF(OR($N535="RESTRINGIDO", $N513="RESTRINGIDO"), 0, K498)</f>
        <v/>
      </c>
      <c r="L609" s="189">
        <f>IF(OR($N535="RESTRINGIDO", $N514="RESTRINGIDO"), 0, L498)</f>
        <v/>
      </c>
      <c r="M609" s="189">
        <f>IF(OR($N535="RESTRINGIDO", $N515="RESTRINGIDO"), 0, M498)</f>
        <v/>
      </c>
      <c r="N609" s="189">
        <f>IF(OR($N535="RESTRINGIDO", $N516="RESTRINGIDO"), 0, N498)</f>
        <v/>
      </c>
      <c r="O609" s="189">
        <f>IF(OR($N535="RESTRINGIDO", $N517="RESTRINGIDO"), 0, O498)</f>
        <v/>
      </c>
      <c r="P609" s="189">
        <f>IF(OR($N535="RESTRINGIDO", $N518="RESTRINGIDO"), 0, P498)</f>
        <v/>
      </c>
      <c r="Q609" s="189">
        <f>IF(OR($N535="RESTRINGIDO", $N519="RESTRINGIDO"), 0, Q498)</f>
        <v/>
      </c>
      <c r="R609" s="189">
        <f>IF(OR($N535="RESTRINGIDO", $N520="RESTRINGIDO"), 0, R498)</f>
        <v/>
      </c>
      <c r="S609" s="189">
        <f>IF(OR($N535="RESTRINGIDO", $N521="RESTRINGIDO"), 0, S498)</f>
        <v/>
      </c>
      <c r="T609" s="189">
        <f>IF(OR($N535="RESTRINGIDO", $N522="RESTRINGIDO"), 0, T498)</f>
        <v/>
      </c>
      <c r="U609" s="189">
        <f>IF(OR($N535="RESTRINGIDO", $N523="RESTRINGIDO"), 0, U498)</f>
        <v/>
      </c>
      <c r="V609" s="189">
        <f>IF(OR($N535="RESTRINGIDO", $N524="RESTRINGIDO"), 0, V498)</f>
        <v/>
      </c>
      <c r="W609" s="189">
        <f>IF(OR($N535="RESTRINGIDO", $N525="RESTRINGIDO"), 0, W498)</f>
        <v/>
      </c>
      <c r="X609" s="189">
        <f>IF(OR($N535="RESTRINGIDO", $N526="RESTRINGIDO"), 0, X498)</f>
        <v/>
      </c>
      <c r="Y609" s="189">
        <f>IF(OR($N535="RESTRINGIDO", $N527="RESTRINGIDO"), 0, Y498)</f>
        <v/>
      </c>
      <c r="Z609" s="189">
        <f>IF(OR($N535="RESTRINGIDO", $N528="RESTRINGIDO"), 0, Z498)</f>
        <v/>
      </c>
      <c r="AA609" s="189">
        <f>IF(OR($N535="RESTRINGIDO", $N529="RESTRINGIDO"), 0, AA498)</f>
        <v/>
      </c>
      <c r="AB609" s="189">
        <f>IF(OR($N535="RESTRINGIDO", $N530="RESTRINGIDO"), 0, AB498)</f>
        <v/>
      </c>
      <c r="AC609" s="189">
        <f>IF(OR($N535="RESTRINGIDO", $N531="RESTRINGIDO"), 0, AC498)</f>
        <v/>
      </c>
      <c r="AD609" s="189">
        <f>IF(OR($N535="RESTRINGIDO", $N532="RESTRINGIDO"), 0, AD498)</f>
        <v/>
      </c>
      <c r="AE609" s="189">
        <f>IF(OR($N535="RESTRINGIDO", $N533="RESTRINGIDO"), 0, AE498)</f>
        <v/>
      </c>
      <c r="AF609" s="189">
        <f>IF(OR($N535="RESTRINGIDO", $N534="RESTRINGIDO"), 0, AF498)</f>
        <v/>
      </c>
      <c r="AG609" s="189">
        <f>IF($N535="RESTRINGIDO", 1, IF(OR($N535="", $C498=""), 1, AG498))</f>
        <v/>
      </c>
      <c r="AH609" s="189">
        <f>IF(OR($N535="RESTRINGIDO", $N536="RESTRINGIDO"), 0, AH498)</f>
        <v/>
      </c>
      <c r="AJ609" s="189">
        <f>IF($N535="LIBRE", IF(ISNUMBER(E535), E535, 0), 0)</f>
        <v/>
      </c>
      <c r="AL609" s="188" t="n">
        <v>0</v>
      </c>
      <c r="AN609" s="188" t="n">
        <v>0</v>
      </c>
    </row>
    <row r="610">
      <c r="B610" s="189">
        <f>IF(OR($N536="RESTRINGIDO", $N504="RESTRINGIDO"), 0, B499)</f>
        <v/>
      </c>
      <c r="C610" s="189">
        <f>IF(OR($N536="RESTRINGIDO", $N505="RESTRINGIDO"), 0, C499)</f>
        <v/>
      </c>
      <c r="D610" s="189">
        <f>IF(OR($N536="RESTRINGIDO", $N506="RESTRINGIDO"), 0, D499)</f>
        <v/>
      </c>
      <c r="E610" s="189">
        <f>IF(OR($N536="RESTRINGIDO", $N507="RESTRINGIDO"), 0, E499)</f>
        <v/>
      </c>
      <c r="F610" s="189">
        <f>IF(OR($N536="RESTRINGIDO", $N508="RESTRINGIDO"), 0, F499)</f>
        <v/>
      </c>
      <c r="G610" s="189">
        <f>IF(OR($N536="RESTRINGIDO", $N509="RESTRINGIDO"), 0, G499)</f>
        <v/>
      </c>
      <c r="H610" s="189">
        <f>IF(OR($N536="RESTRINGIDO", $N510="RESTRINGIDO"), 0, H499)</f>
        <v/>
      </c>
      <c r="I610" s="189">
        <f>IF(OR($N536="RESTRINGIDO", $N511="RESTRINGIDO"), 0, I499)</f>
        <v/>
      </c>
      <c r="J610" s="189">
        <f>IF(OR($N536="RESTRINGIDO", $N512="RESTRINGIDO"), 0, J499)</f>
        <v/>
      </c>
      <c r="K610" s="189">
        <f>IF(OR($N536="RESTRINGIDO", $N513="RESTRINGIDO"), 0, K499)</f>
        <v/>
      </c>
      <c r="L610" s="189">
        <f>IF(OR($N536="RESTRINGIDO", $N514="RESTRINGIDO"), 0, L499)</f>
        <v/>
      </c>
      <c r="M610" s="189">
        <f>IF(OR($N536="RESTRINGIDO", $N515="RESTRINGIDO"), 0, M499)</f>
        <v/>
      </c>
      <c r="N610" s="189">
        <f>IF(OR($N536="RESTRINGIDO", $N516="RESTRINGIDO"), 0, N499)</f>
        <v/>
      </c>
      <c r="O610" s="189">
        <f>IF(OR($N536="RESTRINGIDO", $N517="RESTRINGIDO"), 0, O499)</f>
        <v/>
      </c>
      <c r="P610" s="189">
        <f>IF(OR($N536="RESTRINGIDO", $N518="RESTRINGIDO"), 0, P499)</f>
        <v/>
      </c>
      <c r="Q610" s="189">
        <f>IF(OR($N536="RESTRINGIDO", $N519="RESTRINGIDO"), 0, Q499)</f>
        <v/>
      </c>
      <c r="R610" s="189">
        <f>IF(OR($N536="RESTRINGIDO", $N520="RESTRINGIDO"), 0, R499)</f>
        <v/>
      </c>
      <c r="S610" s="189">
        <f>IF(OR($N536="RESTRINGIDO", $N521="RESTRINGIDO"), 0, S499)</f>
        <v/>
      </c>
      <c r="T610" s="189">
        <f>IF(OR($N536="RESTRINGIDO", $N522="RESTRINGIDO"), 0, T499)</f>
        <v/>
      </c>
      <c r="U610" s="189">
        <f>IF(OR($N536="RESTRINGIDO", $N523="RESTRINGIDO"), 0, U499)</f>
        <v/>
      </c>
      <c r="V610" s="189">
        <f>IF(OR($N536="RESTRINGIDO", $N524="RESTRINGIDO"), 0, V499)</f>
        <v/>
      </c>
      <c r="W610" s="189">
        <f>IF(OR($N536="RESTRINGIDO", $N525="RESTRINGIDO"), 0, W499)</f>
        <v/>
      </c>
      <c r="X610" s="189">
        <f>IF(OR($N536="RESTRINGIDO", $N526="RESTRINGIDO"), 0, X499)</f>
        <v/>
      </c>
      <c r="Y610" s="189">
        <f>IF(OR($N536="RESTRINGIDO", $N527="RESTRINGIDO"), 0, Y499)</f>
        <v/>
      </c>
      <c r="Z610" s="189">
        <f>IF(OR($N536="RESTRINGIDO", $N528="RESTRINGIDO"), 0, Z499)</f>
        <v/>
      </c>
      <c r="AA610" s="189">
        <f>IF(OR($N536="RESTRINGIDO", $N529="RESTRINGIDO"), 0, AA499)</f>
        <v/>
      </c>
      <c r="AB610" s="189">
        <f>IF(OR($N536="RESTRINGIDO", $N530="RESTRINGIDO"), 0, AB499)</f>
        <v/>
      </c>
      <c r="AC610" s="189">
        <f>IF(OR($N536="RESTRINGIDO", $N531="RESTRINGIDO"), 0, AC499)</f>
        <v/>
      </c>
      <c r="AD610" s="189">
        <f>IF(OR($N536="RESTRINGIDO", $N532="RESTRINGIDO"), 0, AD499)</f>
        <v/>
      </c>
      <c r="AE610" s="189">
        <f>IF(OR($N536="RESTRINGIDO", $N533="RESTRINGIDO"), 0, AE499)</f>
        <v/>
      </c>
      <c r="AF610" s="189">
        <f>IF(OR($N536="RESTRINGIDO", $N534="RESTRINGIDO"), 0, AF499)</f>
        <v/>
      </c>
      <c r="AG610" s="189">
        <f>IF(OR($N536="RESTRINGIDO", $N535="RESTRINGIDO"), 0, AG499)</f>
        <v/>
      </c>
      <c r="AH610" s="189">
        <f>IF($N536="RESTRINGIDO", 1, IF(OR($N536="", $C499=""), 1, AH499))</f>
        <v/>
      </c>
      <c r="AJ610" s="189">
        <f>IF($N536="LIBRE", IF(ISNUMBER(E536), E536, 0), 0)</f>
        <v/>
      </c>
      <c r="AL610" s="188" t="n">
        <v>0</v>
      </c>
      <c r="AN610" s="188" t="n">
        <v>0</v>
      </c>
    </row>
    <row r="615">
      <c r="B615" s="184" t="inlineStr">
        <is>
          <t>RESUMEN DE DESPLAZAMIENTOS</t>
        </is>
      </c>
      <c r="C615" s="190" t="n"/>
      <c r="D615" s="190" t="n"/>
      <c r="E615" s="190" t="n"/>
      <c r="F615" s="190" t="n"/>
      <c r="G615" s="191" t="n"/>
    </row>
    <row r="616" ht="26.4" customHeight="1" s="183">
      <c r="B616" s="186" t="inlineStr">
        <is>
          <t>Símbolo</t>
        </is>
      </c>
      <c r="C616" s="186" t="inlineStr">
        <is>
          <t>G.D.L.</t>
        </is>
      </c>
      <c r="D616" s="186" t="inlineStr">
        <is>
          <t>=</t>
        </is>
      </c>
      <c r="E616" s="186" t="inlineStr">
        <is>
          <t>Valor Calculado</t>
        </is>
      </c>
      <c r="F616" s="186" t="inlineStr">
        <is>
          <t>G.D.L.</t>
        </is>
      </c>
      <c r="G616" s="186" t="inlineStr">
        <is>
          <t>Unidad</t>
        </is>
      </c>
      <c r="I616" s="139" t="inlineStr">
        <is>
          <t>U1θ</t>
        </is>
      </c>
      <c r="J616" s="140" t="n">
        <v>-13333.33333333333</v>
      </c>
      <c r="K616" s="141" t="inlineStr">
        <is>
          <t>=</t>
        </is>
      </c>
      <c r="L616" s="142" t="n">
        <v>1250000</v>
      </c>
      <c r="M616" s="143" t="n">
        <v>0</v>
      </c>
      <c r="N616" s="143" t="n">
        <v>-9375</v>
      </c>
      <c r="O616" s="143" t="n">
        <v>625000</v>
      </c>
      <c r="P616" s="143" t="n">
        <v>0</v>
      </c>
      <c r="Q616" s="143" t="n">
        <v>0</v>
      </c>
      <c r="R616" s="143" t="n">
        <v>0</v>
      </c>
      <c r="S616" s="143" t="n">
        <v>0</v>
      </c>
      <c r="T616" s="143" t="n">
        <v>0</v>
      </c>
      <c r="U616" s="143" t="n">
        <v>0</v>
      </c>
      <c r="V616" s="143" t="n">
        <v>0</v>
      </c>
      <c r="W616" s="143" t="n">
        <v>0</v>
      </c>
    </row>
    <row r="617">
      <c r="B617" s="186" t="inlineStr">
        <is>
          <t>D1X</t>
        </is>
      </c>
      <c r="C617" s="187" t="inlineStr">
        <is>
          <t>U1X</t>
        </is>
      </c>
      <c r="D617" s="187" t="inlineStr">
        <is>
          <t>=</t>
        </is>
      </c>
      <c r="E617" s="188">
        <f>IF(OR($G$4=0, 1&gt;$G$4), 0, IF(N504="RESTRINGIDO", 0, AL578))</f>
        <v/>
      </c>
      <c r="F617" s="187" t="inlineStr">
        <is>
          <t>U1X</t>
        </is>
      </c>
      <c r="G617" s="187" t="inlineStr">
        <is>
          <t>cm</t>
        </is>
      </c>
      <c r="I617" s="139" t="inlineStr">
        <is>
          <t>U2X</t>
        </is>
      </c>
      <c r="J617" s="140" t="n">
        <v>0</v>
      </c>
      <c r="K617" s="141" t="inlineStr">
        <is>
          <t>=</t>
        </is>
      </c>
      <c r="L617" s="143" t="n">
        <v>0</v>
      </c>
      <c r="M617" s="142" t="n">
        <v>62500</v>
      </c>
      <c r="N617" s="143" t="n">
        <v>0</v>
      </c>
      <c r="O617" s="143" t="n">
        <v>0</v>
      </c>
      <c r="P617" s="143" t="n">
        <v>0</v>
      </c>
      <c r="Q617" s="143" t="n">
        <v>0</v>
      </c>
      <c r="R617" s="143" t="n">
        <v>0</v>
      </c>
      <c r="S617" s="143" t="n">
        <v>0</v>
      </c>
      <c r="T617" s="143" t="n">
        <v>0</v>
      </c>
      <c r="U617" s="143" t="n">
        <v>0</v>
      </c>
      <c r="V617" s="143" t="n">
        <v>0</v>
      </c>
      <c r="W617" s="143" t="n">
        <v>0</v>
      </c>
    </row>
    <row r="618">
      <c r="B618" s="186" t="inlineStr">
        <is>
          <t>D1Y</t>
        </is>
      </c>
      <c r="C618" s="187" t="inlineStr">
        <is>
          <t>U1Y</t>
        </is>
      </c>
      <c r="D618" s="187" t="inlineStr">
        <is>
          <t>=</t>
        </is>
      </c>
      <c r="E618" s="188">
        <f>IF(OR($G$4=0, 1&gt;$G$4), 0, IF(N505="RESTRINGIDO", 0, AL579))</f>
        <v/>
      </c>
      <c r="F618" s="187" t="inlineStr">
        <is>
          <t>U1Y</t>
        </is>
      </c>
      <c r="G618" s="187" t="inlineStr">
        <is>
          <t>cm</t>
        </is>
      </c>
      <c r="I618" s="139" t="inlineStr">
        <is>
          <t>U2Y</t>
        </is>
      </c>
      <c r="J618" s="140" t="n">
        <v>-2000</v>
      </c>
      <c r="K618" s="141" t="inlineStr">
        <is>
          <t>=</t>
        </is>
      </c>
      <c r="L618" s="143" t="n">
        <v>-9375</v>
      </c>
      <c r="M618" s="143" t="n">
        <v>0</v>
      </c>
      <c r="N618" s="142" t="n">
        <v>121.5277777777778</v>
      </c>
      <c r="O618" s="143" t="n">
        <v>-5208.333333333333</v>
      </c>
      <c r="P618" s="143" t="n">
        <v>4166.666666666667</v>
      </c>
      <c r="Q618" s="143" t="n">
        <v>0</v>
      </c>
      <c r="R618" s="143" t="n">
        <v>0</v>
      </c>
      <c r="S618" s="143" t="n">
        <v>0</v>
      </c>
      <c r="T618" s="143" t="n">
        <v>0</v>
      </c>
      <c r="U618" s="143" t="n">
        <v>0</v>
      </c>
      <c r="V618" s="143" t="n">
        <v>0</v>
      </c>
      <c r="W618" s="143" t="n">
        <v>0</v>
      </c>
    </row>
    <row r="619">
      <c r="B619" s="186" t="inlineStr">
        <is>
          <t>D1θ</t>
        </is>
      </c>
      <c r="C619" s="187" t="inlineStr">
        <is>
          <t>U1θ</t>
        </is>
      </c>
      <c r="D619" s="187" t="inlineStr">
        <is>
          <t>=</t>
        </is>
      </c>
      <c r="E619" s="188">
        <f>IF(OR($G$4=0, 1&gt;$G$4), 0, IF(N506="RESTRINGIDO", 0, AL580))</f>
        <v/>
      </c>
      <c r="F619" s="187" t="inlineStr">
        <is>
          <t>U1θ</t>
        </is>
      </c>
      <c r="G619" s="187" t="inlineStr">
        <is>
          <t>rad</t>
        </is>
      </c>
      <c r="I619" s="139" t="inlineStr">
        <is>
          <t>U2θ</t>
        </is>
      </c>
      <c r="J619" s="140" t="n">
        <v>-16666.66666666666</v>
      </c>
      <c r="K619" s="141" t="inlineStr">
        <is>
          <t>=</t>
        </is>
      </c>
      <c r="L619" s="143" t="n">
        <v>625000</v>
      </c>
      <c r="M619" s="143" t="n">
        <v>0</v>
      </c>
      <c r="N619" s="143" t="n">
        <v>-5208.333333333333</v>
      </c>
      <c r="O619" s="142" t="n">
        <v>2083333.333333333</v>
      </c>
      <c r="P619" s="143" t="n">
        <v>416666.6666666667</v>
      </c>
      <c r="Q619" s="143" t="n">
        <v>0</v>
      </c>
      <c r="R619" s="143" t="n">
        <v>0</v>
      </c>
      <c r="S619" s="143" t="n">
        <v>0</v>
      </c>
      <c r="T619" s="143" t="n">
        <v>0</v>
      </c>
      <c r="U619" s="143" t="n">
        <v>0</v>
      </c>
      <c r="V619" s="143" t="n">
        <v>0</v>
      </c>
      <c r="W619" s="143" t="n">
        <v>0</v>
      </c>
    </row>
    <row r="620">
      <c r="B620" s="186" t="inlineStr">
        <is>
          <t>D2X</t>
        </is>
      </c>
      <c r="C620" s="187" t="inlineStr">
        <is>
          <t>U2X</t>
        </is>
      </c>
      <c r="D620" s="187" t="inlineStr">
        <is>
          <t>=</t>
        </is>
      </c>
      <c r="E620" s="188">
        <f>IF(OR($G$4=0, 2&gt;$G$4), 0, IF(N507="RESTRINGIDO", 0, AL581))</f>
        <v/>
      </c>
      <c r="F620" s="187" t="inlineStr">
        <is>
          <t>U2X</t>
        </is>
      </c>
      <c r="G620" s="187" t="inlineStr">
        <is>
          <t>cm</t>
        </is>
      </c>
      <c r="I620" s="139" t="inlineStr">
        <is>
          <t>U3θ</t>
        </is>
      </c>
      <c r="J620" s="140" t="n">
        <v>30000</v>
      </c>
      <c r="K620" s="141" t="inlineStr">
        <is>
          <t>=</t>
        </is>
      </c>
      <c r="L620" s="143" t="n">
        <v>0</v>
      </c>
      <c r="M620" s="143" t="n">
        <v>0</v>
      </c>
      <c r="N620" s="143" t="n">
        <v>4166.666666666667</v>
      </c>
      <c r="O620" s="143" t="n">
        <v>416666.6666666667</v>
      </c>
      <c r="P620" s="142" t="n">
        <v>3333333.333333333</v>
      </c>
      <c r="Q620" s="143" t="n">
        <v>0</v>
      </c>
      <c r="R620" s="143" t="n">
        <v>-37500</v>
      </c>
      <c r="S620" s="143" t="n">
        <v>1250000</v>
      </c>
      <c r="T620" s="143" t="n">
        <v>0</v>
      </c>
      <c r="U620" s="143" t="n">
        <v>0</v>
      </c>
      <c r="V620" s="143" t="n">
        <v>0</v>
      </c>
      <c r="W620" s="143" t="n">
        <v>0</v>
      </c>
    </row>
    <row r="621">
      <c r="B621" s="186" t="inlineStr">
        <is>
          <t>D2Y</t>
        </is>
      </c>
      <c r="C621" s="187" t="inlineStr">
        <is>
          <t>U2Y</t>
        </is>
      </c>
      <c r="D621" s="187" t="inlineStr">
        <is>
          <t>=</t>
        </is>
      </c>
      <c r="E621" s="188">
        <f>IF(OR($G$4=0, 2&gt;$G$4), 0, IF(N508="RESTRINGIDO", 0, AL582))</f>
        <v/>
      </c>
      <c r="F621" s="187" t="inlineStr">
        <is>
          <t>U2Y</t>
        </is>
      </c>
      <c r="G621" s="187" t="inlineStr">
        <is>
          <t>cm</t>
        </is>
      </c>
      <c r="I621" s="139" t="inlineStr">
        <is>
          <t>U4X</t>
        </is>
      </c>
      <c r="J621" s="140" t="n">
        <v>0</v>
      </c>
      <c r="K621" s="141" t="inlineStr">
        <is>
          <t>=</t>
        </is>
      </c>
      <c r="L621" s="143" t="n">
        <v>0</v>
      </c>
      <c r="M621" s="143" t="n">
        <v>0</v>
      </c>
      <c r="N621" s="143" t="n">
        <v>0</v>
      </c>
      <c r="O621" s="143" t="n">
        <v>0</v>
      </c>
      <c r="P621" s="143" t="n">
        <v>0</v>
      </c>
      <c r="Q621" s="142" t="n">
        <v>112500</v>
      </c>
      <c r="R621" s="143" t="n">
        <v>0</v>
      </c>
      <c r="S621" s="143" t="n">
        <v>0</v>
      </c>
      <c r="T621" s="143" t="n">
        <v>-37500</v>
      </c>
      <c r="U621" s="143" t="n">
        <v>0</v>
      </c>
      <c r="V621" s="143" t="n">
        <v>0</v>
      </c>
      <c r="W621" s="143" t="n">
        <v>0</v>
      </c>
    </row>
    <row r="622">
      <c r="B622" s="186" t="inlineStr">
        <is>
          <t>D2θ</t>
        </is>
      </c>
      <c r="C622" s="187" t="inlineStr">
        <is>
          <t>U2θ</t>
        </is>
      </c>
      <c r="D622" s="187" t="inlineStr">
        <is>
          <t>=</t>
        </is>
      </c>
      <c r="E622" s="188">
        <f>IF(OR($G$4=0, 2&gt;$G$4), 0, IF(N509="RESTRINGIDO", 0, AL583))</f>
        <v/>
      </c>
      <c r="F622" s="187" t="inlineStr">
        <is>
          <t>U2θ</t>
        </is>
      </c>
      <c r="G622" s="187" t="inlineStr">
        <is>
          <t>rad</t>
        </is>
      </c>
      <c r="I622" s="139" t="inlineStr">
        <is>
          <t>U4Y</t>
        </is>
      </c>
      <c r="J622" s="140" t="n">
        <v>-2000</v>
      </c>
      <c r="K622" s="141" t="inlineStr">
        <is>
          <t>=</t>
        </is>
      </c>
      <c r="L622" s="143" t="n">
        <v>0</v>
      </c>
      <c r="M622" s="143" t="n">
        <v>0</v>
      </c>
      <c r="N622" s="143" t="n">
        <v>0</v>
      </c>
      <c r="O622" s="143" t="n">
        <v>0</v>
      </c>
      <c r="P622" s="143" t="n">
        <v>-37500</v>
      </c>
      <c r="Q622" s="143" t="n">
        <v>0</v>
      </c>
      <c r="R622" s="142" t="n">
        <v>843.75</v>
      </c>
      <c r="S622" s="143" t="n">
        <v>-28125</v>
      </c>
      <c r="T622" s="143" t="n">
        <v>0</v>
      </c>
      <c r="U622" s="143" t="n">
        <v>-93.75</v>
      </c>
      <c r="V622" s="143" t="n">
        <v>9375</v>
      </c>
      <c r="W622" s="143" t="n">
        <v>0</v>
      </c>
    </row>
    <row r="623">
      <c r="B623" s="186" t="inlineStr">
        <is>
          <t>D3X</t>
        </is>
      </c>
      <c r="C623" s="187" t="inlineStr">
        <is>
          <t>U3X</t>
        </is>
      </c>
      <c r="D623" s="187" t="inlineStr">
        <is>
          <t>=</t>
        </is>
      </c>
      <c r="E623" s="188">
        <f>IF(OR($G$4=0, 3&gt;$G$4), 0, IF(N510="RESTRINGIDO", 0, AL584))</f>
        <v/>
      </c>
      <c r="F623" s="187" t="inlineStr">
        <is>
          <t>U3X</t>
        </is>
      </c>
      <c r="G623" s="187" t="inlineStr">
        <is>
          <t>cm</t>
        </is>
      </c>
      <c r="I623" s="139" t="inlineStr">
        <is>
          <t>U4θ</t>
        </is>
      </c>
      <c r="J623" s="140" t="n">
        <v>0</v>
      </c>
      <c r="K623" s="141" t="inlineStr">
        <is>
          <t>=</t>
        </is>
      </c>
      <c r="L623" s="143" t="n">
        <v>0</v>
      </c>
      <c r="M623" s="143" t="n">
        <v>0</v>
      </c>
      <c r="N623" s="143" t="n">
        <v>0</v>
      </c>
      <c r="O623" s="143" t="n">
        <v>0</v>
      </c>
      <c r="P623" s="143" t="n">
        <v>1250000</v>
      </c>
      <c r="Q623" s="143" t="n">
        <v>0</v>
      </c>
      <c r="R623" s="143" t="n">
        <v>-28125</v>
      </c>
      <c r="S623" s="142" t="n">
        <v>3750000</v>
      </c>
      <c r="T623" s="143" t="n">
        <v>0</v>
      </c>
      <c r="U623" s="143" t="n">
        <v>-9375</v>
      </c>
      <c r="V623" s="143" t="n">
        <v>625000</v>
      </c>
      <c r="W623" s="143" t="n">
        <v>0</v>
      </c>
    </row>
    <row r="624">
      <c r="B624" s="186" t="inlineStr">
        <is>
          <t>D3Y</t>
        </is>
      </c>
      <c r="C624" s="187" t="inlineStr">
        <is>
          <t>U3Y</t>
        </is>
      </c>
      <c r="D624" s="187" t="inlineStr">
        <is>
          <t>=</t>
        </is>
      </c>
      <c r="E624" s="188">
        <f>IF(OR($G$4=0, 3&gt;$G$4), 0, IF(N511="RESTRINGIDO", 0, AL585))</f>
        <v/>
      </c>
      <c r="F624" s="187" t="inlineStr">
        <is>
          <t>U3Y</t>
        </is>
      </c>
      <c r="G624" s="187" t="inlineStr">
        <is>
          <t>cm</t>
        </is>
      </c>
      <c r="I624" s="139" t="inlineStr">
        <is>
          <t>U5X</t>
        </is>
      </c>
      <c r="J624" s="140" t="n">
        <v>0</v>
      </c>
      <c r="K624" s="141" t="inlineStr">
        <is>
          <t>=</t>
        </is>
      </c>
      <c r="L624" s="143" t="n">
        <v>0</v>
      </c>
      <c r="M624" s="143" t="n">
        <v>0</v>
      </c>
      <c r="N624" s="143" t="n">
        <v>0</v>
      </c>
      <c r="O624" s="143" t="n">
        <v>0</v>
      </c>
      <c r="P624" s="143" t="n">
        <v>0</v>
      </c>
      <c r="Q624" s="143" t="n">
        <v>-37500</v>
      </c>
      <c r="R624" s="143" t="n">
        <v>0</v>
      </c>
      <c r="S624" s="143" t="n">
        <v>0</v>
      </c>
      <c r="T624" s="142" t="n">
        <v>62500</v>
      </c>
      <c r="U624" s="143" t="n">
        <v>0</v>
      </c>
      <c r="V624" s="143" t="n">
        <v>0</v>
      </c>
      <c r="W624" s="143" t="n">
        <v>0</v>
      </c>
    </row>
    <row r="625">
      <c r="B625" s="186" t="inlineStr">
        <is>
          <t>D3θ</t>
        </is>
      </c>
      <c r="C625" s="187" t="inlineStr">
        <is>
          <t>U3θ</t>
        </is>
      </c>
      <c r="D625" s="187" t="inlineStr">
        <is>
          <t>=</t>
        </is>
      </c>
      <c r="E625" s="188">
        <f>IF(OR($G$4=0, 3&gt;$G$4), 0, IF(N512="RESTRINGIDO", 0, AL586))</f>
        <v/>
      </c>
      <c r="F625" s="187" t="inlineStr">
        <is>
          <t>U3θ</t>
        </is>
      </c>
      <c r="G625" s="187" t="inlineStr">
        <is>
          <t>rad</t>
        </is>
      </c>
      <c r="I625" s="139" t="inlineStr">
        <is>
          <t>U5Y</t>
        </is>
      </c>
      <c r="J625" s="140" t="n">
        <v>-3000</v>
      </c>
      <c r="K625" s="141" t="inlineStr">
        <is>
          <t>=</t>
        </is>
      </c>
      <c r="L625" s="143" t="n">
        <v>0</v>
      </c>
      <c r="M625" s="143" t="n">
        <v>0</v>
      </c>
      <c r="N625" s="143" t="n">
        <v>0</v>
      </c>
      <c r="O625" s="143" t="n">
        <v>0</v>
      </c>
      <c r="P625" s="143" t="n">
        <v>0</v>
      </c>
      <c r="Q625" s="143" t="n">
        <v>0</v>
      </c>
      <c r="R625" s="143" t="n">
        <v>-93.75</v>
      </c>
      <c r="S625" s="143" t="n">
        <v>-9375</v>
      </c>
      <c r="T625" s="143" t="n">
        <v>0</v>
      </c>
      <c r="U625" s="142" t="n">
        <v>121.5277777777778</v>
      </c>
      <c r="V625" s="143" t="n">
        <v>-5208.333333333333</v>
      </c>
      <c r="W625" s="143" t="n">
        <v>4166.666666666667</v>
      </c>
    </row>
    <row r="626">
      <c r="B626" s="186" t="inlineStr">
        <is>
          <t>D4X</t>
        </is>
      </c>
      <c r="C626" s="187" t="inlineStr">
        <is>
          <t>U4X</t>
        </is>
      </c>
      <c r="D626" s="187" t="inlineStr">
        <is>
          <t>=</t>
        </is>
      </c>
      <c r="E626" s="188">
        <f>IF(OR($G$4=0, 4&gt;$G$4), 0, IF(N513="RESTRINGIDO", 0, AL587))</f>
        <v/>
      </c>
      <c r="F626" s="187" t="inlineStr">
        <is>
          <t>U4X</t>
        </is>
      </c>
      <c r="G626" s="187" t="inlineStr">
        <is>
          <t>cm</t>
        </is>
      </c>
      <c r="I626" s="139" t="inlineStr">
        <is>
          <t>U5θ</t>
        </is>
      </c>
      <c r="J626" s="140" t="n">
        <v>0</v>
      </c>
      <c r="K626" s="141" t="inlineStr">
        <is>
          <t>=</t>
        </is>
      </c>
      <c r="L626" s="143" t="n">
        <v>0</v>
      </c>
      <c r="M626" s="143" t="n">
        <v>0</v>
      </c>
      <c r="N626" s="143" t="n">
        <v>0</v>
      </c>
      <c r="O626" s="143" t="n">
        <v>0</v>
      </c>
      <c r="P626" s="143" t="n">
        <v>0</v>
      </c>
      <c r="Q626" s="143" t="n">
        <v>0</v>
      </c>
      <c r="R626" s="143" t="n">
        <v>9375</v>
      </c>
      <c r="S626" s="143" t="n">
        <v>625000</v>
      </c>
      <c r="T626" s="143" t="n">
        <v>0</v>
      </c>
      <c r="U626" s="143" t="n">
        <v>-5208.333333333333</v>
      </c>
      <c r="V626" s="142" t="n">
        <v>2083333.333333333</v>
      </c>
      <c r="W626" s="143" t="n">
        <v>416666.6666666667</v>
      </c>
    </row>
    <row r="627">
      <c r="B627" s="186" t="inlineStr">
        <is>
          <t>D4Y</t>
        </is>
      </c>
      <c r="C627" s="187" t="inlineStr">
        <is>
          <t>U4Y</t>
        </is>
      </c>
      <c r="D627" s="187" t="inlineStr">
        <is>
          <t>=</t>
        </is>
      </c>
      <c r="E627" s="188">
        <f>IF(OR($G$4=0, 4&gt;$G$4), 0, IF(N514="RESTRINGIDO", 0, AL588))</f>
        <v/>
      </c>
      <c r="F627" s="187" t="inlineStr">
        <is>
          <t>U4Y</t>
        </is>
      </c>
      <c r="G627" s="187" t="inlineStr">
        <is>
          <t>cm</t>
        </is>
      </c>
      <c r="I627" s="139" t="inlineStr">
        <is>
          <t>U6θ</t>
        </is>
      </c>
      <c r="J627" s="140" t="n">
        <v>0</v>
      </c>
      <c r="K627" s="141" t="inlineStr">
        <is>
          <t>=</t>
        </is>
      </c>
      <c r="L627" s="143" t="n">
        <v>0</v>
      </c>
      <c r="M627" s="143" t="n">
        <v>0</v>
      </c>
      <c r="N627" s="143" t="n">
        <v>0</v>
      </c>
      <c r="O627" s="143" t="n">
        <v>0</v>
      </c>
      <c r="P627" s="143" t="n">
        <v>0</v>
      </c>
      <c r="Q627" s="143" t="n">
        <v>0</v>
      </c>
      <c r="R627" s="143" t="n">
        <v>0</v>
      </c>
      <c r="S627" s="143" t="n">
        <v>0</v>
      </c>
      <c r="T627" s="143" t="n">
        <v>0</v>
      </c>
      <c r="U627" s="143" t="n">
        <v>4166.666666666667</v>
      </c>
      <c r="V627" s="143" t="n">
        <v>416666.6666666667</v>
      </c>
      <c r="W627" s="142" t="n">
        <v>833333.3333333334</v>
      </c>
    </row>
    <row r="628">
      <c r="B628" s="186" t="inlineStr">
        <is>
          <t>D4θ</t>
        </is>
      </c>
      <c r="C628" s="187" t="inlineStr">
        <is>
          <t>U4θ</t>
        </is>
      </c>
      <c r="D628" s="187" t="inlineStr">
        <is>
          <t>=</t>
        </is>
      </c>
      <c r="E628" s="188">
        <f>IF(OR($G$4=0, 4&gt;$G$4), 0, IF(N515="RESTRINGIDO", 0, AL589))</f>
        <v/>
      </c>
      <c r="F628" s="187" t="inlineStr">
        <is>
          <t>U4θ</t>
        </is>
      </c>
      <c r="G628" s="187" t="inlineStr">
        <is>
          <t>rad</t>
        </is>
      </c>
    </row>
    <row r="629" ht="15" customHeight="1" s="183" thickBot="1">
      <c r="B629" s="186" t="inlineStr">
        <is>
          <t>D5X</t>
        </is>
      </c>
      <c r="C629" s="187" t="inlineStr">
        <is>
          <t>U5X</t>
        </is>
      </c>
      <c r="D629" s="187" t="inlineStr">
        <is>
          <t>=</t>
        </is>
      </c>
      <c r="E629" s="188">
        <f>IF(OR($G$4=0, 5&gt;$G$4), 0, IF(N516="RESTRINGIDO", 0, AL590))</f>
        <v/>
      </c>
      <c r="F629" s="187" t="inlineStr">
        <is>
          <t>U5X</t>
        </is>
      </c>
      <c r="G629" s="187" t="inlineStr">
        <is>
          <t>cm</t>
        </is>
      </c>
    </row>
    <row r="630" ht="15" customHeight="1" s="183" thickBot="1">
      <c r="B630" s="186" t="inlineStr">
        <is>
          <t>D5Y</t>
        </is>
      </c>
      <c r="C630" s="187" t="inlineStr">
        <is>
          <t>U5Y</t>
        </is>
      </c>
      <c r="D630" s="187" t="inlineStr">
        <is>
          <t>=</t>
        </is>
      </c>
      <c r="E630" s="188">
        <f>IF(OR($G$4=0, 5&gt;$G$4), 0, IF(N517="RESTRINGIDO", 0, AL591))</f>
        <v/>
      </c>
      <c r="F630" s="187" t="inlineStr">
        <is>
          <t>U5Y</t>
        </is>
      </c>
      <c r="G630" s="187" t="inlineStr">
        <is>
          <t>cm</t>
        </is>
      </c>
      <c r="I630" s="139" t="inlineStr">
        <is>
          <t>U1θ</t>
        </is>
      </c>
      <c r="J630" s="144" t="inlineStr">
        <is>
          <t>D1θ</t>
        </is>
      </c>
      <c r="K630" s="152" t="inlineStr">
        <is>
          <t>=</t>
        </is>
      </c>
      <c r="L630" s="153">
        <f t="array" ref="L630:W641">MINVERSE(L616:W627)</f>
        <v/>
      </c>
      <c r="M630" s="154" t="n">
        <v>0</v>
      </c>
      <c r="N630" s="154" t="n">
        <v>0.0002050909090909094</v>
      </c>
      <c r="O630" s="154" t="n">
        <v>-5.090909090909111e-08</v>
      </c>
      <c r="P630" s="154" t="n">
        <v>-7.272727272727271e-07</v>
      </c>
      <c r="Q630" s="154" t="n">
        <v>0</v>
      </c>
      <c r="R630" s="154" t="n">
        <v>-5.555555555555599e-05</v>
      </c>
      <c r="S630" s="154" t="n">
        <v>-3.939393939393918e-07</v>
      </c>
      <c r="T630" s="154" t="n">
        <v>0</v>
      </c>
      <c r="U630" s="154" t="n">
        <v>-8.181818181818168e-05</v>
      </c>
      <c r="V630" s="154" t="n">
        <v>9.090909090909117e-08</v>
      </c>
      <c r="W630" s="155" t="n">
        <v>3.636363636363618e-07</v>
      </c>
      <c r="Y630" s="181">
        <f>J616</f>
        <v/>
      </c>
    </row>
    <row r="631" ht="15" customHeight="1" s="183" thickBot="1">
      <c r="B631" s="186" t="inlineStr">
        <is>
          <t>D5θ</t>
        </is>
      </c>
      <c r="C631" s="187" t="inlineStr">
        <is>
          <t>U5θ</t>
        </is>
      </c>
      <c r="D631" s="187" t="inlineStr">
        <is>
          <t>=</t>
        </is>
      </c>
      <c r="E631" s="188">
        <f>IF(OR($G$4=0, 5&gt;$G$4), 0, IF(N518="RESTRINGIDO", 0, AL592))</f>
        <v/>
      </c>
      <c r="F631" s="187" t="inlineStr">
        <is>
          <t>U5θ</t>
        </is>
      </c>
      <c r="G631" s="187" t="inlineStr">
        <is>
          <t>rad</t>
        </is>
      </c>
      <c r="I631" s="139" t="inlineStr">
        <is>
          <t>U2X</t>
        </is>
      </c>
      <c r="J631" s="144" t="inlineStr">
        <is>
          <t>D2X</t>
        </is>
      </c>
      <c r="K631" s="152" t="inlineStr">
        <is>
          <t>=</t>
        </is>
      </c>
      <c r="L631" s="156" t="n">
        <v>0</v>
      </c>
      <c r="M631" s="145" t="n">
        <v>1.6e-05</v>
      </c>
      <c r="N631" s="146" t="n">
        <v>0</v>
      </c>
      <c r="O631" s="146" t="n">
        <v>0</v>
      </c>
      <c r="P631" s="146" t="n">
        <v>0</v>
      </c>
      <c r="Q631" s="146" t="n">
        <v>0</v>
      </c>
      <c r="R631" s="146" t="n">
        <v>0</v>
      </c>
      <c r="S631" s="146" t="n">
        <v>0</v>
      </c>
      <c r="T631" s="146" t="n">
        <v>0</v>
      </c>
      <c r="U631" s="146" t="n">
        <v>0</v>
      </c>
      <c r="V631" s="146" t="n">
        <v>0</v>
      </c>
      <c r="W631" s="157" t="n">
        <v>0</v>
      </c>
      <c r="Y631" s="181">
        <f>J617</f>
        <v/>
      </c>
    </row>
    <row r="632" ht="15" customHeight="1" s="183" thickBot="1">
      <c r="B632" s="186" t="inlineStr">
        <is>
          <t>D6X</t>
        </is>
      </c>
      <c r="C632" s="187" t="inlineStr">
        <is>
          <t>U6X</t>
        </is>
      </c>
      <c r="D632" s="187" t="inlineStr">
        <is>
          <t>=</t>
        </is>
      </c>
      <c r="E632" s="188">
        <f>IF(OR($G$4=0, 6&gt;$G$4), 0, IF(N519="RESTRINGIDO", 0, AL593))</f>
        <v/>
      </c>
      <c r="F632" s="187" t="inlineStr">
        <is>
          <t>U6X</t>
        </is>
      </c>
      <c r="G632" s="187" t="inlineStr">
        <is>
          <t>cm</t>
        </is>
      </c>
      <c r="I632" s="139" t="inlineStr">
        <is>
          <t>U2Y</t>
        </is>
      </c>
      <c r="J632" s="144" t="inlineStr">
        <is>
          <t>D2Y</t>
        </is>
      </c>
      <c r="K632" s="152" t="inlineStr">
        <is>
          <t>=</t>
        </is>
      </c>
      <c r="L632" s="156" t="n">
        <v>0.0002050909090909091</v>
      </c>
      <c r="M632" s="146" t="n">
        <v>0</v>
      </c>
      <c r="N632" s="145" t="n">
        <v>0.02984727272727276</v>
      </c>
      <c r="O632" s="146" t="n">
        <v>3.75272727272727e-05</v>
      </c>
      <c r="P632" s="146" t="n">
        <v>-0.0001221818181818181</v>
      </c>
      <c r="Q632" s="146" t="n">
        <v>0</v>
      </c>
      <c r="R632" s="146" t="n">
        <v>-0.009333333333333393</v>
      </c>
      <c r="S632" s="146" t="n">
        <v>-6.618181818181788e-05</v>
      </c>
      <c r="T632" s="146" t="n">
        <v>0</v>
      </c>
      <c r="U632" s="146" t="n">
        <v>-0.01374545454545453</v>
      </c>
      <c r="V632" s="146" t="n">
        <v>1.52727272727273e-05</v>
      </c>
      <c r="W632" s="157" t="n">
        <v>6.109090909090883e-05</v>
      </c>
      <c r="Y632" s="181">
        <f>J618</f>
        <v/>
      </c>
    </row>
    <row r="633" ht="15" customHeight="1" s="183" thickBot="1">
      <c r="B633" s="186" t="inlineStr">
        <is>
          <t>D6Y</t>
        </is>
      </c>
      <c r="C633" s="187" t="inlineStr">
        <is>
          <t>U6Y</t>
        </is>
      </c>
      <c r="D633" s="187" t="inlineStr">
        <is>
          <t>=</t>
        </is>
      </c>
      <c r="E633" s="188">
        <f>IF(OR($G$4=0, 6&gt;$G$4), 0, IF(N520="RESTRINGIDO", 0, AL594))</f>
        <v/>
      </c>
      <c r="F633" s="187" t="inlineStr">
        <is>
          <t>U6Y</t>
        </is>
      </c>
      <c r="G633" s="187" t="inlineStr">
        <is>
          <t>cm</t>
        </is>
      </c>
      <c r="I633" s="139" t="inlineStr">
        <is>
          <t>U2θ</t>
        </is>
      </c>
      <c r="J633" s="144" t="inlineStr">
        <is>
          <t>D2θ</t>
        </is>
      </c>
      <c r="K633" s="152" t="inlineStr">
        <is>
          <t>=</t>
        </is>
      </c>
      <c r="L633" s="156" t="n">
        <v>-5.090909090909104e-08</v>
      </c>
      <c r="M633" s="146" t="n">
        <v>0</v>
      </c>
      <c r="N633" s="146" t="n">
        <v>3.752727272727273e-05</v>
      </c>
      <c r="O633" s="145" t="n">
        <v>6.647272727272727e-07</v>
      </c>
      <c r="P633" s="146" t="n">
        <v>-3.781818181818179e-07</v>
      </c>
      <c r="Q633" s="146" t="n">
        <v>0</v>
      </c>
      <c r="R633" s="146" t="n">
        <v>-2.888888888888891e-05</v>
      </c>
      <c r="S633" s="146" t="n">
        <v>-2.048484848484846e-07</v>
      </c>
      <c r="T633" s="146" t="n">
        <v>0</v>
      </c>
      <c r="U633" s="146" t="n">
        <v>-4.254545454545453e-05</v>
      </c>
      <c r="V633" s="146" t="n">
        <v>4.72727272727271e-08</v>
      </c>
      <c r="W633" s="157" t="n">
        <v>1.890909090909089e-07</v>
      </c>
      <c r="Y633" s="181">
        <f>J619</f>
        <v/>
      </c>
    </row>
    <row r="634" ht="15" customHeight="1" s="183" thickBot="1">
      <c r="B634" s="186" t="inlineStr">
        <is>
          <t>D6θ</t>
        </is>
      </c>
      <c r="C634" s="187" t="inlineStr">
        <is>
          <t>U6θ</t>
        </is>
      </c>
      <c r="D634" s="187" t="inlineStr">
        <is>
          <t>=</t>
        </is>
      </c>
      <c r="E634" s="188">
        <f>IF(OR($G$4=0, 6&gt;$G$4), 0, IF(N521="RESTRINGIDO", 0, AL595))</f>
        <v/>
      </c>
      <c r="F634" s="187" t="inlineStr">
        <is>
          <t>U6θ</t>
        </is>
      </c>
      <c r="G634" s="187" t="inlineStr">
        <is>
          <t>rad</t>
        </is>
      </c>
      <c r="I634" s="139" t="inlineStr">
        <is>
          <t>U3θ</t>
        </is>
      </c>
      <c r="J634" s="144" t="inlineStr">
        <is>
          <t>D3θ</t>
        </is>
      </c>
      <c r="K634" s="152" t="inlineStr">
        <is>
          <t>=</t>
        </is>
      </c>
      <c r="L634" s="156" t="n">
        <v>-7.27272727272727e-07</v>
      </c>
      <c r="M634" s="146" t="n">
        <v>0</v>
      </c>
      <c r="N634" s="146" t="n">
        <v>-0.0001221818181818182</v>
      </c>
      <c r="O634" s="146" t="n">
        <v>-3.781818181818181e-07</v>
      </c>
      <c r="P634" s="145" t="n">
        <v>1.454545454545454e-06</v>
      </c>
      <c r="Q634" s="146" t="n">
        <v>0</v>
      </c>
      <c r="R634" s="146" t="n">
        <v>0.0001111111111111112</v>
      </c>
      <c r="S634" s="146" t="n">
        <v>7.878787878787875e-07</v>
      </c>
      <c r="T634" s="146" t="n">
        <v>0</v>
      </c>
      <c r="U634" s="146" t="n">
        <v>0.0001636363636363636</v>
      </c>
      <c r="V634" s="146" t="n">
        <v>-1.818181818181812e-07</v>
      </c>
      <c r="W634" s="157" t="n">
        <v>-7.272727272727272e-07</v>
      </c>
      <c r="Y634" s="181">
        <f>J620</f>
        <v/>
      </c>
    </row>
    <row r="635" ht="15" customHeight="1" s="183" thickBot="1">
      <c r="B635" s="186" t="inlineStr">
        <is>
          <t>D7X</t>
        </is>
      </c>
      <c r="C635" s="187" t="inlineStr">
        <is>
          <t>U7X</t>
        </is>
      </c>
      <c r="D635" s="187" t="inlineStr">
        <is>
          <t>=</t>
        </is>
      </c>
      <c r="E635" s="188">
        <f>IF(OR($G$4=0, 7&gt;$G$4), 0, IF(N522="RESTRINGIDO", 0, AL596))</f>
        <v/>
      </c>
      <c r="F635" s="187" t="inlineStr">
        <is>
          <t>U7X</t>
        </is>
      </c>
      <c r="G635" s="187" t="inlineStr">
        <is>
          <t>cm</t>
        </is>
      </c>
      <c r="I635" s="139" t="inlineStr">
        <is>
          <t>U4X</t>
        </is>
      </c>
      <c r="J635" s="144" t="inlineStr">
        <is>
          <t>D4X</t>
        </is>
      </c>
      <c r="K635" s="152" t="inlineStr">
        <is>
          <t>=</t>
        </is>
      </c>
      <c r="L635" s="156" t="n">
        <v>0</v>
      </c>
      <c r="M635" s="146" t="n">
        <v>0</v>
      </c>
      <c r="N635" s="146" t="n">
        <v>0</v>
      </c>
      <c r="O635" s="146" t="n">
        <v>0</v>
      </c>
      <c r="P635" s="146" t="n">
        <v>0</v>
      </c>
      <c r="Q635" s="145" t="n">
        <v>1.111111111111111e-05</v>
      </c>
      <c r="R635" s="146" t="n">
        <v>0</v>
      </c>
      <c r="S635" s="146" t="n">
        <v>0</v>
      </c>
      <c r="T635" s="146" t="n">
        <v>6.666666666666667e-06</v>
      </c>
      <c r="U635" s="146" t="n">
        <v>0</v>
      </c>
      <c r="V635" s="146" t="n">
        <v>0</v>
      </c>
      <c r="W635" s="157" t="n">
        <v>0</v>
      </c>
      <c r="Y635" s="181">
        <f>J621</f>
        <v/>
      </c>
    </row>
    <row r="636" ht="15" customHeight="1" s="183" thickBot="1">
      <c r="B636" s="186" t="inlineStr">
        <is>
          <t>D7Y</t>
        </is>
      </c>
      <c r="C636" s="187" t="inlineStr">
        <is>
          <t>U7Y</t>
        </is>
      </c>
      <c r="D636" s="187" t="inlineStr">
        <is>
          <t>=</t>
        </is>
      </c>
      <c r="E636" s="188">
        <f>IF(OR($G$4=0, 7&gt;$G$4), 0, IF(N523="RESTRINGIDO", 0, AL597))</f>
        <v/>
      </c>
      <c r="F636" s="187" t="inlineStr">
        <is>
          <t>U7Y</t>
        </is>
      </c>
      <c r="G636" s="187" t="inlineStr">
        <is>
          <t>cm</t>
        </is>
      </c>
      <c r="I636" s="139" t="inlineStr">
        <is>
          <t>U4Y</t>
        </is>
      </c>
      <c r="J636" s="144" t="inlineStr">
        <is>
          <t>D4Y</t>
        </is>
      </c>
      <c r="K636" s="152" t="inlineStr">
        <is>
          <t>=</t>
        </is>
      </c>
      <c r="L636" s="156" t="n">
        <v>-5.555555555555554e-05</v>
      </c>
      <c r="M636" s="146" t="n">
        <v>0</v>
      </c>
      <c r="N636" s="146" t="n">
        <v>-0.009333333333333332</v>
      </c>
      <c r="O636" s="146" t="n">
        <v>-2.888888888888888e-05</v>
      </c>
      <c r="P636" s="146" t="n">
        <v>0.0001111111111111111</v>
      </c>
      <c r="Q636" s="146" t="n">
        <v>0</v>
      </c>
      <c r="R636" s="145" t="n">
        <v>0.01203703703703704</v>
      </c>
      <c r="S636" s="146" t="n">
        <v>0.0001055555555555556</v>
      </c>
      <c r="T636" s="146" t="n">
        <v>0</v>
      </c>
      <c r="U636" s="146" t="n">
        <v>0.01966666666666667</v>
      </c>
      <c r="V636" s="146" t="n">
        <v>-1.88888888888888e-05</v>
      </c>
      <c r="W636" s="157" t="n">
        <v>-8.888888888888895e-05</v>
      </c>
      <c r="Y636" s="181">
        <f>J622</f>
        <v/>
      </c>
    </row>
    <row r="637" ht="15" customHeight="1" s="183" thickBot="1">
      <c r="B637" s="186" t="inlineStr">
        <is>
          <t>D7θ</t>
        </is>
      </c>
      <c r="C637" s="187" t="inlineStr">
        <is>
          <t>U7θ</t>
        </is>
      </c>
      <c r="D637" s="187" t="inlineStr">
        <is>
          <t>=</t>
        </is>
      </c>
      <c r="E637" s="188">
        <f>IF(OR($G$4=0, 7&gt;$G$4), 0, IF(N524="RESTRINGIDO", 0, AL598))</f>
        <v/>
      </c>
      <c r="F637" s="187" t="inlineStr">
        <is>
          <t>U7θ</t>
        </is>
      </c>
      <c r="G637" s="187" t="inlineStr">
        <is>
          <t>rad</t>
        </is>
      </c>
      <c r="I637" s="139" t="inlineStr">
        <is>
          <t>U4θ</t>
        </is>
      </c>
      <c r="J637" s="144" t="inlineStr">
        <is>
          <t>D4θ</t>
        </is>
      </c>
      <c r="K637" s="152" t="inlineStr">
        <is>
          <t>=</t>
        </is>
      </c>
      <c r="L637" s="156" t="n">
        <v>-3.939393939393938e-07</v>
      </c>
      <c r="M637" s="146" t="n">
        <v>0</v>
      </c>
      <c r="N637" s="146" t="n">
        <v>-6.618181818181818e-05</v>
      </c>
      <c r="O637" s="146" t="n">
        <v>-2.048484848484848e-07</v>
      </c>
      <c r="P637" s="146" t="n">
        <v>7.878787878787876e-07</v>
      </c>
      <c r="Q637" s="146" t="n">
        <v>0</v>
      </c>
      <c r="R637" s="146" t="n">
        <v>0.0001055555555555555</v>
      </c>
      <c r="S637" s="145" t="n">
        <v>1.354545454545455e-06</v>
      </c>
      <c r="T637" s="146" t="n">
        <v>0</v>
      </c>
      <c r="U637" s="146" t="n">
        <v>0.0002136363636363637</v>
      </c>
      <c r="V637" s="146" t="n">
        <v>-1.484848484848477e-07</v>
      </c>
      <c r="W637" s="157" t="n">
        <v>-9.939393939393949e-07</v>
      </c>
      <c r="Y637" s="181">
        <f>J623</f>
        <v/>
      </c>
    </row>
    <row r="638" ht="15" customHeight="1" s="183" thickBot="1">
      <c r="B638" s="186" t="inlineStr">
        <is>
          <t>D8X</t>
        </is>
      </c>
      <c r="C638" s="187" t="inlineStr">
        <is>
          <t>U8X</t>
        </is>
      </c>
      <c r="D638" s="187" t="inlineStr">
        <is>
          <t>=</t>
        </is>
      </c>
      <c r="E638" s="188">
        <f>IF(OR($G$4=0, 8&gt;$G$4), 0, IF(N525="RESTRINGIDO", 0, AL599))</f>
        <v/>
      </c>
      <c r="F638" s="187" t="inlineStr">
        <is>
          <t>U8X</t>
        </is>
      </c>
      <c r="G638" s="187" t="inlineStr">
        <is>
          <t>cm</t>
        </is>
      </c>
      <c r="I638" s="139" t="inlineStr">
        <is>
          <t>U5X</t>
        </is>
      </c>
      <c r="J638" s="144" t="inlineStr">
        <is>
          <t>D5X</t>
        </is>
      </c>
      <c r="K638" s="152" t="inlineStr">
        <is>
          <t>=</t>
        </is>
      </c>
      <c r="L638" s="156" t="n">
        <v>0</v>
      </c>
      <c r="M638" s="146" t="n">
        <v>0</v>
      </c>
      <c r="N638" s="146" t="n">
        <v>0</v>
      </c>
      <c r="O638" s="146" t="n">
        <v>0</v>
      </c>
      <c r="P638" s="146" t="n">
        <v>0</v>
      </c>
      <c r="Q638" s="146" t="n">
        <v>6.666666666666667e-06</v>
      </c>
      <c r="R638" s="146" t="n">
        <v>0</v>
      </c>
      <c r="S638" s="146" t="n">
        <v>0</v>
      </c>
      <c r="T638" s="145" t="n">
        <v>2e-05</v>
      </c>
      <c r="U638" s="146" t="n">
        <v>0</v>
      </c>
      <c r="V638" s="146" t="n">
        <v>0</v>
      </c>
      <c r="W638" s="157" t="n">
        <v>0</v>
      </c>
      <c r="Y638" s="181">
        <f>J624</f>
        <v/>
      </c>
    </row>
    <row r="639" ht="15" customHeight="1" s="183" thickBot="1">
      <c r="B639" s="186" t="inlineStr">
        <is>
          <t>D8Y</t>
        </is>
      </c>
      <c r="C639" s="187" t="inlineStr">
        <is>
          <t>U8Y</t>
        </is>
      </c>
      <c r="D639" s="187" t="inlineStr">
        <is>
          <t>=</t>
        </is>
      </c>
      <c r="E639" s="188">
        <f>IF(OR($G$4=0, 8&gt;$G$4), 0, IF(N526="RESTRINGIDO", 0, AL600))</f>
        <v/>
      </c>
      <c r="F639" s="187" t="inlineStr">
        <is>
          <t>U8Y</t>
        </is>
      </c>
      <c r="G639" s="187" t="inlineStr">
        <is>
          <t>cm</t>
        </is>
      </c>
      <c r="I639" s="139" t="inlineStr">
        <is>
          <t>U5Y</t>
        </is>
      </c>
      <c r="J639" s="144" t="inlineStr">
        <is>
          <t>D5Y</t>
        </is>
      </c>
      <c r="K639" s="152" t="inlineStr">
        <is>
          <t>=</t>
        </is>
      </c>
      <c r="L639" s="156" t="n">
        <v>-8.181818181818179e-05</v>
      </c>
      <c r="M639" s="146" t="n">
        <v>0</v>
      </c>
      <c r="N639" s="146" t="n">
        <v>-0.01374545454545455</v>
      </c>
      <c r="O639" s="146" t="n">
        <v>-4.254545454545454e-05</v>
      </c>
      <c r="P639" s="146" t="n">
        <v>0.0001636363636363636</v>
      </c>
      <c r="Q639" s="146" t="n">
        <v>0</v>
      </c>
      <c r="R639" s="146" t="n">
        <v>0.01966666666666667</v>
      </c>
      <c r="S639" s="146" t="n">
        <v>0.0002136363636363637</v>
      </c>
      <c r="T639" s="146" t="n">
        <v>0</v>
      </c>
      <c r="U639" s="145" t="n">
        <v>0.04990909090909093</v>
      </c>
      <c r="V639" s="146" t="n">
        <v>2.454545454545469e-05</v>
      </c>
      <c r="W639" s="157" t="n">
        <v>-0.000261818181818182</v>
      </c>
      <c r="Y639" s="181">
        <f>J625</f>
        <v/>
      </c>
    </row>
    <row r="640" ht="15" customHeight="1" s="183" thickBot="1">
      <c r="B640" s="186" t="inlineStr">
        <is>
          <t>D8θ</t>
        </is>
      </c>
      <c r="C640" s="187" t="inlineStr">
        <is>
          <t>U8θ</t>
        </is>
      </c>
      <c r="D640" s="187" t="inlineStr">
        <is>
          <t>=</t>
        </is>
      </c>
      <c r="E640" s="188">
        <f>IF(OR($G$4=0, 8&gt;$G$4), 0, IF(N527="RESTRINGIDO", 0, AL601))</f>
        <v/>
      </c>
      <c r="F640" s="187" t="inlineStr">
        <is>
          <t>U8θ</t>
        </is>
      </c>
      <c r="G640" s="187" t="inlineStr">
        <is>
          <t>rad</t>
        </is>
      </c>
      <c r="I640" s="139" t="inlineStr">
        <is>
          <t>U5θ</t>
        </is>
      </c>
      <c r="J640" s="144" t="inlineStr">
        <is>
          <t>D5θ</t>
        </is>
      </c>
      <c r="K640" s="152" t="inlineStr">
        <is>
          <t>=</t>
        </is>
      </c>
      <c r="L640" s="156" t="n">
        <v>9.090909090909085e-08</v>
      </c>
      <c r="M640" s="146" t="n">
        <v>0</v>
      </c>
      <c r="N640" s="146" t="n">
        <v>1.527272727272727e-05</v>
      </c>
      <c r="O640" s="146" t="n">
        <v>4.727272727272724e-08</v>
      </c>
      <c r="P640" s="146" t="n">
        <v>-1.818181818181817e-07</v>
      </c>
      <c r="Q640" s="146" t="n">
        <v>0</v>
      </c>
      <c r="R640" s="146" t="n">
        <v>-1.888888888888888e-05</v>
      </c>
      <c r="S640" s="146" t="n">
        <v>-1.484848484848484e-07</v>
      </c>
      <c r="T640" s="146" t="n">
        <v>0</v>
      </c>
      <c r="U640" s="146" t="n">
        <v>2.454545454545456e-05</v>
      </c>
      <c r="V640" s="145" t="n">
        <v>7.727272727272726e-07</v>
      </c>
      <c r="W640" s="157" t="n">
        <v>-5.09090909090909e-07</v>
      </c>
      <c r="Y640" s="181">
        <f>J626</f>
        <v/>
      </c>
    </row>
    <row r="641" ht="15" customHeight="1" s="183" thickBot="1">
      <c r="B641" s="186" t="inlineStr">
        <is>
          <t>D9X</t>
        </is>
      </c>
      <c r="C641" s="187" t="inlineStr">
        <is>
          <t>U9X</t>
        </is>
      </c>
      <c r="D641" s="187" t="inlineStr">
        <is>
          <t>=</t>
        </is>
      </c>
      <c r="E641" s="188">
        <f>IF(OR($G$4=0, 9&gt;$G$4), 0, IF(N528="RESTRINGIDO", 0, AL602))</f>
        <v/>
      </c>
      <c r="F641" s="187" t="inlineStr">
        <is>
          <t>U9X</t>
        </is>
      </c>
      <c r="G641" s="187" t="inlineStr">
        <is>
          <t>cm</t>
        </is>
      </c>
      <c r="I641" s="139" t="inlineStr">
        <is>
          <t>U6θ</t>
        </is>
      </c>
      <c r="J641" s="144" t="inlineStr">
        <is>
          <t>D6θ</t>
        </is>
      </c>
      <c r="K641" s="152" t="inlineStr">
        <is>
          <t>=</t>
        </is>
      </c>
      <c r="L641" s="158" t="n">
        <v>3.636363636363636e-07</v>
      </c>
      <c r="M641" s="159" t="n">
        <v>0</v>
      </c>
      <c r="N641" s="159" t="n">
        <v>6.109090909090909e-05</v>
      </c>
      <c r="O641" s="159" t="n">
        <v>1.890909090909091e-07</v>
      </c>
      <c r="P641" s="159" t="n">
        <v>-7.272727272727271e-07</v>
      </c>
      <c r="Q641" s="159" t="n">
        <v>0</v>
      </c>
      <c r="R641" s="159" t="n">
        <v>-8.888888888888888e-05</v>
      </c>
      <c r="S641" s="159" t="n">
        <v>-9.939393939393943e-07</v>
      </c>
      <c r="T641" s="159" t="n">
        <v>0</v>
      </c>
      <c r="U641" s="159" t="n">
        <v>-0.0002618181818181819</v>
      </c>
      <c r="V641" s="159" t="n">
        <v>-5.090909090909098e-07</v>
      </c>
      <c r="W641" s="160" t="n">
        <v>2.763636363636364e-06</v>
      </c>
      <c r="Y641" s="181">
        <f>J627</f>
        <v/>
      </c>
    </row>
    <row r="642">
      <c r="B642" s="186" t="inlineStr">
        <is>
          <t>D9Y</t>
        </is>
      </c>
      <c r="C642" s="187" t="inlineStr">
        <is>
          <t>U9Y</t>
        </is>
      </c>
      <c r="D642" s="187" t="inlineStr">
        <is>
          <t>=</t>
        </is>
      </c>
      <c r="E642" s="188">
        <f>IF(OR($G$4=0, 9&gt;$G$4), 0, IF(N529="RESTRINGIDO", 0, AL603))</f>
        <v/>
      </c>
      <c r="F642" s="187" t="inlineStr">
        <is>
          <t>U9Y</t>
        </is>
      </c>
      <c r="G642" s="187" t="inlineStr">
        <is>
          <t>cm</t>
        </is>
      </c>
    </row>
    <row r="643">
      <c r="B643" s="186" t="inlineStr">
        <is>
          <t>D9θ</t>
        </is>
      </c>
      <c r="C643" s="187" t="inlineStr">
        <is>
          <t>U9θ</t>
        </is>
      </c>
      <c r="D643" s="187" t="inlineStr">
        <is>
          <t>=</t>
        </is>
      </c>
      <c r="E643" s="188">
        <f>IF(OR($G$4=0, 9&gt;$G$4), 0, IF(N530="RESTRINGIDO", 0, AL604))</f>
        <v/>
      </c>
      <c r="F643" s="187" t="inlineStr">
        <is>
          <t>U9θ</t>
        </is>
      </c>
      <c r="G643" s="187" t="inlineStr">
        <is>
          <t>rad</t>
        </is>
      </c>
    </row>
    <row r="644">
      <c r="B644" s="186" t="inlineStr">
        <is>
          <t>D10X</t>
        </is>
      </c>
      <c r="C644" s="187" t="inlineStr">
        <is>
          <t>U10X</t>
        </is>
      </c>
      <c r="D644" s="187" t="inlineStr">
        <is>
          <t>=</t>
        </is>
      </c>
      <c r="E644" s="188">
        <f>IF(OR($G$4=0, 10&gt;$G$4), 0, IF(N531="RESTRINGIDO", 0, AL605))</f>
        <v/>
      </c>
      <c r="F644" s="187" t="inlineStr">
        <is>
          <t>U10X</t>
        </is>
      </c>
      <c r="G644" s="187" t="inlineStr">
        <is>
          <t>cm</t>
        </is>
      </c>
      <c r="J644" s="147" t="inlineStr">
        <is>
          <t>U1θ</t>
        </is>
      </c>
      <c r="K644" s="148" t="inlineStr">
        <is>
          <t>D1θ</t>
        </is>
      </c>
      <c r="L644" s="149" t="inlineStr">
        <is>
          <t>=</t>
        </is>
      </c>
      <c r="M644" s="175">
        <f>Q644</f>
        <v/>
      </c>
      <c r="N644" s="151" t="inlineStr">
        <is>
          <t>rad</t>
        </is>
      </c>
      <c r="Q644" s="150">
        <f t="array" ref="Q644:Q655">MMULT(_xlfn.ANCHORARRAY(L630),Y630:Y641)</f>
        <v/>
      </c>
    </row>
    <row r="645">
      <c r="B645" s="186" t="inlineStr">
        <is>
          <t>D10Y</t>
        </is>
      </c>
      <c r="C645" s="187" t="inlineStr">
        <is>
          <t>U10Y</t>
        </is>
      </c>
      <c r="D645" s="187" t="inlineStr">
        <is>
          <t>=</t>
        </is>
      </c>
      <c r="E645" s="188">
        <f>IF(OR($G$4=0, 10&gt;$G$4), 0, IF(N532="RESTRINGIDO", 0, AL606))</f>
        <v/>
      </c>
      <c r="F645" s="187" t="inlineStr">
        <is>
          <t>U10Y</t>
        </is>
      </c>
      <c r="G645" s="187" t="inlineStr">
        <is>
          <t>cm</t>
        </is>
      </c>
      <c r="J645" s="147" t="inlineStr">
        <is>
          <t>U2X</t>
        </is>
      </c>
      <c r="K645" s="148" t="inlineStr">
        <is>
          <t>D2X</t>
        </is>
      </c>
      <c r="L645" s="149" t="inlineStr">
        <is>
          <t>=</t>
        </is>
      </c>
      <c r="M645" s="175">
        <f>Q645</f>
        <v/>
      </c>
      <c r="N645" s="151" t="inlineStr">
        <is>
          <t>cm</t>
        </is>
      </c>
      <c r="Q645" t="n">
        <v>0</v>
      </c>
    </row>
    <row r="646">
      <c r="B646" s="186" t="inlineStr">
        <is>
          <t>D10θ</t>
        </is>
      </c>
      <c r="C646" s="187" t="inlineStr">
        <is>
          <t>U10θ</t>
        </is>
      </c>
      <c r="D646" s="187" t="inlineStr">
        <is>
          <t>=</t>
        </is>
      </c>
      <c r="E646" s="188">
        <f>IF(OR($G$4=0, 10&gt;$G$4), 0, IF(N533="RESTRINGIDO", 0, AL607))</f>
        <v/>
      </c>
      <c r="F646" s="187" t="inlineStr">
        <is>
          <t>U10θ</t>
        </is>
      </c>
      <c r="G646" s="187" t="inlineStr">
        <is>
          <t>rad</t>
        </is>
      </c>
      <c r="J646" s="147" t="inlineStr">
        <is>
          <t>U2Y</t>
        </is>
      </c>
      <c r="K646" s="148" t="inlineStr">
        <is>
          <t>D2Y</t>
        </is>
      </c>
      <c r="L646" s="149" t="inlineStr">
        <is>
          <t>=</t>
        </is>
      </c>
      <c r="M646" s="175">
        <f>Q646</f>
        <v/>
      </c>
      <c r="N646" s="151" t="inlineStr">
        <is>
          <t>cm</t>
        </is>
      </c>
      <c r="Q646" t="n">
        <v>-6.816969696969693</v>
      </c>
    </row>
    <row r="647">
      <c r="B647" s="186" t="inlineStr">
        <is>
          <t>D11X</t>
        </is>
      </c>
      <c r="C647" s="187" t="inlineStr">
        <is>
          <t>U11X</t>
        </is>
      </c>
      <c r="D647" s="187" t="inlineStr">
        <is>
          <t>=</t>
        </is>
      </c>
      <c r="E647" s="188">
        <f>IF(OR($G$4=0, 11&gt;$G$4), 0, IF(N534="RESTRINGIDO", 0, AL608))</f>
        <v/>
      </c>
      <c r="F647" s="187" t="inlineStr">
        <is>
          <t>U11X</t>
        </is>
      </c>
      <c r="G647" s="187" t="inlineStr">
        <is>
          <t>cm</t>
        </is>
      </c>
      <c r="J647" s="147" t="inlineStr">
        <is>
          <t>U2θ</t>
        </is>
      </c>
      <c r="K647" s="148" t="inlineStr">
        <is>
          <t>D2θ</t>
        </is>
      </c>
      <c r="L647" s="149" t="inlineStr">
        <is>
          <t>=</t>
        </is>
      </c>
      <c r="M647" s="175">
        <f>Q647</f>
        <v/>
      </c>
      <c r="N647" s="151" t="inlineStr">
        <is>
          <t>rad</t>
        </is>
      </c>
      <c r="Q647" t="n">
        <v>0.08861414141414145</v>
      </c>
    </row>
    <row r="648">
      <c r="B648" s="186" t="inlineStr">
        <is>
          <t>D11Y</t>
        </is>
      </c>
      <c r="C648" s="187" t="inlineStr">
        <is>
          <t>U11Y</t>
        </is>
      </c>
      <c r="D648" s="187" t="inlineStr">
        <is>
          <t>=</t>
        </is>
      </c>
      <c r="E648" s="188">
        <f>IF(OR($G$4=0, 11&gt;$G$4), 0, IF(N535="RESTRINGIDO", 0, AL609))</f>
        <v/>
      </c>
      <c r="F648" s="187" t="inlineStr">
        <is>
          <t>U11Y</t>
        </is>
      </c>
      <c r="G648" s="187" t="inlineStr">
        <is>
          <t>cm</t>
        </is>
      </c>
      <c r="J648" s="147" t="inlineStr">
        <is>
          <t>U3θ</t>
        </is>
      </c>
      <c r="K648" s="148" t="inlineStr">
        <is>
          <t>D3θ</t>
        </is>
      </c>
      <c r="L648" s="149" t="inlineStr">
        <is>
          <t>=</t>
        </is>
      </c>
      <c r="M648" s="175">
        <f>Q648</f>
        <v/>
      </c>
      <c r="N648" s="151" t="inlineStr">
        <is>
          <t>rad</t>
        </is>
      </c>
      <c r="Q648" t="n">
        <v>-0.4091313131313132</v>
      </c>
    </row>
    <row r="649">
      <c r="B649" s="186" t="inlineStr">
        <is>
          <t>D11θ</t>
        </is>
      </c>
      <c r="C649" s="187" t="inlineStr">
        <is>
          <t>U11θ</t>
        </is>
      </c>
      <c r="D649" s="187" t="inlineStr">
        <is>
          <t>=</t>
        </is>
      </c>
      <c r="E649" s="188">
        <f>IF(OR($G$4=0, 11&gt;$G$4), 0, IF(N536="RESTRINGIDO", 0, AL610))</f>
        <v/>
      </c>
      <c r="F649" s="187" t="inlineStr">
        <is>
          <t>U11θ</t>
        </is>
      </c>
      <c r="G649" s="187" t="inlineStr">
        <is>
          <t>rad</t>
        </is>
      </c>
      <c r="J649" s="147" t="inlineStr">
        <is>
          <t>U4X</t>
        </is>
      </c>
      <c r="K649" s="148" t="inlineStr">
        <is>
          <t>D4X</t>
        </is>
      </c>
      <c r="L649" s="149" t="inlineStr">
        <is>
          <t>=</t>
        </is>
      </c>
      <c r="M649" s="175">
        <f>Q649</f>
        <v/>
      </c>
      <c r="N649" s="151" t="inlineStr">
        <is>
          <t>cm</t>
        </is>
      </c>
      <c r="Q649" t="n">
        <v>0</v>
      </c>
    </row>
    <row r="650">
      <c r="J650" s="147" t="inlineStr">
        <is>
          <t>U4Y</t>
        </is>
      </c>
      <c r="K650" s="148" t="inlineStr">
        <is>
          <t>D4Y</t>
        </is>
      </c>
      <c r="L650" s="149" t="inlineStr">
        <is>
          <t>=</t>
        </is>
      </c>
      <c r="M650" s="175">
        <f>Q650</f>
        <v/>
      </c>
      <c r="N650" s="151" t="inlineStr">
        <is>
          <t>cm</t>
        </is>
      </c>
      <c r="Q650" t="n">
        <v>-59.85185185185186</v>
      </c>
    </row>
    <row r="651">
      <c r="J651" s="147" t="inlineStr">
        <is>
          <t>U4θ</t>
        </is>
      </c>
      <c r="K651" s="148" t="inlineStr">
        <is>
          <t>D4θ</t>
        </is>
      </c>
      <c r="L651" s="149" t="inlineStr">
        <is>
          <t>=</t>
        </is>
      </c>
      <c r="M651" s="175">
        <f>Q651</f>
        <v/>
      </c>
      <c r="N651" s="151" t="inlineStr">
        <is>
          <t>rad</t>
        </is>
      </c>
      <c r="Q651" t="n">
        <v>-0.6873535353535356</v>
      </c>
    </row>
    <row r="652">
      <c r="J652" s="147" t="inlineStr">
        <is>
          <t>U5X</t>
        </is>
      </c>
      <c r="K652" s="148" t="inlineStr">
        <is>
          <t>D5X</t>
        </is>
      </c>
      <c r="L652" s="149" t="inlineStr">
        <is>
          <t>=</t>
        </is>
      </c>
      <c r="M652" s="175">
        <f>Q652</f>
        <v/>
      </c>
      <c r="N652" s="151" t="inlineStr">
        <is>
          <t>cm</t>
        </is>
      </c>
      <c r="Q652" t="n">
        <v>0</v>
      </c>
    </row>
    <row r="653">
      <c r="B653" s="184" t="inlineStr">
        <is>
          <t>RESUMEN DE REACCIONES EN LOS APOYOS</t>
        </is>
      </c>
      <c r="C653" s="190" t="n"/>
      <c r="D653" s="190" t="n"/>
      <c r="E653" s="190" t="n"/>
      <c r="F653" s="190" t="n"/>
      <c r="G653" s="190" t="n"/>
      <c r="H653" s="191" t="n"/>
      <c r="J653" s="147" t="inlineStr">
        <is>
          <t>U5Y</t>
        </is>
      </c>
      <c r="K653" s="148" t="inlineStr">
        <is>
          <t>D5Y</t>
        </is>
      </c>
      <c r="L653" s="149" t="inlineStr">
        <is>
          <t>=</t>
        </is>
      </c>
      <c r="M653" s="175">
        <f>Q653</f>
        <v/>
      </c>
      <c r="N653" s="151" t="inlineStr">
        <is>
          <t>cm</t>
        </is>
      </c>
      <c r="Q653" t="n">
        <v>-154.8606060606061</v>
      </c>
    </row>
    <row r="654" ht="26.4" customHeight="1" s="183">
      <c r="B654" s="186" t="inlineStr">
        <is>
          <t>Símbolo</t>
        </is>
      </c>
      <c r="C654" s="186" t="inlineStr">
        <is>
          <t>G.D.L.</t>
        </is>
      </c>
      <c r="D654" s="186" t="inlineStr">
        <is>
          <t>=</t>
        </is>
      </c>
      <c r="E654" s="186" t="inlineStr">
        <is>
          <t>Valor Reacción</t>
        </is>
      </c>
      <c r="F654" s="186" t="inlineStr">
        <is>
          <t>G.D.L.</t>
        </is>
      </c>
      <c r="G654" s="186" t="inlineStr">
        <is>
          <t>Unidad</t>
        </is>
      </c>
      <c r="H654" s="186" t="inlineStr">
        <is>
          <t>Condición</t>
        </is>
      </c>
      <c r="J654" s="147" t="inlineStr">
        <is>
          <t>U5θ</t>
        </is>
      </c>
      <c r="K654" s="148" t="inlineStr">
        <is>
          <t>D5θ</t>
        </is>
      </c>
      <c r="L654" s="149" t="inlineStr">
        <is>
          <t>=</t>
        </is>
      </c>
      <c r="M654" s="175">
        <f>Q654</f>
        <v/>
      </c>
      <c r="N654" s="151" t="inlineStr">
        <is>
          <t>rad</t>
        </is>
      </c>
      <c r="Q654" t="n">
        <v>-0.07385858585858589</v>
      </c>
    </row>
    <row r="655" ht="26.4" customHeight="1" s="183">
      <c r="B655" s="186" t="inlineStr">
        <is>
          <t>R1X</t>
        </is>
      </c>
      <c r="C655" s="187" t="inlineStr">
        <is>
          <t>U1X</t>
        </is>
      </c>
      <c r="D655" s="187" t="inlineStr">
        <is>
          <t>=</t>
        </is>
      </c>
      <c r="E655" s="189">
        <f>IF(OR($G$4=0, 1&gt;$G$4), 0, IF(N504="RESTRINGIDO", AN578, 0))</f>
        <v/>
      </c>
      <c r="F655" s="187" t="inlineStr">
        <is>
          <t>U1X</t>
        </is>
      </c>
      <c r="G655" s="187" t="inlineStr">
        <is>
          <t>Kgf</t>
        </is>
      </c>
      <c r="H655" s="187">
        <f>N504</f>
        <v/>
      </c>
      <c r="J655" s="147" t="inlineStr">
        <is>
          <t>U6θ</t>
        </is>
      </c>
      <c r="K655" s="148" t="inlineStr">
        <is>
          <t>D6θ</t>
        </is>
      </c>
      <c r="L655" s="149" t="inlineStr">
        <is>
          <t>=</t>
        </is>
      </c>
      <c r="M655" s="175">
        <f>Q655</f>
        <v/>
      </c>
      <c r="N655" s="151" t="inlineStr">
        <is>
          <t>rad</t>
        </is>
      </c>
      <c r="Q655" t="n">
        <v>0.8112323232323235</v>
      </c>
    </row>
    <row r="656" ht="26.4" customHeight="1" s="183">
      <c r="B656" s="186" t="inlineStr">
        <is>
          <t>R1Y</t>
        </is>
      </c>
      <c r="C656" s="187" t="inlineStr">
        <is>
          <t>U1Y</t>
        </is>
      </c>
      <c r="D656" s="187" t="inlineStr">
        <is>
          <t>=</t>
        </is>
      </c>
      <c r="E656" s="189">
        <f>IF(OR($G$4=0, 1&gt;$G$4), 0, IF(N505="RESTRINGIDO", AN579, 0))</f>
        <v/>
      </c>
      <c r="F656" s="187" t="inlineStr">
        <is>
          <t>U1Y</t>
        </is>
      </c>
      <c r="G656" s="187" t="inlineStr">
        <is>
          <t>Kgf</t>
        </is>
      </c>
      <c r="H656" s="187">
        <f>N505</f>
        <v/>
      </c>
    </row>
    <row r="657" ht="15" customHeight="1" s="183" thickBot="1">
      <c r="B657" s="186" t="inlineStr">
        <is>
          <t>R1θ</t>
        </is>
      </c>
      <c r="C657" s="187" t="inlineStr">
        <is>
          <t>U1θ</t>
        </is>
      </c>
      <c r="D657" s="187" t="inlineStr">
        <is>
          <t>=</t>
        </is>
      </c>
      <c r="E657" s="189">
        <f>IF(OR($G$4=0, 1&gt;$G$4), 0, IF(N506="RESTRINGIDO", AN580, 0))</f>
        <v/>
      </c>
      <c r="F657" s="187" t="inlineStr">
        <is>
          <t>U1θ</t>
        </is>
      </c>
      <c r="G657" s="187" t="inlineStr">
        <is>
          <t>Kgf.cm</t>
        </is>
      </c>
      <c r="H657" s="187">
        <f>N506</f>
        <v/>
      </c>
    </row>
    <row r="658">
      <c r="B658" s="186" t="inlineStr">
        <is>
          <t>R2X</t>
        </is>
      </c>
      <c r="C658" s="187" t="inlineStr">
        <is>
          <t>U2X</t>
        </is>
      </c>
      <c r="D658" s="187" t="inlineStr">
        <is>
          <t>=</t>
        </is>
      </c>
      <c r="E658" s="189">
        <f>IF(OR($G$4=0, 2&gt;$G$4), 0, IF(N507="RESTRINGIDO", AN581, 0))</f>
        <v/>
      </c>
      <c r="F658" s="187" t="inlineStr">
        <is>
          <t>U2X</t>
        </is>
      </c>
      <c r="G658" s="187" t="inlineStr">
        <is>
          <t>Kgf</t>
        </is>
      </c>
      <c r="H658" s="187">
        <f>N507</f>
        <v/>
      </c>
      <c r="J658" s="139" t="inlineStr">
        <is>
          <t>U1X</t>
        </is>
      </c>
      <c r="K658" s="161" t="inlineStr">
        <is>
          <t>U1X</t>
        </is>
      </c>
      <c r="L658" s="152" t="inlineStr">
        <is>
          <t>=</t>
        </is>
      </c>
      <c r="M658" s="165" t="n">
        <v>0</v>
      </c>
      <c r="N658" s="166" t="n">
        <v>-37500</v>
      </c>
      <c r="O658" s="166" t="n">
        <v>0</v>
      </c>
      <c r="P658" s="166" t="n">
        <v>0</v>
      </c>
      <c r="Q658" s="166" t="n">
        <v>0</v>
      </c>
      <c r="R658" s="166" t="n">
        <v>0</v>
      </c>
      <c r="S658" s="166" t="n">
        <v>0</v>
      </c>
      <c r="T658" s="166" t="n">
        <v>0</v>
      </c>
      <c r="U658" s="166" t="n">
        <v>0</v>
      </c>
      <c r="V658" s="166" t="n">
        <v>0</v>
      </c>
      <c r="W658" s="166" t="n">
        <v>0</v>
      </c>
      <c r="X658" s="167" t="n">
        <v>0</v>
      </c>
      <c r="Z658" s="162" t="n">
        <v>-0.1061010101010101</v>
      </c>
    </row>
    <row r="659">
      <c r="B659" s="186" t="inlineStr">
        <is>
          <t>R2Y</t>
        </is>
      </c>
      <c r="C659" s="187" t="inlineStr">
        <is>
          <t>U2Y</t>
        </is>
      </c>
      <c r="D659" s="187" t="inlineStr">
        <is>
          <t>=</t>
        </is>
      </c>
      <c r="E659" s="189">
        <f>IF(OR($G$4=0, 2&gt;$G$4), 0, IF(N508="RESTRINGIDO", AN582, 0))</f>
        <v/>
      </c>
      <c r="F659" s="187" t="inlineStr">
        <is>
          <t>U2Y</t>
        </is>
      </c>
      <c r="G659" s="187" t="inlineStr">
        <is>
          <t>Kgf</t>
        </is>
      </c>
      <c r="H659" s="187">
        <f>N508</f>
        <v/>
      </c>
      <c r="J659" s="139" t="inlineStr">
        <is>
          <t>U1Y</t>
        </is>
      </c>
      <c r="K659" s="161" t="inlineStr">
        <is>
          <t>U1Y-400</t>
        </is>
      </c>
      <c r="L659" s="152" t="inlineStr">
        <is>
          <t>=</t>
        </is>
      </c>
      <c r="M659" s="168" t="n">
        <v>9375</v>
      </c>
      <c r="N659" s="143" t="n">
        <v>0</v>
      </c>
      <c r="O659" s="143" t="n">
        <v>-93.75</v>
      </c>
      <c r="P659" s="143" t="n">
        <v>9375</v>
      </c>
      <c r="Q659" s="143" t="n">
        <v>0</v>
      </c>
      <c r="R659" s="143" t="n">
        <v>0</v>
      </c>
      <c r="S659" s="143" t="n">
        <v>0</v>
      </c>
      <c r="T659" s="143" t="n">
        <v>0</v>
      </c>
      <c r="U659" s="143" t="n">
        <v>0</v>
      </c>
      <c r="V659" s="143" t="n">
        <v>0</v>
      </c>
      <c r="W659" s="143" t="n">
        <v>0</v>
      </c>
      <c r="X659" s="169" t="n">
        <v>0</v>
      </c>
      <c r="Z659" s="163" t="n">
        <v>0</v>
      </c>
    </row>
    <row r="660">
      <c r="B660" s="186" t="inlineStr">
        <is>
          <t>R2θ</t>
        </is>
      </c>
      <c r="C660" s="187" t="inlineStr">
        <is>
          <t>U2θ</t>
        </is>
      </c>
      <c r="D660" s="187" t="inlineStr">
        <is>
          <t>=</t>
        </is>
      </c>
      <c r="E660" s="189">
        <f>IF(OR($G$4=0, 2&gt;$G$4), 0, IF(N509="RESTRINGIDO", AN583, 0))</f>
        <v/>
      </c>
      <c r="F660" s="187" t="inlineStr">
        <is>
          <t>U2θ</t>
        </is>
      </c>
      <c r="G660" s="187" t="inlineStr">
        <is>
          <t>Kgf.cm</t>
        </is>
      </c>
      <c r="H660" s="187">
        <f>N509</f>
        <v/>
      </c>
      <c r="J660" s="139" t="inlineStr">
        <is>
          <t>U3X</t>
        </is>
      </c>
      <c r="K660" s="161" t="inlineStr">
        <is>
          <t>U3X</t>
        </is>
      </c>
      <c r="L660" s="152" t="inlineStr">
        <is>
          <t>=</t>
        </is>
      </c>
      <c r="M660" s="168" t="n">
        <v>0</v>
      </c>
      <c r="N660" s="143" t="n">
        <v>-25000</v>
      </c>
      <c r="O660" s="143" t="n">
        <v>0</v>
      </c>
      <c r="P660" s="143" t="n">
        <v>0</v>
      </c>
      <c r="Q660" s="143" t="n">
        <v>0</v>
      </c>
      <c r="R660" s="143" t="n">
        <v>-75000</v>
      </c>
      <c r="S660" s="143" t="n">
        <v>0</v>
      </c>
      <c r="T660" s="143" t="n">
        <v>0</v>
      </c>
      <c r="U660" s="143" t="n">
        <v>0</v>
      </c>
      <c r="V660" s="143" t="n">
        <v>0</v>
      </c>
      <c r="W660" s="143" t="n">
        <v>0</v>
      </c>
      <c r="X660" s="169" t="n">
        <v>0</v>
      </c>
      <c r="Z660" s="163" t="n">
        <v>-6.816969696969693</v>
      </c>
    </row>
    <row r="661" ht="26.4" customHeight="1" s="183">
      <c r="B661" s="186" t="inlineStr">
        <is>
          <t>R3X</t>
        </is>
      </c>
      <c r="C661" s="187" t="inlineStr">
        <is>
          <t>U3X</t>
        </is>
      </c>
      <c r="D661" s="187" t="inlineStr">
        <is>
          <t>=</t>
        </is>
      </c>
      <c r="E661" s="189">
        <f>IF(OR($G$4=0, 3&gt;$G$4), 0, IF(N510="RESTRINGIDO", AN584, 0))</f>
        <v/>
      </c>
      <c r="F661" s="187" t="inlineStr">
        <is>
          <t>U3X</t>
        </is>
      </c>
      <c r="G661" s="187" t="inlineStr">
        <is>
          <t>Kgf</t>
        </is>
      </c>
      <c r="H661" s="187">
        <f>N510</f>
        <v/>
      </c>
      <c r="J661" s="139" t="inlineStr">
        <is>
          <t>U3Y</t>
        </is>
      </c>
      <c r="K661" s="161" t="inlineStr">
        <is>
          <t>U3Y-600</t>
        </is>
      </c>
      <c r="L661" s="152" t="inlineStr">
        <is>
          <t>=</t>
        </is>
      </c>
      <c r="M661" s="168" t="n">
        <v>0</v>
      </c>
      <c r="N661" s="143" t="n">
        <v>0</v>
      </c>
      <c r="O661" s="143" t="n">
        <v>-27.77777777777778</v>
      </c>
      <c r="P661" s="143" t="n">
        <v>-4166.666666666667</v>
      </c>
      <c r="Q661" s="143" t="n">
        <v>33333.33333333334</v>
      </c>
      <c r="R661" s="143" t="n">
        <v>0</v>
      </c>
      <c r="S661" s="143" t="n">
        <v>-750</v>
      </c>
      <c r="T661" s="143" t="n">
        <v>37500</v>
      </c>
      <c r="U661" s="143" t="n">
        <v>0</v>
      </c>
      <c r="V661" s="143" t="n">
        <v>0</v>
      </c>
      <c r="W661" s="143" t="n">
        <v>0</v>
      </c>
      <c r="X661" s="169" t="n">
        <v>0</v>
      </c>
      <c r="Z661" s="163" t="n">
        <v>0.08861414141414145</v>
      </c>
    </row>
    <row r="662" ht="26.4" customHeight="1" s="183">
      <c r="B662" s="186" t="inlineStr">
        <is>
          <t>R3Y</t>
        </is>
      </c>
      <c r="C662" s="187" t="inlineStr">
        <is>
          <t>U3Y</t>
        </is>
      </c>
      <c r="D662" s="187" t="inlineStr">
        <is>
          <t>=</t>
        </is>
      </c>
      <c r="E662" s="189">
        <f>IF(OR($G$4=0, 3&gt;$G$4), 0, IF(N511="RESTRINGIDO", AN585, 0))</f>
        <v/>
      </c>
      <c r="F662" s="187" t="inlineStr">
        <is>
          <t>U3Y</t>
        </is>
      </c>
      <c r="G662" s="187" t="inlineStr">
        <is>
          <t>Kgf</t>
        </is>
      </c>
      <c r="H662" s="187">
        <f>N511</f>
        <v/>
      </c>
      <c r="J662" s="139" t="inlineStr">
        <is>
          <t>U6X</t>
        </is>
      </c>
      <c r="K662" s="161" t="inlineStr">
        <is>
          <t>U6X</t>
        </is>
      </c>
      <c r="L662" s="152" t="inlineStr">
        <is>
          <t>=</t>
        </is>
      </c>
      <c r="M662" s="168" t="n">
        <v>0</v>
      </c>
      <c r="N662" s="143" t="n">
        <v>0</v>
      </c>
      <c r="O662" s="143" t="n">
        <v>0</v>
      </c>
      <c r="P662" s="143" t="n">
        <v>0</v>
      </c>
      <c r="Q662" s="143" t="n">
        <v>0</v>
      </c>
      <c r="R662" s="143" t="n">
        <v>0</v>
      </c>
      <c r="S662" s="143" t="n">
        <v>0</v>
      </c>
      <c r="T662" s="143" t="n">
        <v>0</v>
      </c>
      <c r="U662" s="143" t="n">
        <v>-25000</v>
      </c>
      <c r="V662" s="143" t="n">
        <v>0</v>
      </c>
      <c r="W662" s="143" t="n">
        <v>0</v>
      </c>
      <c r="X662" s="169" t="n">
        <v>0</v>
      </c>
      <c r="Z662" s="163" t="n">
        <v>-0.4091313131313132</v>
      </c>
    </row>
    <row r="663" ht="15" customHeight="1" s="183" thickBot="1">
      <c r="B663" s="186" t="inlineStr">
        <is>
          <t>R3θ</t>
        </is>
      </c>
      <c r="C663" s="187" t="inlineStr">
        <is>
          <t>U3θ</t>
        </is>
      </c>
      <c r="D663" s="187" t="inlineStr">
        <is>
          <t>=</t>
        </is>
      </c>
      <c r="E663" s="189">
        <f>IF(OR($G$4=0, 3&gt;$G$4), 0, IF(N512="RESTRINGIDO", AN586, 0))</f>
        <v/>
      </c>
      <c r="F663" s="187" t="inlineStr">
        <is>
          <t>U3θ</t>
        </is>
      </c>
      <c r="G663" s="187" t="inlineStr">
        <is>
          <t>Kgf.cm</t>
        </is>
      </c>
      <c r="H663" s="187">
        <f>N512</f>
        <v/>
      </c>
      <c r="J663" s="139" t="inlineStr">
        <is>
          <t>U6Y</t>
        </is>
      </c>
      <c r="K663" s="161" t="inlineStr">
        <is>
          <t>U6Y</t>
        </is>
      </c>
      <c r="L663" s="152" t="inlineStr">
        <is>
          <t>=</t>
        </is>
      </c>
      <c r="M663" s="170" t="n">
        <v>0</v>
      </c>
      <c r="N663" s="171" t="n">
        <v>0</v>
      </c>
      <c r="O663" s="171" t="n">
        <v>0</v>
      </c>
      <c r="P663" s="171" t="n">
        <v>0</v>
      </c>
      <c r="Q663" s="171" t="n">
        <v>0</v>
      </c>
      <c r="R663" s="171" t="n">
        <v>0</v>
      </c>
      <c r="S663" s="171" t="n">
        <v>0</v>
      </c>
      <c r="T663" s="171" t="n">
        <v>0</v>
      </c>
      <c r="U663" s="171" t="n">
        <v>0</v>
      </c>
      <c r="V663" s="171" t="n">
        <v>-27.77777777777778</v>
      </c>
      <c r="W663" s="171" t="n">
        <v>-4166.666666666667</v>
      </c>
      <c r="X663" s="172" t="n">
        <v>-4166.666666666667</v>
      </c>
      <c r="Z663" s="163" t="n">
        <v>0</v>
      </c>
    </row>
    <row r="664" ht="15" customHeight="1" s="183" thickBot="1">
      <c r="B664" s="186" t="inlineStr">
        <is>
          <t>R4X</t>
        </is>
      </c>
      <c r="C664" s="187" t="inlineStr">
        <is>
          <t>U4X</t>
        </is>
      </c>
      <c r="D664" s="187" t="inlineStr">
        <is>
          <t>=</t>
        </is>
      </c>
      <c r="E664" s="189">
        <f>IF(OR($G$4=0, 4&gt;$G$4), 0, IF(N513="RESTRINGIDO", AN587, 0))</f>
        <v/>
      </c>
      <c r="F664" s="187" t="inlineStr">
        <is>
          <t>U4X</t>
        </is>
      </c>
      <c r="G664" s="187" t="inlineStr">
        <is>
          <t>Kgf</t>
        </is>
      </c>
      <c r="H664" s="187">
        <f>N513</f>
        <v/>
      </c>
      <c r="Z664" s="163" t="n">
        <v>-59.85185185185186</v>
      </c>
    </row>
    <row r="665">
      <c r="B665" s="186" t="inlineStr">
        <is>
          <t>R4Y</t>
        </is>
      </c>
      <c r="C665" s="187" t="inlineStr">
        <is>
          <t>U4Y</t>
        </is>
      </c>
      <c r="D665" s="187" t="inlineStr">
        <is>
          <t>=</t>
        </is>
      </c>
      <c r="E665" s="189">
        <f>IF(OR($G$4=0, 4&gt;$G$4), 0, IF(N514="RESTRINGIDO", AN588, 0))</f>
        <v/>
      </c>
      <c r="F665" s="187" t="inlineStr">
        <is>
          <t>U4Y</t>
        </is>
      </c>
      <c r="G665" s="187" t="inlineStr">
        <is>
          <t>Kgf</t>
        </is>
      </c>
      <c r="H665" s="187">
        <f>N514</f>
        <v/>
      </c>
      <c r="J665" s="147" t="inlineStr">
        <is>
          <t>U1X</t>
        </is>
      </c>
      <c r="K665" s="148" t="inlineStr">
        <is>
          <t>U1X</t>
        </is>
      </c>
      <c r="L665" s="173" t="inlineStr">
        <is>
          <t>=</t>
        </is>
      </c>
      <c r="M665" s="176">
        <f t="array" ref="M665:M670">MMULT(M658:X663,Z658:Z669)</f>
        <v/>
      </c>
      <c r="N665" s="174" t="n">
        <v>0</v>
      </c>
      <c r="O665" s="179">
        <f>M665+N665</f>
        <v/>
      </c>
      <c r="Z665" s="163" t="n">
        <v>-0.6873535353535356</v>
      </c>
    </row>
    <row r="666">
      <c r="B666" s="186" t="inlineStr">
        <is>
          <t>R4θ</t>
        </is>
      </c>
      <c r="C666" s="187" t="inlineStr">
        <is>
          <t>U4θ</t>
        </is>
      </c>
      <c r="D666" s="187" t="inlineStr">
        <is>
          <t>=</t>
        </is>
      </c>
      <c r="E666" s="189">
        <f>IF(OR($G$4=0, 4&gt;$G$4), 0, IF(N515="RESTRINGIDO", AN589, 0))</f>
        <v/>
      </c>
      <c r="F666" s="187" t="inlineStr">
        <is>
          <t>U4θ</t>
        </is>
      </c>
      <c r="G666" s="187" t="inlineStr">
        <is>
          <t>Kgf.cm</t>
        </is>
      </c>
      <c r="H666" s="187">
        <f>N515</f>
        <v/>
      </c>
      <c r="J666" s="147" t="inlineStr">
        <is>
          <t>U1Y</t>
        </is>
      </c>
      <c r="K666" s="148" t="inlineStr">
        <is>
          <t>U1Y-400</t>
        </is>
      </c>
      <c r="L666" s="173" t="inlineStr">
        <is>
          <t>=</t>
        </is>
      </c>
      <c r="M666" s="177" t="n">
        <v>475.1515151515147</v>
      </c>
      <c r="N666" s="174" t="n">
        <v>400</v>
      </c>
      <c r="O666" s="179">
        <f>M666+N666</f>
        <v/>
      </c>
      <c r="Z666" s="163" t="n">
        <v>0</v>
      </c>
    </row>
    <row r="667">
      <c r="B667" s="186" t="inlineStr">
        <is>
          <t>R5X</t>
        </is>
      </c>
      <c r="C667" s="187" t="inlineStr">
        <is>
          <t>U5X</t>
        </is>
      </c>
      <c r="D667" s="187" t="inlineStr">
        <is>
          <t>=</t>
        </is>
      </c>
      <c r="E667" s="189">
        <f>IF(OR($G$4=0, 5&gt;$G$4), 0, IF(N516="RESTRINGIDO", AN590, 0))</f>
        <v/>
      </c>
      <c r="F667" s="187" t="inlineStr">
        <is>
          <t>U5X</t>
        </is>
      </c>
      <c r="G667" s="187" t="inlineStr">
        <is>
          <t>Kgf</t>
        </is>
      </c>
      <c r="H667" s="187">
        <f>N516</f>
        <v/>
      </c>
      <c r="J667" s="147" t="inlineStr">
        <is>
          <t>U3X</t>
        </is>
      </c>
      <c r="K667" s="148" t="inlineStr">
        <is>
          <t>U3X</t>
        </is>
      </c>
      <c r="L667" s="173" t="inlineStr">
        <is>
          <t>=</t>
        </is>
      </c>
      <c r="M667" s="177" t="n">
        <v>0</v>
      </c>
      <c r="N667" s="174" t="n">
        <v>0</v>
      </c>
      <c r="O667" s="179">
        <f>M667+N667</f>
        <v/>
      </c>
      <c r="P667" s="180">
        <f>SUM(O665:O670)</f>
        <v/>
      </c>
      <c r="Q667">
        <f>1000+200+3000+2000</f>
        <v/>
      </c>
      <c r="Z667" s="163" t="n">
        <v>-154.8606060606061</v>
      </c>
    </row>
    <row r="668">
      <c r="B668" s="186" t="inlineStr">
        <is>
          <t>R5Y</t>
        </is>
      </c>
      <c r="C668" s="187" t="inlineStr">
        <is>
          <t>U5Y</t>
        </is>
      </c>
      <c r="D668" s="187" t="inlineStr">
        <is>
          <t>=</t>
        </is>
      </c>
      <c r="E668" s="189">
        <f>IF(OR($G$4=0, 5&gt;$G$4), 0, IF(N517="RESTRINGIDO", AN591, 0))</f>
        <v/>
      </c>
      <c r="F668" s="187" t="inlineStr">
        <is>
          <t>U5Y</t>
        </is>
      </c>
      <c r="G668" s="187" t="inlineStr">
        <is>
          <t>Kgf</t>
        </is>
      </c>
      <c r="H668" s="187">
        <f>N517</f>
        <v/>
      </c>
      <c r="J668" s="147" t="inlineStr">
        <is>
          <t>U3Y</t>
        </is>
      </c>
      <c r="K668" s="148" t="inlineStr">
        <is>
          <t>U3Y-600</t>
        </is>
      </c>
      <c r="L668" s="173" t="inlineStr">
        <is>
          <t>=</t>
        </is>
      </c>
      <c r="M668" s="177" t="n">
        <v>5295.555555555547</v>
      </c>
      <c r="N668" s="174" t="n">
        <v>600</v>
      </c>
      <c r="O668" s="179">
        <f>M668+N668</f>
        <v/>
      </c>
      <c r="Z668" s="163" t="n">
        <v>-0.07385858585858589</v>
      </c>
    </row>
    <row r="669" ht="15" customHeight="1" s="183" thickBot="1">
      <c r="B669" s="186" t="inlineStr">
        <is>
          <t>R5θ</t>
        </is>
      </c>
      <c r="C669" s="187" t="inlineStr">
        <is>
          <t>U5θ</t>
        </is>
      </c>
      <c r="D669" s="187" t="inlineStr">
        <is>
          <t>=</t>
        </is>
      </c>
      <c r="E669" s="189">
        <f>IF(OR($G$4=0, 5&gt;$G$4), 0, IF(N518="RESTRINGIDO", AN592, 0))</f>
        <v/>
      </c>
      <c r="F669" s="187" t="inlineStr">
        <is>
          <t>U5θ</t>
        </is>
      </c>
      <c r="G669" s="187" t="inlineStr">
        <is>
          <t>Kgf.cm</t>
        </is>
      </c>
      <c r="H669" s="187">
        <f>N518</f>
        <v/>
      </c>
      <c r="J669" s="147" t="inlineStr">
        <is>
          <t>U6X</t>
        </is>
      </c>
      <c r="K669" s="148" t="inlineStr">
        <is>
          <t>U6X</t>
        </is>
      </c>
      <c r="L669" s="173" t="inlineStr">
        <is>
          <t>=</t>
        </is>
      </c>
      <c r="M669" s="177" t="n">
        <v>0</v>
      </c>
      <c r="N669" s="174" t="n">
        <v>0</v>
      </c>
      <c r="O669" s="179">
        <f>M669+N669</f>
        <v/>
      </c>
      <c r="Z669" s="164" t="n">
        <v>0.8112323232323235</v>
      </c>
    </row>
    <row r="670" ht="27" customHeight="1" s="183" thickBot="1">
      <c r="B670" s="186" t="inlineStr">
        <is>
          <t>R6X</t>
        </is>
      </c>
      <c r="C670" s="187" t="inlineStr">
        <is>
          <t>U6X</t>
        </is>
      </c>
      <c r="D670" s="187" t="inlineStr">
        <is>
          <t>=</t>
        </is>
      </c>
      <c r="E670" s="189">
        <f>IF(OR($G$4=0, 6&gt;$G$4), 0, IF(N519="RESTRINGIDO", AN593, 0))</f>
        <v/>
      </c>
      <c r="F670" s="187" t="inlineStr">
        <is>
          <t>U6X</t>
        </is>
      </c>
      <c r="G670" s="187" t="inlineStr">
        <is>
          <t>Kgf</t>
        </is>
      </c>
      <c r="H670" s="187">
        <f>N519</f>
        <v/>
      </c>
      <c r="J670" s="147" t="inlineStr">
        <is>
          <t>U6Y</t>
        </is>
      </c>
      <c r="K670" s="148" t="inlineStr">
        <is>
          <t>U6Y</t>
        </is>
      </c>
      <c r="L670" s="173" t="inlineStr">
        <is>
          <t>=</t>
        </is>
      </c>
      <c r="M670" s="178" t="n">
        <v>1229.29292929293</v>
      </c>
      <c r="N670" s="174" t="n">
        <v>0</v>
      </c>
      <c r="O670" s="179">
        <f>M670+N670</f>
        <v/>
      </c>
    </row>
    <row r="671" ht="26.4" customHeight="1" s="183">
      <c r="B671" s="186" t="inlineStr">
        <is>
          <t>R6Y</t>
        </is>
      </c>
      <c r="C671" s="187" t="inlineStr">
        <is>
          <t>U6Y</t>
        </is>
      </c>
      <c r="D671" s="187" t="inlineStr">
        <is>
          <t>=</t>
        </is>
      </c>
      <c r="E671" s="189">
        <f>IF(OR($G$4=0, 6&gt;$G$4), 0, IF(N520="RESTRINGIDO", AN594, 0))</f>
        <v/>
      </c>
      <c r="F671" s="187" t="inlineStr">
        <is>
          <t>U6Y</t>
        </is>
      </c>
      <c r="G671" s="187" t="inlineStr">
        <is>
          <t>Kgf</t>
        </is>
      </c>
      <c r="H671" s="187">
        <f>N520</f>
        <v/>
      </c>
    </row>
    <row r="672">
      <c r="B672" s="186" t="inlineStr">
        <is>
          <t>R6θ</t>
        </is>
      </c>
      <c r="C672" s="187" t="inlineStr">
        <is>
          <t>U6θ</t>
        </is>
      </c>
      <c r="D672" s="187" t="inlineStr">
        <is>
          <t>=</t>
        </is>
      </c>
      <c r="E672" s="189">
        <f>IF(OR($G$4=0, 6&gt;$G$4), 0, IF(N521="RESTRINGIDO", AN595, 0))</f>
        <v/>
      </c>
      <c r="F672" s="187" t="inlineStr">
        <is>
          <t>U6θ</t>
        </is>
      </c>
      <c r="G672" s="187" t="inlineStr">
        <is>
          <t>Kgf.cm</t>
        </is>
      </c>
      <c r="H672" s="187">
        <f>N521</f>
        <v/>
      </c>
    </row>
    <row r="673" ht="27" customHeight="1" s="183" thickBot="1">
      <c r="B673" s="186" t="inlineStr">
        <is>
          <t>R7X</t>
        </is>
      </c>
      <c r="C673" s="187" t="inlineStr">
        <is>
          <t>U7X</t>
        </is>
      </c>
      <c r="D673" s="187" t="inlineStr">
        <is>
          <t>=</t>
        </is>
      </c>
      <c r="E673" s="189">
        <f>IF(OR($G$4=0, 7&gt;$G$4), 0, IF(N522="RESTRINGIDO", AN596, 0))</f>
        <v/>
      </c>
      <c r="F673" s="187" t="inlineStr">
        <is>
          <t>U7X</t>
        </is>
      </c>
      <c r="G673" s="187" t="inlineStr">
        <is>
          <t>Kgf</t>
        </is>
      </c>
      <c r="H673" s="187">
        <f>N522</f>
        <v/>
      </c>
      <c r="J673" s="53" t="inlineStr">
        <is>
          <t>DATOS PARA GRAFICAR LA CURVA ELÁSTICA</t>
        </is>
      </c>
      <c r="K673" s="190" t="n"/>
      <c r="L673" s="190" t="n"/>
      <c r="M673" s="191" t="n"/>
      <c r="P673" s="57" t="inlineStr">
        <is>
          <t>VECTOR DE DESPLAZAMIENTOS {D}</t>
        </is>
      </c>
    </row>
    <row r="674" ht="26.4" customHeight="1" s="183">
      <c r="B674" s="186" t="inlineStr">
        <is>
          <t>R7Y</t>
        </is>
      </c>
      <c r="C674" s="187" t="inlineStr">
        <is>
          <t>U7Y</t>
        </is>
      </c>
      <c r="D674" s="187" t="inlineStr">
        <is>
          <t>=</t>
        </is>
      </c>
      <c r="E674" s="189">
        <f>IF(OR($G$4=0, 7&gt;$G$4), 0, IF(N523="RESTRINGIDO", AN597, 0))</f>
        <v/>
      </c>
      <c r="F674" s="187" t="inlineStr">
        <is>
          <t>U7Y</t>
        </is>
      </c>
      <c r="G674" s="187" t="inlineStr">
        <is>
          <t>Kgf</t>
        </is>
      </c>
      <c r="H674" s="187">
        <f>N523</f>
        <v/>
      </c>
      <c r="J674" s="17" t="inlineStr">
        <is>
          <t>Nudo</t>
        </is>
      </c>
      <c r="K674" s="17" t="inlineStr">
        <is>
          <t>X (cm)</t>
        </is>
      </c>
      <c r="L674" s="17" t="inlineStr">
        <is>
          <t>DY (cm)</t>
        </is>
      </c>
      <c r="M674" s="17" t="inlineStr">
        <is>
          <t>θ (rad)</t>
        </is>
      </c>
      <c r="P674" s="102" t="inlineStr">
        <is>
          <t>D1X</t>
        </is>
      </c>
      <c r="Q674" s="100" t="inlineStr">
        <is>
          <t>U1X</t>
        </is>
      </c>
      <c r="R674" s="98" t="inlineStr">
        <is>
          <t>=</t>
        </is>
      </c>
      <c r="S674" s="103" t="n">
        <v>0</v>
      </c>
      <c r="T674" s="104" t="inlineStr">
        <is>
          <t>U1X</t>
        </is>
      </c>
    </row>
    <row r="675" ht="26.4" customHeight="1" s="183">
      <c r="B675" s="186" t="inlineStr">
        <is>
          <t>R7θ</t>
        </is>
      </c>
      <c r="C675" s="187" t="inlineStr">
        <is>
          <t>U7θ</t>
        </is>
      </c>
      <c r="D675" s="187" t="inlineStr">
        <is>
          <t>=</t>
        </is>
      </c>
      <c r="E675" s="189">
        <f>IF(OR($G$4=0, 7&gt;$G$4), 0, IF(N524="RESTRINGIDO", AN598, 0))</f>
        <v/>
      </c>
      <c r="F675" s="187" t="inlineStr">
        <is>
          <t>U7θ</t>
        </is>
      </c>
      <c r="G675" s="187" t="inlineStr">
        <is>
          <t>Kgf.cm</t>
        </is>
      </c>
      <c r="H675" s="187">
        <f>N524</f>
        <v/>
      </c>
      <c r="J675" s="187" t="n">
        <v>1</v>
      </c>
      <c r="K675" s="189" t="n">
        <v>0</v>
      </c>
      <c r="L675" s="188" t="inlineStr">
        <is>
          <t>-</t>
        </is>
      </c>
      <c r="M675" s="182" t="n">
        <v>-0.1061010101010101</v>
      </c>
      <c r="P675" s="11" t="inlineStr">
        <is>
          <t>D1Y</t>
        </is>
      </c>
      <c r="Q675" s="12" t="inlineStr">
        <is>
          <t>U1Y</t>
        </is>
      </c>
      <c r="R675" s="187" t="inlineStr">
        <is>
          <t>=</t>
        </is>
      </c>
      <c r="S675" s="14" t="n">
        <v>0</v>
      </c>
      <c r="T675" s="107" t="inlineStr">
        <is>
          <t>U1Y</t>
        </is>
      </c>
    </row>
    <row r="676" ht="26.4" customHeight="1" s="183">
      <c r="B676" s="186" t="inlineStr">
        <is>
          <t>R8X</t>
        </is>
      </c>
      <c r="C676" s="187" t="inlineStr">
        <is>
          <t>U8X</t>
        </is>
      </c>
      <c r="D676" s="187" t="inlineStr">
        <is>
          <t>=</t>
        </is>
      </c>
      <c r="E676" s="189">
        <f>IF(OR($G$4=0, 8&gt;$G$4), 0, IF(N525="RESTRINGIDO", AN599, 0))</f>
        <v/>
      </c>
      <c r="F676" s="187" t="inlineStr">
        <is>
          <t>U8X</t>
        </is>
      </c>
      <c r="G676" s="187" t="inlineStr">
        <is>
          <t>Kgf</t>
        </is>
      </c>
      <c r="H676" s="187">
        <f>N525</f>
        <v/>
      </c>
      <c r="J676" s="187" t="n">
        <v>2</v>
      </c>
      <c r="K676" s="189">
        <f>IF(I9="","", K675+I9)</f>
        <v/>
      </c>
      <c r="L676" s="188" t="inlineStr">
        <is>
          <t>-</t>
        </is>
      </c>
      <c r="M676" s="182" t="n">
        <v>0.08861414141414145</v>
      </c>
      <c r="P676" s="11" t="inlineStr">
        <is>
          <t>D1θ</t>
        </is>
      </c>
      <c r="Q676" s="12" t="inlineStr">
        <is>
          <t>U1θ</t>
        </is>
      </c>
      <c r="R676" s="187" t="inlineStr">
        <is>
          <t>=</t>
        </is>
      </c>
      <c r="S676" s="182">
        <f>Q644</f>
        <v/>
      </c>
      <c r="T676" s="107" t="inlineStr">
        <is>
          <t>U1θ</t>
        </is>
      </c>
    </row>
    <row r="677" ht="26.4" customHeight="1" s="183">
      <c r="B677" s="186" t="inlineStr">
        <is>
          <t>R8Y</t>
        </is>
      </c>
      <c r="C677" s="187" t="inlineStr">
        <is>
          <t>U8Y</t>
        </is>
      </c>
      <c r="D677" s="187" t="inlineStr">
        <is>
          <t>=</t>
        </is>
      </c>
      <c r="E677" s="189">
        <f>IF(OR($G$4=0, 8&gt;$G$4), 0, IF(N526="RESTRINGIDO", AN600, 0))</f>
        <v/>
      </c>
      <c r="F677" s="187" t="inlineStr">
        <is>
          <t>U8Y</t>
        </is>
      </c>
      <c r="G677" s="187" t="inlineStr">
        <is>
          <t>Kgf</t>
        </is>
      </c>
      <c r="H677" s="187">
        <f>N526</f>
        <v/>
      </c>
      <c r="J677" s="187" t="n">
        <v>3</v>
      </c>
      <c r="K677" s="189">
        <f>IF(I10="","", K676+I10)</f>
        <v/>
      </c>
      <c r="L677" s="188" t="inlineStr">
        <is>
          <t>-</t>
        </is>
      </c>
      <c r="M677" s="14" t="n">
        <v>-0.4091313131313132</v>
      </c>
      <c r="P677" s="11" t="inlineStr">
        <is>
          <t>D2X</t>
        </is>
      </c>
      <c r="Q677" s="12" t="inlineStr">
        <is>
          <t>U2X</t>
        </is>
      </c>
      <c r="R677" s="187" t="inlineStr">
        <is>
          <t>=</t>
        </is>
      </c>
      <c r="S677" s="182">
        <f>Q645</f>
        <v/>
      </c>
      <c r="T677" s="107" t="inlineStr">
        <is>
          <t>U2X</t>
        </is>
      </c>
    </row>
    <row r="678" ht="26.4" customHeight="1" s="183">
      <c r="B678" s="186" t="inlineStr">
        <is>
          <t>R8θ</t>
        </is>
      </c>
      <c r="C678" s="187" t="inlineStr">
        <is>
          <t>U8θ</t>
        </is>
      </c>
      <c r="D678" s="187" t="inlineStr">
        <is>
          <t>=</t>
        </is>
      </c>
      <c r="E678" s="189">
        <f>IF(OR($G$4=0, 8&gt;$G$4), 0, IF(N527="RESTRINGIDO", AN601, 0))</f>
        <v/>
      </c>
      <c r="F678" s="187" t="inlineStr">
        <is>
          <t>U8θ</t>
        </is>
      </c>
      <c r="G678" s="187" t="inlineStr">
        <is>
          <t>Kgf.cm</t>
        </is>
      </c>
      <c r="H678" s="187">
        <f>N527</f>
        <v/>
      </c>
      <c r="J678" s="187" t="n">
        <v>4</v>
      </c>
      <c r="K678" s="189">
        <f>IF(I11="","", K677+I11)</f>
        <v/>
      </c>
      <c r="L678" s="188" t="inlineStr">
        <is>
          <t>-</t>
        </is>
      </c>
      <c r="M678" s="14" t="n">
        <v>-0.6873535353535356</v>
      </c>
      <c r="P678" s="11" t="inlineStr">
        <is>
          <t>D2Y</t>
        </is>
      </c>
      <c r="Q678" s="12" t="inlineStr">
        <is>
          <t>U2Y</t>
        </is>
      </c>
      <c r="R678" s="187" t="inlineStr">
        <is>
          <t>=</t>
        </is>
      </c>
      <c r="S678" s="182">
        <f>Q646</f>
        <v/>
      </c>
      <c r="T678" s="107" t="inlineStr">
        <is>
          <t>U2Y</t>
        </is>
      </c>
    </row>
    <row r="679" ht="27" customHeight="1" s="183" thickBot="1">
      <c r="B679" s="186" t="inlineStr">
        <is>
          <t>R9X</t>
        </is>
      </c>
      <c r="C679" s="187" t="inlineStr">
        <is>
          <t>U9X</t>
        </is>
      </c>
      <c r="D679" s="187" t="inlineStr">
        <is>
          <t>=</t>
        </is>
      </c>
      <c r="E679" s="189">
        <f>IF(OR($G$4=0, 9&gt;$G$4), 0, IF(N528="RESTRINGIDO", AN602, 0))</f>
        <v/>
      </c>
      <c r="F679" s="187" t="inlineStr">
        <is>
          <t>U9X</t>
        </is>
      </c>
      <c r="G679" s="187" t="inlineStr">
        <is>
          <t>Kgf</t>
        </is>
      </c>
      <c r="H679" s="187">
        <f>N528</f>
        <v/>
      </c>
      <c r="J679" s="187" t="n">
        <v>5</v>
      </c>
      <c r="K679" s="189">
        <f>IF(I12="","", K678+I12)</f>
        <v/>
      </c>
      <c r="L679" s="188" t="inlineStr">
        <is>
          <t>-</t>
        </is>
      </c>
      <c r="M679" s="113" t="n">
        <v>0.8112323232323235</v>
      </c>
      <c r="P679" s="11" t="inlineStr">
        <is>
          <t>D2θ</t>
        </is>
      </c>
      <c r="Q679" s="12" t="inlineStr">
        <is>
          <t>U2θ</t>
        </is>
      </c>
      <c r="R679" s="187" t="inlineStr">
        <is>
          <t>=</t>
        </is>
      </c>
      <c r="S679" s="182">
        <f>Q647</f>
        <v/>
      </c>
      <c r="T679" s="107" t="inlineStr">
        <is>
          <t>U2θ</t>
        </is>
      </c>
    </row>
    <row r="680" ht="26.4" customHeight="1" s="183">
      <c r="B680" s="186" t="inlineStr">
        <is>
          <t>R9Y</t>
        </is>
      </c>
      <c r="C680" s="187" t="inlineStr">
        <is>
          <t>U9Y</t>
        </is>
      </c>
      <c r="D680" s="187" t="inlineStr">
        <is>
          <t>=</t>
        </is>
      </c>
      <c r="E680" s="189">
        <f>IF(OR($G$4=0, 9&gt;$G$4), 0, IF(N529="RESTRINGIDO", AN603, 0))</f>
        <v/>
      </c>
      <c r="F680" s="187" t="inlineStr">
        <is>
          <t>U9Y</t>
        </is>
      </c>
      <c r="G680" s="187" t="inlineStr">
        <is>
          <t>Kgf</t>
        </is>
      </c>
      <c r="H680" s="187">
        <f>N529</f>
        <v/>
      </c>
      <c r="J680" s="187" t="n">
        <v>6</v>
      </c>
      <c r="K680" s="189">
        <f>IF(I13="","", K679+I13)</f>
        <v/>
      </c>
      <c r="L680" s="188" t="inlineStr">
        <is>
          <t>-</t>
        </is>
      </c>
      <c r="M680" s="188" t="n"/>
      <c r="P680" s="11" t="inlineStr">
        <is>
          <t>D3X</t>
        </is>
      </c>
      <c r="Q680" s="12" t="inlineStr">
        <is>
          <t>U3X</t>
        </is>
      </c>
      <c r="R680" s="187" t="inlineStr">
        <is>
          <t>=</t>
        </is>
      </c>
      <c r="S680" s="14" t="n">
        <v>0</v>
      </c>
      <c r="T680" s="107" t="inlineStr">
        <is>
          <t>U3X</t>
        </is>
      </c>
    </row>
    <row r="681" ht="26.4" customHeight="1" s="183">
      <c r="B681" s="186" t="inlineStr">
        <is>
          <t>R9θ</t>
        </is>
      </c>
      <c r="C681" s="187" t="inlineStr">
        <is>
          <t>U9θ</t>
        </is>
      </c>
      <c r="D681" s="187" t="inlineStr">
        <is>
          <t>=</t>
        </is>
      </c>
      <c r="E681" s="189">
        <f>IF(OR($G$4=0, 9&gt;$G$4), 0, IF(N530="RESTRINGIDO", AN604, 0))</f>
        <v/>
      </c>
      <c r="F681" s="187" t="inlineStr">
        <is>
          <t>U9θ</t>
        </is>
      </c>
      <c r="G681" s="187" t="inlineStr">
        <is>
          <t>Kgf.cm</t>
        </is>
      </c>
      <c r="H681" s="187">
        <f>N530</f>
        <v/>
      </c>
      <c r="J681" s="187" t="n">
        <v>7</v>
      </c>
      <c r="K681" s="189">
        <f>IF(I14="","", K680+I14)</f>
        <v/>
      </c>
      <c r="L681" s="188">
        <f>IF(I14="","", E636)</f>
        <v/>
      </c>
      <c r="M681" s="188">
        <f>IF(I14="","", E637)</f>
        <v/>
      </c>
      <c r="P681" s="11" t="inlineStr">
        <is>
          <t>D3Y</t>
        </is>
      </c>
      <c r="Q681" s="12" t="inlineStr">
        <is>
          <t>U3Y</t>
        </is>
      </c>
      <c r="R681" s="187" t="inlineStr">
        <is>
          <t>=</t>
        </is>
      </c>
      <c r="S681" s="14" t="n">
        <v>0</v>
      </c>
      <c r="T681" s="107" t="inlineStr">
        <is>
          <t>U3Y</t>
        </is>
      </c>
    </row>
    <row r="682" ht="26.4" customHeight="1" s="183">
      <c r="B682" s="186" t="inlineStr">
        <is>
          <t>R10X</t>
        </is>
      </c>
      <c r="C682" s="187" t="inlineStr">
        <is>
          <t>U10X</t>
        </is>
      </c>
      <c r="D682" s="187" t="inlineStr">
        <is>
          <t>=</t>
        </is>
      </c>
      <c r="E682" s="189">
        <f>IF(OR($G$4=0, 10&gt;$G$4), 0, IF(N531="RESTRINGIDO", AN605, 0))</f>
        <v/>
      </c>
      <c r="F682" s="187" t="inlineStr">
        <is>
          <t>U10X</t>
        </is>
      </c>
      <c r="G682" s="187" t="inlineStr">
        <is>
          <t>Kgf</t>
        </is>
      </c>
      <c r="H682" s="187">
        <f>N531</f>
        <v/>
      </c>
      <c r="J682" s="187" t="n">
        <v>8</v>
      </c>
      <c r="K682" s="189">
        <f>IF(I15="","", K681+I15)</f>
        <v/>
      </c>
      <c r="L682" s="188">
        <f>IF(I15="","", E639)</f>
        <v/>
      </c>
      <c r="M682" s="188">
        <f>IF(I15="","", E640)</f>
        <v/>
      </c>
      <c r="P682" s="11" t="inlineStr">
        <is>
          <t>D3θ</t>
        </is>
      </c>
      <c r="Q682" s="12" t="inlineStr">
        <is>
          <t>U3θ</t>
        </is>
      </c>
      <c r="R682" s="187" t="inlineStr">
        <is>
          <t>=</t>
        </is>
      </c>
      <c r="S682" s="14">
        <f>Q648</f>
        <v/>
      </c>
      <c r="T682" s="107" t="inlineStr">
        <is>
          <t>U3θ</t>
        </is>
      </c>
    </row>
    <row r="683" ht="26.4" customHeight="1" s="183">
      <c r="B683" s="186" t="inlineStr">
        <is>
          <t>R10Y</t>
        </is>
      </c>
      <c r="C683" s="187" t="inlineStr">
        <is>
          <t>U10Y</t>
        </is>
      </c>
      <c r="D683" s="187" t="inlineStr">
        <is>
          <t>=</t>
        </is>
      </c>
      <c r="E683" s="189">
        <f>IF(OR($G$4=0, 10&gt;$G$4), 0, IF(N532="RESTRINGIDO", AN606, 0))</f>
        <v/>
      </c>
      <c r="F683" s="187" t="inlineStr">
        <is>
          <t>U10Y</t>
        </is>
      </c>
      <c r="G683" s="187" t="inlineStr">
        <is>
          <t>Kgf</t>
        </is>
      </c>
      <c r="H683" s="187">
        <f>N532</f>
        <v/>
      </c>
      <c r="J683" s="187" t="n">
        <v>9</v>
      </c>
      <c r="K683" s="189">
        <f>IF(I16="","", K682+I16)</f>
        <v/>
      </c>
      <c r="L683" s="188">
        <f>IF(I16="","", E642)</f>
        <v/>
      </c>
      <c r="M683" s="188">
        <f>IF(I16="","", E643)</f>
        <v/>
      </c>
      <c r="P683" s="11" t="inlineStr">
        <is>
          <t>D4X</t>
        </is>
      </c>
      <c r="Q683" s="12" t="inlineStr">
        <is>
          <t>U4X</t>
        </is>
      </c>
      <c r="R683" s="187" t="inlineStr">
        <is>
          <t>=</t>
        </is>
      </c>
      <c r="S683" s="14">
        <f>Q649</f>
        <v/>
      </c>
      <c r="T683" s="107" t="inlineStr">
        <is>
          <t>U4X</t>
        </is>
      </c>
    </row>
    <row r="684" ht="26.4" customHeight="1" s="183">
      <c r="B684" s="186" t="inlineStr">
        <is>
          <t>R10θ</t>
        </is>
      </c>
      <c r="C684" s="187" t="inlineStr">
        <is>
          <t>U10θ</t>
        </is>
      </c>
      <c r="D684" s="187" t="inlineStr">
        <is>
          <t>=</t>
        </is>
      </c>
      <c r="E684" s="189">
        <f>IF(OR($G$4=0, 10&gt;$G$4), 0, IF(N533="RESTRINGIDO", AN607, 0))</f>
        <v/>
      </c>
      <c r="F684" s="187" t="inlineStr">
        <is>
          <t>U10θ</t>
        </is>
      </c>
      <c r="G684" s="187" t="inlineStr">
        <is>
          <t>Kgf.cm</t>
        </is>
      </c>
      <c r="H684" s="187">
        <f>N533</f>
        <v/>
      </c>
      <c r="J684" s="187" t="n">
        <v>10</v>
      </c>
      <c r="K684" s="189">
        <f>IF(I17="","", K683+I17)</f>
        <v/>
      </c>
      <c r="L684" s="188">
        <f>IF(I17="","", E645)</f>
        <v/>
      </c>
      <c r="M684" s="188">
        <f>IF(I17="","", E646)</f>
        <v/>
      </c>
      <c r="P684" s="11" t="inlineStr">
        <is>
          <t>D4Y</t>
        </is>
      </c>
      <c r="Q684" s="12" t="inlineStr">
        <is>
          <t>U4Y</t>
        </is>
      </c>
      <c r="R684" s="187" t="inlineStr">
        <is>
          <t>=</t>
        </is>
      </c>
      <c r="S684" s="14">
        <f>Q650</f>
        <v/>
      </c>
      <c r="T684" s="107" t="inlineStr">
        <is>
          <t>U4Y</t>
        </is>
      </c>
    </row>
    <row r="685" ht="26.4" customHeight="1" s="183">
      <c r="B685" s="186" t="inlineStr">
        <is>
          <t>R11X</t>
        </is>
      </c>
      <c r="C685" s="187" t="inlineStr">
        <is>
          <t>U11X</t>
        </is>
      </c>
      <c r="D685" s="187" t="inlineStr">
        <is>
          <t>=</t>
        </is>
      </c>
      <c r="E685" s="189">
        <f>IF(OR($G$4=0, 11&gt;$G$4), 0, IF(N534="RESTRINGIDO", AN608, 0))</f>
        <v/>
      </c>
      <c r="F685" s="187" t="inlineStr">
        <is>
          <t>U11X</t>
        </is>
      </c>
      <c r="G685" s="187" t="inlineStr">
        <is>
          <t>Kgf</t>
        </is>
      </c>
      <c r="H685" s="187">
        <f>N534</f>
        <v/>
      </c>
      <c r="J685" s="187" t="n">
        <v>11</v>
      </c>
      <c r="K685" s="189">
        <f>IF(I18="","", K684+I18)</f>
        <v/>
      </c>
      <c r="L685" s="188">
        <f>IF(I18="","", E648)</f>
        <v/>
      </c>
      <c r="M685" s="188">
        <f>IF(I18="","", E649)</f>
        <v/>
      </c>
      <c r="P685" s="11" t="inlineStr">
        <is>
          <t>D4θ</t>
        </is>
      </c>
      <c r="Q685" s="12" t="inlineStr">
        <is>
          <t>U4θ</t>
        </is>
      </c>
      <c r="R685" s="187" t="inlineStr">
        <is>
          <t>=</t>
        </is>
      </c>
      <c r="S685" s="14">
        <f>Q651</f>
        <v/>
      </c>
      <c r="T685" s="107" t="inlineStr">
        <is>
          <t>U4θ</t>
        </is>
      </c>
    </row>
    <row r="686" ht="26.4" customHeight="1" s="183">
      <c r="B686" s="186" t="inlineStr">
        <is>
          <t>R11Y</t>
        </is>
      </c>
      <c r="C686" s="187" t="inlineStr">
        <is>
          <t>U11Y</t>
        </is>
      </c>
      <c r="D686" s="187" t="inlineStr">
        <is>
          <t>=</t>
        </is>
      </c>
      <c r="E686" s="189">
        <f>IF(OR($G$4=0, 11&gt;$G$4), 0, IF(N535="RESTRINGIDO", AN609, 0))</f>
        <v/>
      </c>
      <c r="F686" s="187" t="inlineStr">
        <is>
          <t>U11Y</t>
        </is>
      </c>
      <c r="G686" s="187" t="inlineStr">
        <is>
          <t>Kgf</t>
        </is>
      </c>
      <c r="H686" s="187">
        <f>N535</f>
        <v/>
      </c>
      <c r="P686" s="11" t="inlineStr">
        <is>
          <t>D5X</t>
        </is>
      </c>
      <c r="Q686" s="12" t="inlineStr">
        <is>
          <t>U5X</t>
        </is>
      </c>
      <c r="R686" s="187" t="inlineStr">
        <is>
          <t>=</t>
        </is>
      </c>
      <c r="S686" s="14">
        <f>Q652</f>
        <v/>
      </c>
      <c r="T686" s="107" t="inlineStr">
        <is>
          <t>U5X</t>
        </is>
      </c>
    </row>
    <row r="687" ht="26.4" customHeight="1" s="183">
      <c r="B687" s="186" t="inlineStr">
        <is>
          <t>R11θ</t>
        </is>
      </c>
      <c r="C687" s="187" t="inlineStr">
        <is>
          <t>U11θ</t>
        </is>
      </c>
      <c r="D687" s="187" t="inlineStr">
        <is>
          <t>=</t>
        </is>
      </c>
      <c r="E687" s="189">
        <f>IF(OR($G$4=0, 11&gt;$G$4), 0, IF(N536="RESTRINGIDO", AN610, 0))</f>
        <v/>
      </c>
      <c r="F687" s="187" t="inlineStr">
        <is>
          <t>U11θ</t>
        </is>
      </c>
      <c r="G687" s="187" t="inlineStr">
        <is>
          <t>Kgf.cm</t>
        </is>
      </c>
      <c r="H687" s="187">
        <f>N536</f>
        <v/>
      </c>
      <c r="P687" s="11" t="inlineStr">
        <is>
          <t>D5Y</t>
        </is>
      </c>
      <c r="Q687" s="12" t="inlineStr">
        <is>
          <t>U5Y</t>
        </is>
      </c>
      <c r="R687" s="187" t="inlineStr">
        <is>
          <t>=</t>
        </is>
      </c>
      <c r="S687" s="14">
        <f>Q653</f>
        <v/>
      </c>
      <c r="T687" s="107" t="inlineStr">
        <is>
          <t>U5Y</t>
        </is>
      </c>
    </row>
    <row r="688">
      <c r="P688" s="11" t="inlineStr">
        <is>
          <t>D5θ</t>
        </is>
      </c>
      <c r="Q688" s="12" t="inlineStr">
        <is>
          <t>U5θ</t>
        </is>
      </c>
      <c r="R688" s="187" t="inlineStr">
        <is>
          <t>=</t>
        </is>
      </c>
      <c r="S688" s="14">
        <f>Q654</f>
        <v/>
      </c>
      <c r="T688" s="107" t="inlineStr">
        <is>
          <t>U5θ</t>
        </is>
      </c>
    </row>
    <row r="689">
      <c r="P689" s="11" t="inlineStr">
        <is>
          <t>D6X</t>
        </is>
      </c>
      <c r="Q689" s="12" t="inlineStr">
        <is>
          <t>U6X</t>
        </is>
      </c>
      <c r="R689" s="187" t="inlineStr">
        <is>
          <t>=</t>
        </is>
      </c>
      <c r="S689" s="14" t="n">
        <v>0</v>
      </c>
      <c r="T689" s="107" t="inlineStr">
        <is>
          <t>U6X</t>
        </is>
      </c>
    </row>
    <row r="690">
      <c r="B690" t="inlineStr">
        <is>
          <t>DATOS PARA GRAFICAR LA CURVA ELASTICA</t>
        </is>
      </c>
      <c r="P690" s="11" t="inlineStr">
        <is>
          <t>D6Y</t>
        </is>
      </c>
      <c r="Q690" s="12" t="inlineStr">
        <is>
          <t>U6Y</t>
        </is>
      </c>
      <c r="R690" s="187" t="inlineStr">
        <is>
          <t>=</t>
        </is>
      </c>
      <c r="S690" s="14" t="n">
        <v>0</v>
      </c>
      <c r="T690" s="107" t="inlineStr">
        <is>
          <t>U6Y</t>
        </is>
      </c>
    </row>
    <row r="691" ht="15" customHeight="1" s="183" thickBot="1">
      <c r="P691" s="112" t="inlineStr">
        <is>
          <t>D6θ</t>
        </is>
      </c>
      <c r="Q691" s="110" t="inlineStr">
        <is>
          <t>U6θ</t>
        </is>
      </c>
      <c r="R691" s="109" t="inlineStr">
        <is>
          <t>=</t>
        </is>
      </c>
      <c r="S691" s="113">
        <f>Q655</f>
        <v/>
      </c>
      <c r="T691" s="114" t="inlineStr">
        <is>
          <t>U6θ</t>
        </is>
      </c>
    </row>
    <row r="693">
      <c r="B693" t="inlineStr">
        <is>
          <t>X (cm)</t>
        </is>
      </c>
      <c r="C693" t="inlineStr">
        <is>
          <t>DY (cm)</t>
        </is>
      </c>
    </row>
    <row r="694">
      <c r="B694">
        <f>IF(C9="","",C9)</f>
        <v/>
      </c>
      <c r="C694">
        <f>IF(C9="","",E618)</f>
        <v/>
      </c>
    </row>
    <row r="695">
      <c r="B695">
        <f>IF(E9="","",E9)</f>
        <v/>
      </c>
      <c r="C695">
        <f>IF(E9="","",E621)</f>
        <v/>
      </c>
    </row>
    <row r="696">
      <c r="B696">
        <f>IF(E10="","",E10)</f>
        <v/>
      </c>
      <c r="C696">
        <f>IF(E10="","",E624)</f>
        <v/>
      </c>
    </row>
    <row r="697">
      <c r="B697">
        <f>IF(E11="","",E11)</f>
        <v/>
      </c>
      <c r="C697">
        <f>IF(E11="","",E627)</f>
        <v/>
      </c>
    </row>
    <row r="698">
      <c r="B698">
        <f>IF(E12="","",E12)</f>
        <v/>
      </c>
      <c r="C698">
        <f>IF(E12="","",E630)</f>
        <v/>
      </c>
    </row>
    <row r="699">
      <c r="B699">
        <f>IF(E13="","",E13)</f>
        <v/>
      </c>
      <c r="C699">
        <f>IF(E13="","",E633)</f>
        <v/>
      </c>
    </row>
    <row r="700">
      <c r="B700">
        <f>IF(E14="","",E14)</f>
        <v/>
      </c>
      <c r="C700">
        <f>IF(E14="","",E636)</f>
        <v/>
      </c>
    </row>
    <row r="701">
      <c r="B701">
        <f>IF(E15="","",E15)</f>
        <v/>
      </c>
      <c r="C701">
        <f>IF(E15="","",E639)</f>
        <v/>
      </c>
    </row>
    <row r="702">
      <c r="B702">
        <f>IF(E16="","",E16)</f>
        <v/>
      </c>
      <c r="C702">
        <f>IF(E16="","",E642)</f>
        <v/>
      </c>
    </row>
    <row r="703">
      <c r="B703">
        <f>IF(E17="","",E17)</f>
        <v/>
      </c>
      <c r="C703">
        <f>IF(E17="","",E645)</f>
        <v/>
      </c>
    </row>
    <row r="704">
      <c r="B704">
        <f>IF(E18="","",E18)</f>
        <v/>
      </c>
      <c r="C704">
        <f>IF(E18="","",E648)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69"/>
  <mergeCells count="33">
    <mergeCell ref="F20:H20"/>
    <mergeCell ref="C20:E20"/>
    <mergeCell ref="B465:AH465"/>
    <mergeCell ref="P673:T673"/>
    <mergeCell ref="B1:D1"/>
    <mergeCell ref="AK14:AS14"/>
    <mergeCell ref="R7:R8"/>
    <mergeCell ref="G7:G8"/>
    <mergeCell ref="I7:I8"/>
    <mergeCell ref="B539:AH539"/>
    <mergeCell ref="M7:M8"/>
    <mergeCell ref="S7:S8"/>
    <mergeCell ref="B503:F503"/>
    <mergeCell ref="H503:L503"/>
    <mergeCell ref="H7:H8"/>
    <mergeCell ref="J7:J8"/>
    <mergeCell ref="P7:P8"/>
    <mergeCell ref="AK27:AS27"/>
    <mergeCell ref="K7:K8"/>
    <mergeCell ref="AK1:AR1"/>
    <mergeCell ref="B20:B21"/>
    <mergeCell ref="B502:AH502"/>
    <mergeCell ref="O7:O8"/>
    <mergeCell ref="Q7:Q8"/>
    <mergeCell ref="J673:M673"/>
    <mergeCell ref="B576:AH576"/>
    <mergeCell ref="C7:D7"/>
    <mergeCell ref="E7:F7"/>
    <mergeCell ref="B615:G615"/>
    <mergeCell ref="B653:H653"/>
    <mergeCell ref="B7:B8"/>
    <mergeCell ref="L7:L8"/>
    <mergeCell ref="N7:N8"/>
  </mergeCells>
  <pageMargins left="0.75" right="0.75" top="1" bottom="1" header="0.5" footer="0.5"/>
  <pageSetup orientation="portrait" horizontalDpi="4294967293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12"/>
  <sheetViews>
    <sheetView workbookViewId="0">
      <selection activeCell="A1" sqref="A1"/>
    </sheetView>
  </sheetViews>
  <sheetFormatPr baseColWidth="10" defaultColWidth="8.88671875" defaultRowHeight="14.4"/>
  <cols>
    <col width="11" customWidth="1" style="183" min="1" max="1"/>
    <col width="13" customWidth="1" style="183" min="2" max="34"/>
    <col width="10" customWidth="1" style="183" min="35" max="35"/>
    <col width="4" customWidth="1" style="183" min="36" max="36"/>
    <col width="15" customWidth="1" style="183" min="37" max="59"/>
  </cols>
  <sheetData>
    <row r="1">
      <c r="B1" s="55" t="inlineStr">
        <is>
          <t>1. PROPIEDADES DEL MATERIAL Y SECCIÓN BASE (VIGA RECTANGULAR)</t>
        </is>
      </c>
      <c r="C1" s="190" t="n"/>
      <c r="D1" s="191" t="n"/>
    </row>
    <row r="2" ht="39.6" customHeight="1" s="183">
      <c r="B2" s="1" t="inlineStr">
        <is>
          <t>E (Elasticidad) =</t>
        </is>
      </c>
      <c r="C2" s="189" t="n">
        <v>150000</v>
      </c>
      <c r="D2" s="187" t="inlineStr">
        <is>
          <t>kgf/cm²</t>
        </is>
      </c>
    </row>
    <row r="3" ht="26.4" customHeight="1" s="183">
      <c r="B3" s="1" t="inlineStr">
        <is>
          <t>b (Base) =</t>
        </is>
      </c>
      <c r="C3" s="189" t="n">
        <v>5</v>
      </c>
      <c r="D3" s="187" t="inlineStr">
        <is>
          <t>cm</t>
        </is>
      </c>
      <c r="F3" s="5" t="inlineStr">
        <is>
          <t>Tramos Utilizados =</t>
        </is>
      </c>
      <c r="G3" s="186">
        <f>COUNT(I18:I27)</f>
        <v/>
      </c>
    </row>
    <row r="4" ht="26.4" customHeight="1" s="183">
      <c r="B4" s="1" t="inlineStr">
        <is>
          <t>h (Altura) =</t>
        </is>
      </c>
      <c r="C4" s="189" t="n">
        <v>10</v>
      </c>
      <c r="D4" s="187" t="inlineStr">
        <is>
          <t>cm</t>
        </is>
      </c>
      <c r="F4" s="5" t="inlineStr">
        <is>
          <t>Nodos Utilizados =</t>
        </is>
      </c>
      <c r="G4" s="186">
        <f>IF(G3&gt;0, G3+1, 0)</f>
        <v/>
      </c>
    </row>
    <row r="5" ht="26.4" customHeight="1" s="183">
      <c r="B5" s="1" t="inlineStr">
        <is>
          <t>Área Base A =</t>
        </is>
      </c>
      <c r="C5" s="187">
        <f>C3*C4</f>
        <v/>
      </c>
      <c r="D5" s="187" t="inlineStr">
        <is>
          <t>cm²</t>
        </is>
      </c>
      <c r="E5" s="1" t="inlineStr">
        <is>
          <t>Inercia Base I =</t>
        </is>
      </c>
      <c r="F5" s="189">
        <f>(C3*(C4^3))/12</f>
        <v/>
      </c>
      <c r="G5" s="187" t="inlineStr">
        <is>
          <t>cm⁴</t>
        </is>
      </c>
    </row>
    <row r="7">
      <c r="B7" s="53" t="inlineStr">
        <is>
          <t>2. BARRA COMODÍN / PATRÓN (L0 = 100 cm = 1.00 m) - CONSTANTES MAESTRAS</t>
        </is>
      </c>
      <c r="C7" s="190" t="n"/>
      <c r="D7" s="190" t="n"/>
      <c r="E7" s="190" t="n"/>
      <c r="F7" s="190" t="n"/>
      <c r="G7" s="190" t="n"/>
      <c r="H7" s="191" t="n"/>
      <c r="K7" s="55" t="inlineStr">
        <is>
          <t>MATRIZ DE RIGIDEZ LOCAL DE LA BARRA COMODÍN [k_comodín] (6x6 - L0 = 100 cm)</t>
        </is>
      </c>
      <c r="L7" s="190" t="n"/>
      <c r="M7" s="190" t="n"/>
      <c r="N7" s="190" t="n"/>
      <c r="O7" s="190" t="n"/>
      <c r="P7" s="191" t="n"/>
    </row>
    <row r="8" ht="26.4" customHeight="1" s="183">
      <c r="B8" s="1" t="inlineStr">
        <is>
          <t>Longitud Patrón L0 =</t>
        </is>
      </c>
      <c r="C8" s="189" t="n">
        <v>100</v>
      </c>
      <c r="D8" s="187" t="inlineStr">
        <is>
          <t>cm</t>
        </is>
      </c>
      <c r="F8" s="1" t="inlineStr">
        <is>
          <t>k0_EA = EA/L0 =</t>
        </is>
      </c>
      <c r="G8" s="18">
        <f>$C$2*$C$5/$C$8</f>
        <v/>
      </c>
      <c r="H8" s="187" t="inlineStr">
        <is>
          <t>kgf/cm</t>
        </is>
      </c>
      <c r="K8" s="51" t="inlineStr">
        <is>
          <t>U1X</t>
        </is>
      </c>
      <c r="L8" s="51" t="inlineStr">
        <is>
          <t>U1Y</t>
        </is>
      </c>
      <c r="M8" s="51" t="inlineStr">
        <is>
          <t>U1θ</t>
        </is>
      </c>
      <c r="N8" s="51" t="inlineStr">
        <is>
          <t>U2X</t>
        </is>
      </c>
      <c r="O8" s="51" t="inlineStr">
        <is>
          <t>U2Y</t>
        </is>
      </c>
      <c r="P8" s="51" t="inlineStr">
        <is>
          <t>U2θ</t>
        </is>
      </c>
    </row>
    <row r="9" ht="26.4" customHeight="1" s="183">
      <c r="B9" s="1" t="inlineStr">
        <is>
          <t>Área Patrón A0 =</t>
        </is>
      </c>
      <c r="C9" s="187">
        <f>$C$5</f>
        <v/>
      </c>
      <c r="D9" s="187" t="inlineStr">
        <is>
          <t>cm²</t>
        </is>
      </c>
      <c r="F9" s="1" t="inlineStr">
        <is>
          <t>k0_12EI = 12EI/L0³ =</t>
        </is>
      </c>
      <c r="G9" s="18">
        <f>12*$C$2*$F$5/($C$8^3)</f>
        <v/>
      </c>
      <c r="H9" s="187" t="inlineStr">
        <is>
          <t>kgf/cm</t>
        </is>
      </c>
      <c r="K9" s="8">
        <f>G8</f>
        <v/>
      </c>
      <c r="L9" s="189" t="n">
        <v>0</v>
      </c>
      <c r="M9" s="189" t="n">
        <v>0</v>
      </c>
      <c r="N9" s="189">
        <f>-G8</f>
        <v/>
      </c>
      <c r="O9" s="189" t="n">
        <v>0</v>
      </c>
      <c r="P9" s="189" t="n">
        <v>0</v>
      </c>
    </row>
    <row r="10" ht="26.4" customHeight="1" s="183">
      <c r="B10" s="1" t="inlineStr">
        <is>
          <t>Inercia Patrón I0 =</t>
        </is>
      </c>
      <c r="C10" s="187">
        <f>$F$5</f>
        <v/>
      </c>
      <c r="D10" s="187" t="inlineStr">
        <is>
          <t>cm⁴</t>
        </is>
      </c>
      <c r="F10" s="1" t="inlineStr">
        <is>
          <t>k0_6EI = 6EI/L0² =</t>
        </is>
      </c>
      <c r="G10" s="18">
        <f>6*$C$2*$F$5/($C$8^2)</f>
        <v/>
      </c>
      <c r="H10" s="187" t="inlineStr">
        <is>
          <t>kgf</t>
        </is>
      </c>
      <c r="K10" s="189" t="n">
        <v>0</v>
      </c>
      <c r="L10" s="8">
        <f>G9</f>
        <v/>
      </c>
      <c r="M10" s="189">
        <f>G10</f>
        <v/>
      </c>
      <c r="N10" s="189" t="n">
        <v>0</v>
      </c>
      <c r="O10" s="189">
        <f>-G9</f>
        <v/>
      </c>
      <c r="P10" s="189">
        <f>G10</f>
        <v/>
      </c>
    </row>
    <row r="11" ht="39.6" customHeight="1" s="183">
      <c r="B11" s="1" t="inlineStr">
        <is>
          <t>Módulo Elasticidad E =</t>
        </is>
      </c>
      <c r="C11" s="187">
        <f>$C$2</f>
        <v/>
      </c>
      <c r="D11" s="187" t="inlineStr">
        <is>
          <t>kgf/cm²</t>
        </is>
      </c>
      <c r="F11" s="1" t="inlineStr">
        <is>
          <t>k0_4EI = 4EI/L0 =</t>
        </is>
      </c>
      <c r="G11" s="18">
        <f>4*$C$2*$F$5/$C$8</f>
        <v/>
      </c>
      <c r="H11" s="187" t="inlineStr">
        <is>
          <t>kgf.cm</t>
        </is>
      </c>
      <c r="K11" s="189" t="n">
        <v>0</v>
      </c>
      <c r="L11" s="189">
        <f>G10</f>
        <v/>
      </c>
      <c r="M11" s="8">
        <f>G11</f>
        <v/>
      </c>
      <c r="N11" s="189" t="n">
        <v>0</v>
      </c>
      <c r="O11" s="189">
        <f>-G10</f>
        <v/>
      </c>
      <c r="P11" s="189">
        <f>G12</f>
        <v/>
      </c>
    </row>
    <row r="12" ht="26.4" customHeight="1" s="183">
      <c r="F12" s="1" t="inlineStr">
        <is>
          <t>k0_2EI = 2EI/L0 =</t>
        </is>
      </c>
      <c r="G12" s="18">
        <f>2*$C$2*$F$5/$C$8</f>
        <v/>
      </c>
      <c r="H12" s="187" t="inlineStr">
        <is>
          <t>kgf.cm</t>
        </is>
      </c>
      <c r="K12" s="189">
        <f>-G8</f>
        <v/>
      </c>
      <c r="L12" s="189" t="n">
        <v>0</v>
      </c>
      <c r="M12" s="189" t="n">
        <v>0</v>
      </c>
      <c r="N12" s="8">
        <f>G8</f>
        <v/>
      </c>
      <c r="O12" s="189" t="n">
        <v>0</v>
      </c>
      <c r="P12" s="189" t="n">
        <v>0</v>
      </c>
    </row>
    <row r="13">
      <c r="K13" s="189" t="n">
        <v>0</v>
      </c>
      <c r="L13" s="189">
        <f>-G9</f>
        <v/>
      </c>
      <c r="M13" s="189">
        <f>-G10</f>
        <v/>
      </c>
      <c r="N13" s="189" t="n">
        <v>0</v>
      </c>
      <c r="O13" s="8">
        <f>G9</f>
        <v/>
      </c>
      <c r="P13" s="189">
        <f>-G10</f>
        <v/>
      </c>
    </row>
    <row r="14">
      <c r="K14" s="189" t="n">
        <v>0</v>
      </c>
      <c r="L14" s="189">
        <f>G10</f>
        <v/>
      </c>
      <c r="M14" s="189">
        <f>G12</f>
        <v/>
      </c>
      <c r="N14" s="189" t="n">
        <v>0</v>
      </c>
      <c r="O14" s="189">
        <f>-G10</f>
        <v/>
      </c>
      <c r="P14" s="8">
        <f>G11</f>
        <v/>
      </c>
    </row>
    <row r="16">
      <c r="B16" s="55" t="inlineStr">
        <is>
          <t>3. TABLA DE BARRAS REALES (1 A 10) Y ESCALAMIENTO POR FACTOR DE LONGITUD λ = L / 100</t>
        </is>
      </c>
      <c r="C16" s="190" t="n"/>
      <c r="D16" s="190" t="n"/>
      <c r="E16" s="190" t="n"/>
      <c r="F16" s="190" t="n"/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1" t="n"/>
    </row>
    <row r="17" ht="26.4" customHeight="1" s="183">
      <c r="B17" s="51" t="inlineStr">
        <is>
          <t>Barra</t>
        </is>
      </c>
      <c r="C17" s="51" t="inlineStr">
        <is>
          <t>Xi</t>
        </is>
      </c>
      <c r="D17" s="51" t="inlineStr">
        <is>
          <t>Yi</t>
        </is>
      </c>
      <c r="E17" s="51" t="inlineStr">
        <is>
          <t>Xf</t>
        </is>
      </c>
      <c r="F17" s="51" t="inlineStr">
        <is>
          <t>Yf</t>
        </is>
      </c>
      <c r="G17" s="51" t="inlineStr">
        <is>
          <t>ΔX</t>
        </is>
      </c>
      <c r="H17" s="51" t="inlineStr">
        <is>
          <t>ΔY</t>
        </is>
      </c>
      <c r="I17" s="51" t="inlineStr">
        <is>
          <t>L (cm)</t>
        </is>
      </c>
      <c r="J17" s="51" t="inlineStr">
        <is>
          <t>Factor λ = L/100</t>
        </is>
      </c>
      <c r="K17" s="51" t="inlineStr">
        <is>
          <t>Cosx</t>
        </is>
      </c>
      <c r="L17" s="51" t="inlineStr">
        <is>
          <t>Cosy</t>
        </is>
      </c>
      <c r="M17" s="51" t="inlineStr">
        <is>
          <t>EA/L (=k0_EA/λ)</t>
        </is>
      </c>
      <c r="N17" s="51" t="inlineStr">
        <is>
          <t>12EI/L³ (=k0_12EI/λ³)</t>
        </is>
      </c>
      <c r="O17" s="51" t="inlineStr">
        <is>
          <t>6EI/L² (=k0_6EI/λ²)</t>
        </is>
      </c>
      <c r="P17" s="51" t="inlineStr">
        <is>
          <t>4EI/L (=k0_4EI/λ)</t>
        </is>
      </c>
      <c r="Q17" s="51" t="inlineStr">
        <is>
          <t>2EI/L (=k0_2EI/λ)</t>
        </is>
      </c>
    </row>
    <row r="18">
      <c r="B18" s="187" t="n">
        <v>1</v>
      </c>
      <c r="C18" s="187" t="n">
        <v>0</v>
      </c>
      <c r="D18" s="187" t="n">
        <v>0</v>
      </c>
      <c r="E18" s="187" t="n">
        <v>100</v>
      </c>
      <c r="F18" s="187" t="n">
        <v>0</v>
      </c>
      <c r="G18" s="187">
        <f>IF(OR(C18="",E18=""),"", E18-C18)</f>
        <v/>
      </c>
      <c r="H18" s="187">
        <f>IF(OR(D18="",F18=""),"", F18-D18)</f>
        <v/>
      </c>
      <c r="I18" s="187">
        <f>IF(OR(G18="",H18=""),"", SQRT(G18*G18+H18*H18))</f>
        <v/>
      </c>
      <c r="J18" s="187">
        <f>IF(OR(I18="",I18=0),"", I18/$C$8)</f>
        <v/>
      </c>
      <c r="K18" s="187">
        <f>IF(OR(I18="",I18=0),"", G18/I18)</f>
        <v/>
      </c>
      <c r="L18" s="187">
        <f>IF(OR(I18="",I18=0),"", H18/I18)</f>
        <v/>
      </c>
      <c r="M18" s="187">
        <f>IF(OR(J18="",J18=0),"", $G$8/J18)</f>
        <v/>
      </c>
      <c r="N18" s="187">
        <f>IF(OR(J18="",J18=0),"", $G$9/(J18^3))</f>
        <v/>
      </c>
      <c r="O18" s="187">
        <f>IF(OR(J18="",J18=0),"", $G$10/(J18^2))</f>
        <v/>
      </c>
      <c r="P18" s="187">
        <f>IF(OR(J18="",J18=0),"", $G$11/J18)</f>
        <v/>
      </c>
      <c r="Q18" s="187">
        <f>IF(OR(J18="",J18=0),"", $G$12/J18)</f>
        <v/>
      </c>
    </row>
    <row r="19">
      <c r="B19" s="187" t="n">
        <v>2</v>
      </c>
      <c r="C19" s="187" t="n">
        <v>100</v>
      </c>
      <c r="D19" s="187" t="n">
        <v>0</v>
      </c>
      <c r="E19" s="187" t="n">
        <v>300</v>
      </c>
      <c r="F19" s="187" t="n">
        <v>0</v>
      </c>
      <c r="G19" s="187">
        <f>IF(OR(C19="",E19=""),"", E19-C19)</f>
        <v/>
      </c>
      <c r="H19" s="187">
        <f>IF(OR(D19="",F19=""),"", F19-D19)</f>
        <v/>
      </c>
      <c r="I19" s="187">
        <f>IF(OR(G19="",H19=""),"", SQRT(G19*G19+H19*H19))</f>
        <v/>
      </c>
      <c r="J19" s="187">
        <f>IF(OR(I19="",I19=0),"", I19/$C$8)</f>
        <v/>
      </c>
      <c r="K19" s="187">
        <f>IF(OR(I19="",I19=0),"", G19/I19)</f>
        <v/>
      </c>
      <c r="L19" s="187">
        <f>IF(OR(I19="",I19=0),"", H19/I19)</f>
        <v/>
      </c>
      <c r="M19" s="187">
        <f>IF(OR(J19="",J19=0),"", $G$8/J19)</f>
        <v/>
      </c>
      <c r="N19" s="187">
        <f>IF(OR(J19="",J19=0),"", $G$9/(J19^3))</f>
        <v/>
      </c>
      <c r="O19" s="187">
        <f>IF(OR(J19="",J19=0),"", $G$10/(J19^2))</f>
        <v/>
      </c>
      <c r="P19" s="187">
        <f>IF(OR(J19="",J19=0),"", $G$11/J19)</f>
        <v/>
      </c>
      <c r="Q19" s="187">
        <f>IF(OR(J19="",J19=0),"", $G$12/J19)</f>
        <v/>
      </c>
    </row>
    <row r="20">
      <c r="B20" s="187" t="n">
        <v>3</v>
      </c>
      <c r="C20" s="187" t="n"/>
      <c r="D20" s="187" t="n"/>
      <c r="E20" s="187" t="n"/>
      <c r="F20" s="187" t="n"/>
      <c r="G20" s="187">
        <f>IF(OR(C20="",E20=""),"", E20-C20)</f>
        <v/>
      </c>
      <c r="H20" s="187">
        <f>IF(OR(D20="",F20=""),"", F20-D20)</f>
        <v/>
      </c>
      <c r="I20" s="187">
        <f>IF(OR(G20="",H20=""),"", SQRT(G20*G20+H20*H20))</f>
        <v/>
      </c>
      <c r="J20" s="187">
        <f>IF(OR(I20="",I20=0),"", I20/$C$8)</f>
        <v/>
      </c>
      <c r="K20" s="187">
        <f>IF(OR(I20="",I20=0),"", G20/I20)</f>
        <v/>
      </c>
      <c r="L20" s="187">
        <f>IF(OR(I20="",I20=0),"", H20/I20)</f>
        <v/>
      </c>
      <c r="M20" s="187">
        <f>IF(OR(J20="",J20=0),"", $G$8/J20)</f>
        <v/>
      </c>
      <c r="N20" s="187">
        <f>IF(OR(J20="",J20=0),"", $G$9/(J20^3))</f>
        <v/>
      </c>
      <c r="O20" s="187">
        <f>IF(OR(J20="",J20=0),"", $G$10/(J20^2))</f>
        <v/>
      </c>
      <c r="P20" s="187">
        <f>IF(OR(J20="",J20=0),"", $G$11/J20)</f>
        <v/>
      </c>
      <c r="Q20" s="187">
        <f>IF(OR(J20="",J20=0),"", $G$12/J20)</f>
        <v/>
      </c>
    </row>
    <row r="21">
      <c r="B21" s="187" t="n">
        <v>4</v>
      </c>
      <c r="C21" s="187" t="n"/>
      <c r="D21" s="187" t="n"/>
      <c r="E21" s="187" t="n"/>
      <c r="F21" s="187" t="n"/>
      <c r="G21" s="187">
        <f>IF(OR(C21="",E21=""),"", E21-C21)</f>
        <v/>
      </c>
      <c r="H21" s="187">
        <f>IF(OR(D21="",F21=""),"", F21-D21)</f>
        <v/>
      </c>
      <c r="I21" s="187">
        <f>IF(OR(G21="",H21=""),"", SQRT(G21*G21+H21*H21))</f>
        <v/>
      </c>
      <c r="J21" s="187">
        <f>IF(OR(I21="",I21=0),"", I21/$C$8)</f>
        <v/>
      </c>
      <c r="K21" s="187">
        <f>IF(OR(I21="",I21=0),"", G21/I21)</f>
        <v/>
      </c>
      <c r="L21" s="187">
        <f>IF(OR(I21="",I21=0),"", H21/I21)</f>
        <v/>
      </c>
      <c r="M21" s="187">
        <f>IF(OR(J21="",J21=0),"", $G$8/J21)</f>
        <v/>
      </c>
      <c r="N21" s="187">
        <f>IF(OR(J21="",J21=0),"", $G$9/(J21^3))</f>
        <v/>
      </c>
      <c r="O21" s="187">
        <f>IF(OR(J21="",J21=0),"", $G$10/(J21^2))</f>
        <v/>
      </c>
      <c r="P21" s="187">
        <f>IF(OR(J21="",J21=0),"", $G$11/J21)</f>
        <v/>
      </c>
      <c r="Q21" s="187">
        <f>IF(OR(J21="",J21=0),"", $G$12/J21)</f>
        <v/>
      </c>
    </row>
    <row r="22">
      <c r="B22" s="187" t="n">
        <v>5</v>
      </c>
      <c r="C22" s="187" t="n"/>
      <c r="D22" s="187" t="n"/>
      <c r="E22" s="187" t="n"/>
      <c r="F22" s="187" t="n"/>
      <c r="G22" s="187">
        <f>IF(OR(C22="",E22=""),"", E22-C22)</f>
        <v/>
      </c>
      <c r="H22" s="187">
        <f>IF(OR(D22="",F22=""),"", F22-D22)</f>
        <v/>
      </c>
      <c r="I22" s="187">
        <f>IF(OR(G22="",H22=""),"", SQRT(G22*G22+H22*H22))</f>
        <v/>
      </c>
      <c r="J22" s="187">
        <f>IF(OR(I22="",I22=0),"", I22/$C$8)</f>
        <v/>
      </c>
      <c r="K22" s="187">
        <f>IF(OR(I22="",I22=0),"", G22/I22)</f>
        <v/>
      </c>
      <c r="L22" s="187">
        <f>IF(OR(I22="",I22=0),"", H22/I22)</f>
        <v/>
      </c>
      <c r="M22" s="187">
        <f>IF(OR(J22="",J22=0),"", $G$8/J22)</f>
        <v/>
      </c>
      <c r="N22" s="187">
        <f>IF(OR(J22="",J22=0),"", $G$9/(J22^3))</f>
        <v/>
      </c>
      <c r="O22" s="187">
        <f>IF(OR(J22="",J22=0),"", $G$10/(J22^2))</f>
        <v/>
      </c>
      <c r="P22" s="187">
        <f>IF(OR(J22="",J22=0),"", $G$11/J22)</f>
        <v/>
      </c>
      <c r="Q22" s="187">
        <f>IF(OR(J22="",J22=0),"", $G$12/J22)</f>
        <v/>
      </c>
    </row>
    <row r="23">
      <c r="B23" s="187" t="n">
        <v>6</v>
      </c>
      <c r="C23" s="187" t="n"/>
      <c r="D23" s="187" t="n"/>
      <c r="E23" s="187" t="n"/>
      <c r="F23" s="187" t="n"/>
      <c r="G23" s="187">
        <f>IF(OR(C23="",E23=""),"", E23-C23)</f>
        <v/>
      </c>
      <c r="H23" s="187">
        <f>IF(OR(D23="",F23=""),"", F23-D23)</f>
        <v/>
      </c>
      <c r="I23" s="187">
        <f>IF(OR(G23="",H23=""),"", SQRT(G23*G23+H23*H23))</f>
        <v/>
      </c>
      <c r="J23" s="187">
        <f>IF(OR(I23="",I23=0),"", I23/$C$8)</f>
        <v/>
      </c>
      <c r="K23" s="187">
        <f>IF(OR(I23="",I23=0),"", G23/I23)</f>
        <v/>
      </c>
      <c r="L23" s="187">
        <f>IF(OR(I23="",I23=0),"", H23/I23)</f>
        <v/>
      </c>
      <c r="M23" s="187">
        <f>IF(OR(J23="",J23=0),"", $G$8/J23)</f>
        <v/>
      </c>
      <c r="N23" s="187">
        <f>IF(OR(J23="",J23=0),"", $G$9/(J23^3))</f>
        <v/>
      </c>
      <c r="O23" s="187">
        <f>IF(OR(J23="",J23=0),"", $G$10/(J23^2))</f>
        <v/>
      </c>
      <c r="P23" s="187">
        <f>IF(OR(J23="",J23=0),"", $G$11/J23)</f>
        <v/>
      </c>
      <c r="Q23" s="187">
        <f>IF(OR(J23="",J23=0),"", $G$12/J23)</f>
        <v/>
      </c>
    </row>
    <row r="24">
      <c r="B24" s="187" t="n">
        <v>7</v>
      </c>
      <c r="C24" s="187" t="n"/>
      <c r="D24" s="187" t="n"/>
      <c r="E24" s="187" t="n"/>
      <c r="F24" s="187" t="n"/>
      <c r="G24" s="187">
        <f>IF(OR(C24="",E24=""),"", E24-C24)</f>
        <v/>
      </c>
      <c r="H24" s="187">
        <f>IF(OR(D24="",F24=""),"", F24-D24)</f>
        <v/>
      </c>
      <c r="I24" s="187">
        <f>IF(OR(G24="",H24=""),"", SQRT(G24*G24+H24*H24))</f>
        <v/>
      </c>
      <c r="J24" s="187">
        <f>IF(OR(I24="",I24=0),"", I24/$C$8)</f>
        <v/>
      </c>
      <c r="K24" s="187">
        <f>IF(OR(I24="",I24=0),"", G24/I24)</f>
        <v/>
      </c>
      <c r="L24" s="187">
        <f>IF(OR(I24="",I24=0),"", H24/I24)</f>
        <v/>
      </c>
      <c r="M24" s="187">
        <f>IF(OR(J24="",J24=0),"", $G$8/J24)</f>
        <v/>
      </c>
      <c r="N24" s="187">
        <f>IF(OR(J24="",J24=0),"", $G$9/(J24^3))</f>
        <v/>
      </c>
      <c r="O24" s="187">
        <f>IF(OR(J24="",J24=0),"", $G$10/(J24^2))</f>
        <v/>
      </c>
      <c r="P24" s="187">
        <f>IF(OR(J24="",J24=0),"", $G$11/J24)</f>
        <v/>
      </c>
      <c r="Q24" s="187">
        <f>IF(OR(J24="",J24=0),"", $G$12/J24)</f>
        <v/>
      </c>
    </row>
    <row r="25">
      <c r="B25" s="187" t="n">
        <v>8</v>
      </c>
      <c r="C25" s="187" t="n"/>
      <c r="D25" s="187" t="n"/>
      <c r="E25" s="187" t="n"/>
      <c r="F25" s="187" t="n"/>
      <c r="G25" s="187">
        <f>IF(OR(C25="",E25=""),"", E25-C25)</f>
        <v/>
      </c>
      <c r="H25" s="187">
        <f>IF(OR(D25="",F25=""),"", F25-D25)</f>
        <v/>
      </c>
      <c r="I25" s="187">
        <f>IF(OR(G25="",H25=""),"", SQRT(G25*G25+H25*H25))</f>
        <v/>
      </c>
      <c r="J25" s="187">
        <f>IF(OR(I25="",I25=0),"", I25/$C$8)</f>
        <v/>
      </c>
      <c r="K25" s="187">
        <f>IF(OR(I25="",I25=0),"", G25/I25)</f>
        <v/>
      </c>
      <c r="L25" s="187">
        <f>IF(OR(I25="",I25=0),"", H25/I25)</f>
        <v/>
      </c>
      <c r="M25" s="187">
        <f>IF(OR(J25="",J25=0),"", $G$8/J25)</f>
        <v/>
      </c>
      <c r="N25" s="187">
        <f>IF(OR(J25="",J25=0),"", $G$9/(J25^3))</f>
        <v/>
      </c>
      <c r="O25" s="187">
        <f>IF(OR(J25="",J25=0),"", $G$10/(J25^2))</f>
        <v/>
      </c>
      <c r="P25" s="187">
        <f>IF(OR(J25="",J25=0),"", $G$11/J25)</f>
        <v/>
      </c>
      <c r="Q25" s="187">
        <f>IF(OR(J25="",J25=0),"", $G$12/J25)</f>
        <v/>
      </c>
    </row>
    <row r="26">
      <c r="B26" s="187" t="n">
        <v>9</v>
      </c>
      <c r="C26" s="187" t="n"/>
      <c r="D26" s="187" t="n"/>
      <c r="E26" s="187" t="n"/>
      <c r="F26" s="187" t="n"/>
      <c r="G26" s="187">
        <f>IF(OR(C26="",E26=""),"", E26-C26)</f>
        <v/>
      </c>
      <c r="H26" s="187">
        <f>IF(OR(D26="",F26=""),"", F26-D26)</f>
        <v/>
      </c>
      <c r="I26" s="187">
        <f>IF(OR(G26="",H26=""),"", SQRT(G26*G26+H26*H26))</f>
        <v/>
      </c>
      <c r="J26" s="187">
        <f>IF(OR(I26="",I26=0),"", I26/$C$8)</f>
        <v/>
      </c>
      <c r="K26" s="187">
        <f>IF(OR(I26="",I26=0),"", G26/I26)</f>
        <v/>
      </c>
      <c r="L26" s="187">
        <f>IF(OR(I26="",I26=0),"", H26/I26)</f>
        <v/>
      </c>
      <c r="M26" s="187">
        <f>IF(OR(J26="",J26=0),"", $G$8/J26)</f>
        <v/>
      </c>
      <c r="N26" s="187">
        <f>IF(OR(J26="",J26=0),"", $G$9/(J26^3))</f>
        <v/>
      </c>
      <c r="O26" s="187">
        <f>IF(OR(J26="",J26=0),"", $G$10/(J26^2))</f>
        <v/>
      </c>
      <c r="P26" s="187">
        <f>IF(OR(J26="",J26=0),"", $G$11/J26)</f>
        <v/>
      </c>
      <c r="Q26" s="187">
        <f>IF(OR(J26="",J26=0),"", $G$12/J26)</f>
        <v/>
      </c>
    </row>
    <row r="27">
      <c r="B27" s="187" t="n">
        <v>10</v>
      </c>
      <c r="C27" s="187" t="n"/>
      <c r="D27" s="187" t="n"/>
      <c r="E27" s="187" t="n"/>
      <c r="F27" s="187" t="n"/>
      <c r="G27" s="187">
        <f>IF(OR(C27="",E27=""),"", E27-C27)</f>
        <v/>
      </c>
      <c r="H27" s="187">
        <f>IF(OR(D27="",F27=""),"", F27-D27)</f>
        <v/>
      </c>
      <c r="I27" s="187">
        <f>IF(OR(G27="",H27=""),"", SQRT(G27*G27+H27*H27))</f>
        <v/>
      </c>
      <c r="J27" s="187">
        <f>IF(OR(I27="",I27=0),"", I27/$C$8)</f>
        <v/>
      </c>
      <c r="K27" s="187">
        <f>IF(OR(I27="",I27=0),"", G27/I27)</f>
        <v/>
      </c>
      <c r="L27" s="187">
        <f>IF(OR(I27="",I27=0),"", H27/I27)</f>
        <v/>
      </c>
      <c r="M27" s="187">
        <f>IF(OR(J27="",J27=0),"", $G$8/J27)</f>
        <v/>
      </c>
      <c r="N27" s="187">
        <f>IF(OR(J27="",J27=0),"", $G$9/(J27^3))</f>
        <v/>
      </c>
      <c r="O27" s="187">
        <f>IF(OR(J27="",J27=0),"", $G$10/(J27^2))</f>
        <v/>
      </c>
      <c r="P27" s="187">
        <f>IF(OR(J27="",J27=0),"", $G$11/J27)</f>
        <v/>
      </c>
      <c r="Q27" s="187">
        <f>IF(OR(J27="",J27=0),"", $G$12/J27)</f>
        <v/>
      </c>
    </row>
    <row r="29">
      <c r="B29" s="51" t="inlineStr">
        <is>
          <t>Barra</t>
        </is>
      </c>
      <c r="C29" s="51" t="inlineStr">
        <is>
          <t>INICIO</t>
        </is>
      </c>
      <c r="D29" s="190" t="n"/>
      <c r="E29" s="191" t="n"/>
      <c r="F29" s="51" t="inlineStr">
        <is>
          <t>FIN</t>
        </is>
      </c>
      <c r="G29" s="190" t="n"/>
      <c r="H29" s="191" t="n"/>
    </row>
    <row r="30">
      <c r="B30" s="192" t="n"/>
      <c r="C30" s="51" t="inlineStr">
        <is>
          <t>X</t>
        </is>
      </c>
      <c r="D30" s="51" t="inlineStr">
        <is>
          <t>Y</t>
        </is>
      </c>
      <c r="E30" s="51" t="inlineStr">
        <is>
          <t>θ</t>
        </is>
      </c>
      <c r="F30" s="51" t="inlineStr">
        <is>
          <t>X</t>
        </is>
      </c>
      <c r="G30" s="51" t="inlineStr">
        <is>
          <t>Y</t>
        </is>
      </c>
      <c r="H30" s="51" t="inlineStr">
        <is>
          <t>θ</t>
        </is>
      </c>
    </row>
    <row r="31">
      <c r="B31" s="187" t="n">
        <v>1</v>
      </c>
      <c r="C31" s="187">
        <f>IF(I18="","", 1)</f>
        <v/>
      </c>
      <c r="D31" s="187">
        <f>IF(I18="","", 1)</f>
        <v/>
      </c>
      <c r="E31" s="187">
        <f>IF(I18="","", 1)</f>
        <v/>
      </c>
      <c r="F31" s="187">
        <f>IF(I18="","", 2)</f>
        <v/>
      </c>
      <c r="G31" s="187">
        <f>IF(I18="","", 2)</f>
        <v/>
      </c>
      <c r="H31" s="187">
        <f>IF(I18="","", 2)</f>
        <v/>
      </c>
    </row>
    <row r="32">
      <c r="B32" s="187" t="n">
        <v>2</v>
      </c>
      <c r="C32" s="187">
        <f>IF(I19="","", 2)</f>
        <v/>
      </c>
      <c r="D32" s="187">
        <f>IF(I19="","", 2)</f>
        <v/>
      </c>
      <c r="E32" s="187">
        <f>IF(I19="","", 2)</f>
        <v/>
      </c>
      <c r="F32" s="187">
        <f>IF(I19="","", 3)</f>
        <v/>
      </c>
      <c r="G32" s="187">
        <f>IF(I19="","", 3)</f>
        <v/>
      </c>
      <c r="H32" s="187">
        <f>IF(I19="","", 3)</f>
        <v/>
      </c>
    </row>
    <row r="33">
      <c r="B33" s="187" t="n">
        <v>3</v>
      </c>
      <c r="C33" s="187">
        <f>IF(I20="","", 3)</f>
        <v/>
      </c>
      <c r="D33" s="187">
        <f>IF(I20="","", 3)</f>
        <v/>
      </c>
      <c r="E33" s="187">
        <f>IF(I20="","", 3)</f>
        <v/>
      </c>
      <c r="F33" s="187">
        <f>IF(I20="","", 4)</f>
        <v/>
      </c>
      <c r="G33" s="187">
        <f>IF(I20="","", 4)</f>
        <v/>
      </c>
      <c r="H33" s="187">
        <f>IF(I20="","", 4)</f>
        <v/>
      </c>
    </row>
    <row r="34">
      <c r="B34" s="187" t="n">
        <v>4</v>
      </c>
      <c r="C34" s="187">
        <f>IF(I21="","", 4)</f>
        <v/>
      </c>
      <c r="D34" s="187">
        <f>IF(I21="","", 4)</f>
        <v/>
      </c>
      <c r="E34" s="187">
        <f>IF(I21="","", 4)</f>
        <v/>
      </c>
      <c r="F34" s="187">
        <f>IF(I21="","", 5)</f>
        <v/>
      </c>
      <c r="G34" s="187">
        <f>IF(I21="","", 5)</f>
        <v/>
      </c>
      <c r="H34" s="187">
        <f>IF(I21="","", 5)</f>
        <v/>
      </c>
    </row>
    <row r="35">
      <c r="B35" s="187" t="n">
        <v>5</v>
      </c>
      <c r="C35" s="187">
        <f>IF(I22="","", 5)</f>
        <v/>
      </c>
      <c r="D35" s="187">
        <f>IF(I22="","", 5)</f>
        <v/>
      </c>
      <c r="E35" s="187">
        <f>IF(I22="","", 5)</f>
        <v/>
      </c>
      <c r="F35" s="187">
        <f>IF(I22="","", 6)</f>
        <v/>
      </c>
      <c r="G35" s="187">
        <f>IF(I22="","", 6)</f>
        <v/>
      </c>
      <c r="H35" s="187">
        <f>IF(I22="","", 6)</f>
        <v/>
      </c>
    </row>
    <row r="36">
      <c r="B36" s="187" t="n">
        <v>6</v>
      </c>
      <c r="C36" s="187">
        <f>IF(I23="","", 6)</f>
        <v/>
      </c>
      <c r="D36" s="187">
        <f>IF(I23="","", 6)</f>
        <v/>
      </c>
      <c r="E36" s="187">
        <f>IF(I23="","", 6)</f>
        <v/>
      </c>
      <c r="F36" s="187">
        <f>IF(I23="","", 7)</f>
        <v/>
      </c>
      <c r="G36" s="187">
        <f>IF(I23="","", 7)</f>
        <v/>
      </c>
      <c r="H36" s="187">
        <f>IF(I23="","", 7)</f>
        <v/>
      </c>
    </row>
    <row r="37">
      <c r="B37" s="187" t="n">
        <v>7</v>
      </c>
      <c r="C37" s="187">
        <f>IF(I24="","", 7)</f>
        <v/>
      </c>
      <c r="D37" s="187">
        <f>IF(I24="","", 7)</f>
        <v/>
      </c>
      <c r="E37" s="187">
        <f>IF(I24="","", 7)</f>
        <v/>
      </c>
      <c r="F37" s="187">
        <f>IF(I24="","", 8)</f>
        <v/>
      </c>
      <c r="G37" s="187">
        <f>IF(I24="","", 8)</f>
        <v/>
      </c>
      <c r="H37" s="187">
        <f>IF(I24="","", 8)</f>
        <v/>
      </c>
    </row>
    <row r="38">
      <c r="B38" s="187" t="n">
        <v>8</v>
      </c>
      <c r="C38" s="187">
        <f>IF(I25="","", 8)</f>
        <v/>
      </c>
      <c r="D38" s="187">
        <f>IF(I25="","", 8)</f>
        <v/>
      </c>
      <c r="E38" s="187">
        <f>IF(I25="","", 8)</f>
        <v/>
      </c>
      <c r="F38" s="187">
        <f>IF(I25="","", 9)</f>
        <v/>
      </c>
      <c r="G38" s="187">
        <f>IF(I25="","", 9)</f>
        <v/>
      </c>
      <c r="H38" s="187">
        <f>IF(I25="","", 9)</f>
        <v/>
      </c>
    </row>
    <row r="39">
      <c r="B39" s="187" t="n">
        <v>9</v>
      </c>
      <c r="C39" s="187">
        <f>IF(I26="","", 9)</f>
        <v/>
      </c>
      <c r="D39" s="187">
        <f>IF(I26="","", 9)</f>
        <v/>
      </c>
      <c r="E39" s="187">
        <f>IF(I26="","", 9)</f>
        <v/>
      </c>
      <c r="F39" s="187">
        <f>IF(I26="","", 10)</f>
        <v/>
      </c>
      <c r="G39" s="187">
        <f>IF(I26="","", 10)</f>
        <v/>
      </c>
      <c r="H39" s="187">
        <f>IF(I26="","", 10)</f>
        <v/>
      </c>
    </row>
    <row r="40">
      <c r="B40" s="187" t="n">
        <v>10</v>
      </c>
      <c r="C40" s="187">
        <f>IF(I27="","", 10)</f>
        <v/>
      </c>
      <c r="D40" s="187">
        <f>IF(I27="","", 10)</f>
        <v/>
      </c>
      <c r="E40" s="187">
        <f>IF(I27="","", 10)</f>
        <v/>
      </c>
      <c r="F40" s="187">
        <f>IF(I27="","", 11)</f>
        <v/>
      </c>
      <c r="G40" s="187">
        <f>IF(I27="","", 11)</f>
        <v/>
      </c>
      <c r="H40" s="187">
        <f>IF(I27="","", 11)</f>
        <v/>
      </c>
    </row>
    <row r="43">
      <c r="B43" s="51">
        <f>IF(C31="","", CONCATENATE("U",C31,C$30))</f>
        <v/>
      </c>
      <c r="C43" s="51">
        <f>IF(D31="","", CONCATENATE("U",D31,D$30))</f>
        <v/>
      </c>
      <c r="D43" s="51">
        <f>IF(E31="","", CONCATENATE("U",E31,E$30))</f>
        <v/>
      </c>
      <c r="E43" s="51">
        <f>IF(F31="","", CONCATENATE("U",F31,F$30))</f>
        <v/>
      </c>
      <c r="F43" s="51">
        <f>IF(G31="","", CONCATENATE("U",G31,G$30))</f>
        <v/>
      </c>
      <c r="G43" s="51">
        <f>IF(H31="","", CONCATENATE("U",H31,H$30))</f>
        <v/>
      </c>
    </row>
    <row r="44">
      <c r="B44" s="8">
        <f>IF(I18="", 0, M18*K18*K18+N18*L18*L18)</f>
        <v/>
      </c>
      <c r="C44" s="189">
        <f>IF(I18="", 0, (M18-N18)*(K18*L18))</f>
        <v/>
      </c>
      <c r="D44" s="189">
        <f>IF(I18="", 0, -O18*L18)</f>
        <v/>
      </c>
      <c r="E44" s="189">
        <f>-B44</f>
        <v/>
      </c>
      <c r="F44" s="189">
        <f>-C44</f>
        <v/>
      </c>
      <c r="G44" s="189">
        <f>D44</f>
        <v/>
      </c>
      <c r="H44" s="51">
        <f>B43</f>
        <v/>
      </c>
    </row>
    <row r="45">
      <c r="B45" s="189">
        <f>C44</f>
        <v/>
      </c>
      <c r="C45" s="8">
        <f>IF(I18="", 0, M18*L18*L18+N18*K18*K18)</f>
        <v/>
      </c>
      <c r="D45" s="189">
        <f>IF(I18="", 0, O18*K18)</f>
        <v/>
      </c>
      <c r="E45" s="189">
        <f>-B45</f>
        <v/>
      </c>
      <c r="F45" s="189">
        <f>-C45</f>
        <v/>
      </c>
      <c r="G45" s="189">
        <f>D45</f>
        <v/>
      </c>
      <c r="H45" s="51">
        <f>C43</f>
        <v/>
      </c>
    </row>
    <row r="46">
      <c r="A46" s="118" t="inlineStr">
        <is>
          <t>K1 =</t>
        </is>
      </c>
      <c r="B46" s="189">
        <f>D44</f>
        <v/>
      </c>
      <c r="C46" s="189">
        <f>D45</f>
        <v/>
      </c>
      <c r="D46" s="8">
        <f>IF(I18="", 0, P18)</f>
        <v/>
      </c>
      <c r="E46" s="189">
        <f>-B46</f>
        <v/>
      </c>
      <c r="F46" s="189">
        <f>-C46</f>
        <v/>
      </c>
      <c r="G46" s="189">
        <f>IF(I18="", 0, Q18)</f>
        <v/>
      </c>
      <c r="H46" s="51">
        <f>D43</f>
        <v/>
      </c>
    </row>
    <row r="47">
      <c r="B47" s="189">
        <f>E44</f>
        <v/>
      </c>
      <c r="C47" s="189">
        <f>E45</f>
        <v/>
      </c>
      <c r="D47" s="189">
        <f>E46</f>
        <v/>
      </c>
      <c r="E47" s="8">
        <f>B44</f>
        <v/>
      </c>
      <c r="F47" s="189">
        <f>C44</f>
        <v/>
      </c>
      <c r="G47" s="189">
        <f>-D44</f>
        <v/>
      </c>
      <c r="H47" s="51">
        <f>E43</f>
        <v/>
      </c>
    </row>
    <row r="48">
      <c r="B48" s="189">
        <f>F44</f>
        <v/>
      </c>
      <c r="C48" s="189">
        <f>F45</f>
        <v/>
      </c>
      <c r="D48" s="189">
        <f>F46</f>
        <v/>
      </c>
      <c r="E48" s="189">
        <f>F47</f>
        <v/>
      </c>
      <c r="F48" s="8">
        <f>C45</f>
        <v/>
      </c>
      <c r="G48" s="189">
        <f>-D45</f>
        <v/>
      </c>
      <c r="H48" s="51">
        <f>F43</f>
        <v/>
      </c>
    </row>
    <row r="49">
      <c r="B49" s="189">
        <f>G44</f>
        <v/>
      </c>
      <c r="C49" s="189">
        <f>G45</f>
        <v/>
      </c>
      <c r="D49" s="189">
        <f>G46</f>
        <v/>
      </c>
      <c r="E49" s="189">
        <f>G47</f>
        <v/>
      </c>
      <c r="F49" s="189">
        <f>G48</f>
        <v/>
      </c>
      <c r="G49" s="8">
        <f>D46</f>
        <v/>
      </c>
      <c r="H49" s="51">
        <f>G43</f>
        <v/>
      </c>
    </row>
    <row r="51">
      <c r="B51" s="51" t="inlineStr">
        <is>
          <t>U1X</t>
        </is>
      </c>
      <c r="C51" s="51" t="inlineStr">
        <is>
          <t>U1Y</t>
        </is>
      </c>
      <c r="D51" s="51" t="inlineStr">
        <is>
          <t>U1θ</t>
        </is>
      </c>
      <c r="E51" s="51" t="inlineStr">
        <is>
          <t>U2X</t>
        </is>
      </c>
      <c r="F51" s="51" t="inlineStr">
        <is>
          <t>U2Y</t>
        </is>
      </c>
      <c r="G51" s="51" t="inlineStr">
        <is>
          <t>U2θ</t>
        </is>
      </c>
      <c r="H51" s="51" t="inlineStr">
        <is>
          <t>U3X</t>
        </is>
      </c>
      <c r="I51" s="51" t="inlineStr">
        <is>
          <t>U3Y</t>
        </is>
      </c>
      <c r="J51" s="51" t="inlineStr">
        <is>
          <t>U3θ</t>
        </is>
      </c>
      <c r="K51" s="51" t="inlineStr">
        <is>
          <t>U4X</t>
        </is>
      </c>
      <c r="L51" s="51" t="inlineStr">
        <is>
          <t>U4Y</t>
        </is>
      </c>
      <c r="M51" s="51" t="inlineStr">
        <is>
          <t>U4θ</t>
        </is>
      </c>
      <c r="N51" s="51" t="inlineStr">
        <is>
          <t>U5X</t>
        </is>
      </c>
      <c r="O51" s="51" t="inlineStr">
        <is>
          <t>U5Y</t>
        </is>
      </c>
      <c r="P51" s="51" t="inlineStr">
        <is>
          <t>U5θ</t>
        </is>
      </c>
      <c r="Q51" s="51" t="inlineStr">
        <is>
          <t>U6X</t>
        </is>
      </c>
      <c r="R51" s="51" t="inlineStr">
        <is>
          <t>U6Y</t>
        </is>
      </c>
      <c r="S51" s="51" t="inlineStr">
        <is>
          <t>U6θ</t>
        </is>
      </c>
      <c r="T51" s="51" t="inlineStr">
        <is>
          <t>U7X</t>
        </is>
      </c>
      <c r="U51" s="51" t="inlineStr">
        <is>
          <t>U7Y</t>
        </is>
      </c>
      <c r="V51" s="51" t="inlineStr">
        <is>
          <t>U7θ</t>
        </is>
      </c>
      <c r="W51" s="51" t="inlineStr">
        <is>
          <t>U8X</t>
        </is>
      </c>
      <c r="X51" s="51" t="inlineStr">
        <is>
          <t>U8Y</t>
        </is>
      </c>
      <c r="Y51" s="51" t="inlineStr">
        <is>
          <t>U8θ</t>
        </is>
      </c>
      <c r="Z51" s="51" t="inlineStr">
        <is>
          <t>U9X</t>
        </is>
      </c>
      <c r="AA51" s="51" t="inlineStr">
        <is>
          <t>U9Y</t>
        </is>
      </c>
      <c r="AB51" s="51" t="inlineStr">
        <is>
          <t>U9θ</t>
        </is>
      </c>
      <c r="AC51" s="51" t="inlineStr">
        <is>
          <t>U10X</t>
        </is>
      </c>
      <c r="AD51" s="51" t="inlineStr">
        <is>
          <t>U10Y</t>
        </is>
      </c>
      <c r="AE51" s="51" t="inlineStr">
        <is>
          <t>U10θ</t>
        </is>
      </c>
      <c r="AF51" s="51" t="inlineStr">
        <is>
          <t>U11X</t>
        </is>
      </c>
      <c r="AG51" s="51" t="inlineStr">
        <is>
          <t>U11Y</t>
        </is>
      </c>
      <c r="AH51" s="51" t="inlineStr">
        <is>
          <t>U11θ</t>
        </is>
      </c>
    </row>
    <row r="52">
      <c r="B52" s="189">
        <f>B44</f>
        <v/>
      </c>
      <c r="C52" s="189">
        <f>C44</f>
        <v/>
      </c>
      <c r="D52" s="189">
        <f>D44</f>
        <v/>
      </c>
      <c r="E52" s="189">
        <f>E44</f>
        <v/>
      </c>
      <c r="F52" s="189">
        <f>F44</f>
        <v/>
      </c>
      <c r="G52" s="189">
        <f>G44</f>
        <v/>
      </c>
      <c r="H52" s="189" t="n"/>
      <c r="I52" s="189" t="n"/>
      <c r="J52" s="189" t="n"/>
      <c r="K52" s="189" t="n"/>
      <c r="L52" s="189" t="n"/>
      <c r="M52" s="189" t="n"/>
      <c r="N52" s="189" t="n"/>
      <c r="O52" s="189" t="n"/>
      <c r="P52" s="189" t="n"/>
      <c r="Q52" s="189" t="n"/>
      <c r="R52" s="189" t="n"/>
      <c r="S52" s="189" t="n"/>
      <c r="T52" s="189" t="n"/>
      <c r="U52" s="189" t="n"/>
      <c r="V52" s="189" t="n"/>
      <c r="W52" s="189" t="n"/>
      <c r="X52" s="189" t="n"/>
      <c r="Y52" s="189" t="n"/>
      <c r="Z52" s="189" t="n"/>
      <c r="AA52" s="189" t="n"/>
      <c r="AB52" s="189" t="n"/>
      <c r="AC52" s="189" t="n"/>
      <c r="AD52" s="189" t="n"/>
      <c r="AE52" s="189" t="n"/>
      <c r="AF52" s="189" t="n"/>
      <c r="AG52" s="189" t="n"/>
      <c r="AH52" s="189" t="n"/>
      <c r="AI52" s="51" t="inlineStr">
        <is>
          <t>U1X</t>
        </is>
      </c>
    </row>
    <row r="53">
      <c r="B53" s="189">
        <f>B45</f>
        <v/>
      </c>
      <c r="C53" s="189">
        <f>C45</f>
        <v/>
      </c>
      <c r="D53" s="189">
        <f>D45</f>
        <v/>
      </c>
      <c r="E53" s="189">
        <f>E45</f>
        <v/>
      </c>
      <c r="F53" s="189">
        <f>F45</f>
        <v/>
      </c>
      <c r="G53" s="189">
        <f>G45</f>
        <v/>
      </c>
      <c r="H53" s="189" t="n"/>
      <c r="I53" s="189" t="n"/>
      <c r="J53" s="189" t="n"/>
      <c r="K53" s="189" t="n"/>
      <c r="L53" s="189" t="n"/>
      <c r="M53" s="189" t="n"/>
      <c r="N53" s="189" t="n"/>
      <c r="O53" s="189" t="n"/>
      <c r="P53" s="189" t="n"/>
      <c r="Q53" s="189" t="n"/>
      <c r="R53" s="189" t="n"/>
      <c r="S53" s="189" t="n"/>
      <c r="T53" s="189" t="n"/>
      <c r="U53" s="189" t="n"/>
      <c r="V53" s="189" t="n"/>
      <c r="W53" s="189" t="n"/>
      <c r="X53" s="189" t="n"/>
      <c r="Y53" s="189" t="n"/>
      <c r="Z53" s="189" t="n"/>
      <c r="AA53" s="189" t="n"/>
      <c r="AB53" s="189" t="n"/>
      <c r="AC53" s="189" t="n"/>
      <c r="AD53" s="189" t="n"/>
      <c r="AE53" s="189" t="n"/>
      <c r="AF53" s="189" t="n"/>
      <c r="AG53" s="189" t="n"/>
      <c r="AH53" s="189" t="n"/>
      <c r="AI53" s="51" t="inlineStr">
        <is>
          <t>U1Y</t>
        </is>
      </c>
    </row>
    <row r="54">
      <c r="B54" s="189">
        <f>B46</f>
        <v/>
      </c>
      <c r="C54" s="189">
        <f>C46</f>
        <v/>
      </c>
      <c r="D54" s="189">
        <f>D46</f>
        <v/>
      </c>
      <c r="E54" s="189">
        <f>E46</f>
        <v/>
      </c>
      <c r="F54" s="189">
        <f>F46</f>
        <v/>
      </c>
      <c r="G54" s="189">
        <f>G46</f>
        <v/>
      </c>
      <c r="H54" s="189" t="n"/>
      <c r="I54" s="189" t="n"/>
      <c r="J54" s="189" t="n"/>
      <c r="K54" s="189" t="n"/>
      <c r="L54" s="189" t="n"/>
      <c r="M54" s="189" t="n"/>
      <c r="N54" s="189" t="n"/>
      <c r="O54" s="189" t="n"/>
      <c r="P54" s="189" t="n"/>
      <c r="Q54" s="189" t="n"/>
      <c r="R54" s="189" t="n"/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51" t="inlineStr">
        <is>
          <t>U1θ</t>
        </is>
      </c>
    </row>
    <row r="55">
      <c r="B55" s="189">
        <f>B47</f>
        <v/>
      </c>
      <c r="C55" s="189">
        <f>C47</f>
        <v/>
      </c>
      <c r="D55" s="189">
        <f>D47</f>
        <v/>
      </c>
      <c r="E55" s="189">
        <f>E47</f>
        <v/>
      </c>
      <c r="F55" s="189">
        <f>F47</f>
        <v/>
      </c>
      <c r="G55" s="189">
        <f>G47</f>
        <v/>
      </c>
      <c r="H55" s="189" t="n"/>
      <c r="I55" s="189" t="n"/>
      <c r="J55" s="189" t="n"/>
      <c r="K55" s="189" t="n"/>
      <c r="L55" s="189" t="n"/>
      <c r="M55" s="189" t="n"/>
      <c r="N55" s="189" t="n"/>
      <c r="O55" s="189" t="n"/>
      <c r="P55" s="189" t="n"/>
      <c r="Q55" s="189" t="n"/>
      <c r="R55" s="189" t="n"/>
      <c r="S55" s="189" t="n"/>
      <c r="T55" s="189" t="n"/>
      <c r="U55" s="189" t="n"/>
      <c r="V55" s="189" t="n"/>
      <c r="W55" s="189" t="n"/>
      <c r="X55" s="189" t="n"/>
      <c r="Y55" s="189" t="n"/>
      <c r="Z55" s="189" t="n"/>
      <c r="AA55" s="189" t="n"/>
      <c r="AB55" s="189" t="n"/>
      <c r="AC55" s="189" t="n"/>
      <c r="AD55" s="189" t="n"/>
      <c r="AE55" s="189" t="n"/>
      <c r="AF55" s="189" t="n"/>
      <c r="AG55" s="189" t="n"/>
      <c r="AH55" s="189" t="n"/>
      <c r="AI55" s="51" t="inlineStr">
        <is>
          <t>U2X</t>
        </is>
      </c>
    </row>
    <row r="56">
      <c r="B56" s="189">
        <f>B48</f>
        <v/>
      </c>
      <c r="C56" s="189">
        <f>C48</f>
        <v/>
      </c>
      <c r="D56" s="189">
        <f>D48</f>
        <v/>
      </c>
      <c r="E56" s="189">
        <f>E48</f>
        <v/>
      </c>
      <c r="F56" s="189">
        <f>F48</f>
        <v/>
      </c>
      <c r="G56" s="189">
        <f>G48</f>
        <v/>
      </c>
      <c r="H56" s="189" t="n"/>
      <c r="I56" s="189" t="n"/>
      <c r="J56" s="189" t="n"/>
      <c r="K56" s="189" t="n"/>
      <c r="L56" s="189" t="n"/>
      <c r="M56" s="189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51" t="inlineStr">
        <is>
          <t>U2Y</t>
        </is>
      </c>
    </row>
    <row r="57">
      <c r="B57" s="189">
        <f>B49</f>
        <v/>
      </c>
      <c r="C57" s="189">
        <f>C49</f>
        <v/>
      </c>
      <c r="D57" s="189">
        <f>D49</f>
        <v/>
      </c>
      <c r="E57" s="189">
        <f>E49</f>
        <v/>
      </c>
      <c r="F57" s="189">
        <f>F49</f>
        <v/>
      </c>
      <c r="G57" s="189">
        <f>G49</f>
        <v/>
      </c>
      <c r="H57" s="189" t="n"/>
      <c r="I57" s="189" t="n"/>
      <c r="J57" s="189" t="n"/>
      <c r="K57" s="189" t="n"/>
      <c r="L57" s="189" t="n"/>
      <c r="M57" s="189" t="n"/>
      <c r="N57" s="189" t="n"/>
      <c r="O57" s="189" t="n"/>
      <c r="P57" s="189" t="n"/>
      <c r="Q57" s="189" t="n"/>
      <c r="R57" s="189" t="n"/>
      <c r="S57" s="189" t="n"/>
      <c r="T57" s="189" t="n"/>
      <c r="U57" s="189" t="n"/>
      <c r="V57" s="189" t="n"/>
      <c r="W57" s="189" t="n"/>
      <c r="X57" s="189" t="n"/>
      <c r="Y57" s="189" t="n"/>
      <c r="Z57" s="189" t="n"/>
      <c r="AA57" s="189" t="n"/>
      <c r="AB57" s="189" t="n"/>
      <c r="AC57" s="189" t="n"/>
      <c r="AD57" s="189" t="n"/>
      <c r="AE57" s="189" t="n"/>
      <c r="AF57" s="189" t="n"/>
      <c r="AG57" s="189" t="n"/>
      <c r="AH57" s="189" t="n"/>
      <c r="AI57" s="51" t="inlineStr">
        <is>
          <t>U2θ</t>
        </is>
      </c>
    </row>
    <row r="58">
      <c r="B58" s="189" t="n"/>
      <c r="C58" s="189" t="n"/>
      <c r="D58" s="189" t="n"/>
      <c r="E58" s="189" t="n"/>
      <c r="F58" s="189" t="n"/>
      <c r="G58" s="189" t="n"/>
      <c r="H58" s="189" t="n"/>
      <c r="I58" s="189" t="n"/>
      <c r="J58" s="189" t="n"/>
      <c r="K58" s="189" t="n"/>
      <c r="L58" s="189" t="n"/>
      <c r="M58" s="189" t="n"/>
      <c r="N58" s="189" t="n"/>
      <c r="O58" s="189" t="n"/>
      <c r="P58" s="189" t="n"/>
      <c r="Q58" s="189" t="n"/>
      <c r="R58" s="189" t="n"/>
      <c r="S58" s="189" t="n"/>
      <c r="T58" s="189" t="n"/>
      <c r="U58" s="189" t="n"/>
      <c r="V58" s="189" t="n"/>
      <c r="W58" s="189" t="n"/>
      <c r="X58" s="189" t="n"/>
      <c r="Y58" s="189" t="n"/>
      <c r="Z58" s="189" t="n"/>
      <c r="AA58" s="189" t="n"/>
      <c r="AB58" s="189" t="n"/>
      <c r="AC58" s="189" t="n"/>
      <c r="AD58" s="189" t="n"/>
      <c r="AE58" s="189" t="n"/>
      <c r="AF58" s="189" t="n"/>
      <c r="AG58" s="189" t="n"/>
      <c r="AH58" s="189" t="n"/>
      <c r="AI58" s="51" t="inlineStr">
        <is>
          <t>U3X</t>
        </is>
      </c>
    </row>
    <row r="59">
      <c r="B59" s="189" t="n"/>
      <c r="C59" s="189" t="n"/>
      <c r="D59" s="189" t="n"/>
      <c r="E59" s="189" t="n"/>
      <c r="F59" s="189" t="n"/>
      <c r="G59" s="189" t="n"/>
      <c r="H59" s="189" t="n"/>
      <c r="I59" s="189" t="n"/>
      <c r="J59" s="189" t="n"/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89" t="n"/>
      <c r="U59" s="189" t="n"/>
      <c r="V59" s="189" t="n"/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51" t="inlineStr">
        <is>
          <t>U3Y</t>
        </is>
      </c>
    </row>
    <row r="60">
      <c r="B60" s="189" t="n"/>
      <c r="C60" s="189" t="n"/>
      <c r="D60" s="189" t="n"/>
      <c r="E60" s="189" t="n"/>
      <c r="F60" s="189" t="n"/>
      <c r="G60" s="189" t="n"/>
      <c r="H60" s="189" t="n"/>
      <c r="I60" s="189" t="n"/>
      <c r="J60" s="189" t="n"/>
      <c r="K60" s="189" t="n"/>
      <c r="L60" s="189" t="n"/>
      <c r="M60" s="189" t="n"/>
      <c r="N60" s="189" t="n"/>
      <c r="O60" s="189" t="n"/>
      <c r="P60" s="189" t="n"/>
      <c r="Q60" s="189" t="n"/>
      <c r="R60" s="189" t="n"/>
      <c r="S60" s="189" t="n"/>
      <c r="T60" s="189" t="n"/>
      <c r="U60" s="189" t="n"/>
      <c r="V60" s="189" t="n"/>
      <c r="W60" s="189" t="n"/>
      <c r="X60" s="189" t="n"/>
      <c r="Y60" s="189" t="n"/>
      <c r="Z60" s="189" t="n"/>
      <c r="AA60" s="189" t="n"/>
      <c r="AB60" s="189" t="n"/>
      <c r="AC60" s="189" t="n"/>
      <c r="AD60" s="189" t="n"/>
      <c r="AE60" s="189" t="n"/>
      <c r="AF60" s="189" t="n"/>
      <c r="AG60" s="189" t="n"/>
      <c r="AH60" s="189" t="n"/>
      <c r="AI60" s="51" t="inlineStr">
        <is>
          <t>U3θ</t>
        </is>
      </c>
    </row>
    <row r="61">
      <c r="B61" s="189" t="n"/>
      <c r="C61" s="189" t="n"/>
      <c r="D61" s="189" t="n"/>
      <c r="E61" s="189" t="n"/>
      <c r="F61" s="189" t="n"/>
      <c r="G61" s="189" t="n"/>
      <c r="H61" s="189" t="n"/>
      <c r="I61" s="189" t="n"/>
      <c r="J61" s="189" t="n"/>
      <c r="K61" s="189" t="n"/>
      <c r="L61" s="189" t="n"/>
      <c r="M61" s="189" t="n"/>
      <c r="N61" s="189" t="n"/>
      <c r="O61" s="189" t="n"/>
      <c r="P61" s="189" t="n"/>
      <c r="Q61" s="189" t="n"/>
      <c r="R61" s="189" t="n"/>
      <c r="S61" s="189" t="n"/>
      <c r="T61" s="189" t="n"/>
      <c r="U61" s="189" t="n"/>
      <c r="V61" s="189" t="n"/>
      <c r="W61" s="189" t="n"/>
      <c r="X61" s="189" t="n"/>
      <c r="Y61" s="189" t="n"/>
      <c r="Z61" s="189" t="n"/>
      <c r="AA61" s="189" t="n"/>
      <c r="AB61" s="189" t="n"/>
      <c r="AC61" s="189" t="n"/>
      <c r="AD61" s="189" t="n"/>
      <c r="AE61" s="189" t="n"/>
      <c r="AF61" s="189" t="n"/>
      <c r="AG61" s="189" t="n"/>
      <c r="AH61" s="189" t="n"/>
      <c r="AI61" s="51" t="inlineStr">
        <is>
          <t>U4X</t>
        </is>
      </c>
    </row>
    <row r="62">
      <c r="B62" s="189" t="n"/>
      <c r="C62" s="189" t="n"/>
      <c r="D62" s="189" t="n"/>
      <c r="E62" s="189" t="n"/>
      <c r="F62" s="189" t="n"/>
      <c r="G62" s="189" t="n"/>
      <c r="H62" s="189" t="n"/>
      <c r="I62" s="189" t="n"/>
      <c r="J62" s="189" t="n"/>
      <c r="K62" s="189" t="n"/>
      <c r="L62" s="189" t="n"/>
      <c r="M62" s="189" t="n"/>
      <c r="N62" s="189" t="n"/>
      <c r="O62" s="189" t="n"/>
      <c r="P62" s="189" t="n"/>
      <c r="Q62" s="189" t="n"/>
      <c r="R62" s="189" t="n"/>
      <c r="S62" s="189" t="n"/>
      <c r="T62" s="189" t="n"/>
      <c r="U62" s="189" t="n"/>
      <c r="V62" s="189" t="n"/>
      <c r="W62" s="189" t="n"/>
      <c r="X62" s="189" t="n"/>
      <c r="Y62" s="189" t="n"/>
      <c r="Z62" s="189" t="n"/>
      <c r="AA62" s="189" t="n"/>
      <c r="AB62" s="189" t="n"/>
      <c r="AC62" s="189" t="n"/>
      <c r="AD62" s="189" t="n"/>
      <c r="AE62" s="189" t="n"/>
      <c r="AF62" s="189" t="n"/>
      <c r="AG62" s="189" t="n"/>
      <c r="AH62" s="189" t="n"/>
      <c r="AI62" s="51" t="inlineStr">
        <is>
          <t>U4Y</t>
        </is>
      </c>
    </row>
    <row r="63">
      <c r="B63" s="189" t="n"/>
      <c r="C63" s="189" t="n"/>
      <c r="D63" s="189" t="n"/>
      <c r="E63" s="189" t="n"/>
      <c r="F63" s="189" t="n"/>
      <c r="G63" s="189" t="n"/>
      <c r="H63" s="189" t="n"/>
      <c r="I63" s="189" t="n"/>
      <c r="J63" s="189" t="n"/>
      <c r="K63" s="189" t="n"/>
      <c r="L63" s="189" t="n"/>
      <c r="M63" s="189" t="n"/>
      <c r="N63" s="189" t="n"/>
      <c r="O63" s="189" t="n"/>
      <c r="P63" s="189" t="n"/>
      <c r="Q63" s="189" t="n"/>
      <c r="R63" s="189" t="n"/>
      <c r="S63" s="189" t="n"/>
      <c r="T63" s="189" t="n"/>
      <c r="U63" s="189" t="n"/>
      <c r="V63" s="189" t="n"/>
      <c r="W63" s="189" t="n"/>
      <c r="X63" s="189" t="n"/>
      <c r="Y63" s="189" t="n"/>
      <c r="Z63" s="189" t="n"/>
      <c r="AA63" s="189" t="n"/>
      <c r="AB63" s="189" t="n"/>
      <c r="AC63" s="189" t="n"/>
      <c r="AD63" s="189" t="n"/>
      <c r="AE63" s="189" t="n"/>
      <c r="AF63" s="189" t="n"/>
      <c r="AG63" s="189" t="n"/>
      <c r="AH63" s="189" t="n"/>
      <c r="AI63" s="51" t="inlineStr">
        <is>
          <t>U4θ</t>
        </is>
      </c>
    </row>
    <row r="64">
      <c r="B64" s="189" t="n"/>
      <c r="C64" s="189" t="n"/>
      <c r="D64" s="189" t="n"/>
      <c r="E64" s="189" t="n"/>
      <c r="F64" s="189" t="n"/>
      <c r="G64" s="189" t="n"/>
      <c r="H64" s="189" t="n"/>
      <c r="I64" s="189" t="n"/>
      <c r="J64" s="189" t="n"/>
      <c r="K64" s="189" t="n"/>
      <c r="L64" s="189" t="n"/>
      <c r="M64" s="189" t="n"/>
      <c r="N64" s="189" t="n"/>
      <c r="O64" s="189" t="n"/>
      <c r="P64" s="189" t="n"/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51" t="inlineStr">
        <is>
          <t>U5X</t>
        </is>
      </c>
    </row>
    <row r="65">
      <c r="B65" s="189" t="n"/>
      <c r="C65" s="189" t="n"/>
      <c r="D65" s="189" t="n"/>
      <c r="E65" s="189" t="n"/>
      <c r="F65" s="189" t="n"/>
      <c r="G65" s="189" t="n"/>
      <c r="H65" s="189" t="n"/>
      <c r="I65" s="189" t="n"/>
      <c r="J65" s="189" t="n"/>
      <c r="K65" s="189" t="n"/>
      <c r="L65" s="189" t="n"/>
      <c r="M65" s="189" t="n"/>
      <c r="N65" s="189" t="n"/>
      <c r="O65" s="189" t="n"/>
      <c r="P65" s="189" t="n"/>
      <c r="Q65" s="189" t="n"/>
      <c r="R65" s="189" t="n"/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51" t="inlineStr">
        <is>
          <t>U5Y</t>
        </is>
      </c>
    </row>
    <row r="66">
      <c r="B66" s="189" t="n"/>
      <c r="C66" s="189" t="n"/>
      <c r="D66" s="189" t="n"/>
      <c r="E66" s="189" t="n"/>
      <c r="F66" s="189" t="n"/>
      <c r="G66" s="189" t="n"/>
      <c r="H66" s="189" t="n"/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89" t="n"/>
      <c r="S66" s="189" t="n"/>
      <c r="T66" s="189" t="n"/>
      <c r="U66" s="189" t="n"/>
      <c r="V66" s="189" t="n"/>
      <c r="W66" s="189" t="n"/>
      <c r="X66" s="189" t="n"/>
      <c r="Y66" s="189" t="n"/>
      <c r="Z66" s="189" t="n"/>
      <c r="AA66" s="189" t="n"/>
      <c r="AB66" s="189" t="n"/>
      <c r="AC66" s="189" t="n"/>
      <c r="AD66" s="189" t="n"/>
      <c r="AE66" s="189" t="n"/>
      <c r="AF66" s="189" t="n"/>
      <c r="AG66" s="189" t="n"/>
      <c r="AH66" s="189" t="n"/>
      <c r="AI66" s="51" t="inlineStr">
        <is>
          <t>U5θ</t>
        </is>
      </c>
    </row>
    <row r="67">
      <c r="A67" s="118" t="inlineStr">
        <is>
          <t>K1 =</t>
        </is>
      </c>
      <c r="B67" s="189" t="n"/>
      <c r="C67" s="189" t="n"/>
      <c r="D67" s="189" t="n"/>
      <c r="E67" s="189" t="n"/>
      <c r="F67" s="189" t="n"/>
      <c r="G67" s="189" t="n"/>
      <c r="H67" s="189" t="n"/>
      <c r="I67" s="189" t="n"/>
      <c r="J67" s="189" t="n"/>
      <c r="K67" s="189" t="n"/>
      <c r="L67" s="189" t="n"/>
      <c r="M67" s="189" t="n"/>
      <c r="N67" s="189" t="n"/>
      <c r="O67" s="189" t="n"/>
      <c r="P67" s="189" t="n"/>
      <c r="Q67" s="189" t="n"/>
      <c r="R67" s="189" t="n"/>
      <c r="S67" s="189" t="n"/>
      <c r="T67" s="189" t="n"/>
      <c r="U67" s="189" t="n"/>
      <c r="V67" s="189" t="n"/>
      <c r="W67" s="189" t="n"/>
      <c r="X67" s="189" t="n"/>
      <c r="Y67" s="189" t="n"/>
      <c r="Z67" s="189" t="n"/>
      <c r="AA67" s="189" t="n"/>
      <c r="AB67" s="189" t="n"/>
      <c r="AC67" s="189" t="n"/>
      <c r="AD67" s="189" t="n"/>
      <c r="AE67" s="189" t="n"/>
      <c r="AF67" s="189" t="n"/>
      <c r="AG67" s="189" t="n"/>
      <c r="AH67" s="189" t="n"/>
      <c r="AI67" s="51" t="inlineStr">
        <is>
          <t>U6X</t>
        </is>
      </c>
    </row>
    <row r="68">
      <c r="B68" s="189" t="n"/>
      <c r="C68" s="189" t="n"/>
      <c r="D68" s="189" t="n"/>
      <c r="E68" s="189" t="n"/>
      <c r="F68" s="189" t="n"/>
      <c r="G68" s="189" t="n"/>
      <c r="H68" s="189" t="n"/>
      <c r="I68" s="189" t="n"/>
      <c r="J68" s="189" t="n"/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51" t="inlineStr">
        <is>
          <t>U6Y</t>
        </is>
      </c>
    </row>
    <row r="69">
      <c r="B69" s="189" t="n"/>
      <c r="C69" s="189" t="n"/>
      <c r="D69" s="189" t="n"/>
      <c r="E69" s="189" t="n"/>
      <c r="F69" s="189" t="n"/>
      <c r="G69" s="189" t="n"/>
      <c r="H69" s="189" t="n"/>
      <c r="I69" s="189" t="n"/>
      <c r="J69" s="189" t="n"/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51" t="inlineStr">
        <is>
          <t>U6θ</t>
        </is>
      </c>
    </row>
    <row r="70">
      <c r="B70" s="189" t="n"/>
      <c r="C70" s="189" t="n"/>
      <c r="D70" s="189" t="n"/>
      <c r="E70" s="189" t="n"/>
      <c r="F70" s="189" t="n"/>
      <c r="G70" s="189" t="n"/>
      <c r="H70" s="189" t="n"/>
      <c r="I70" s="189" t="n"/>
      <c r="J70" s="189" t="n"/>
      <c r="K70" s="189" t="n"/>
      <c r="L70" s="189" t="n"/>
      <c r="M70" s="189" t="n"/>
      <c r="N70" s="189" t="n"/>
      <c r="O70" s="189" t="n"/>
      <c r="P70" s="189" t="n"/>
      <c r="Q70" s="189" t="n"/>
      <c r="R70" s="189" t="n"/>
      <c r="S70" s="189" t="n"/>
      <c r="T70" s="189" t="n"/>
      <c r="U70" s="189" t="n"/>
      <c r="V70" s="189" t="n"/>
      <c r="W70" s="189" t="n"/>
      <c r="X70" s="189" t="n"/>
      <c r="Y70" s="189" t="n"/>
      <c r="Z70" s="189" t="n"/>
      <c r="AA70" s="189" t="n"/>
      <c r="AB70" s="189" t="n"/>
      <c r="AC70" s="189" t="n"/>
      <c r="AD70" s="189" t="n"/>
      <c r="AE70" s="189" t="n"/>
      <c r="AF70" s="189" t="n"/>
      <c r="AG70" s="189" t="n"/>
      <c r="AH70" s="189" t="n"/>
      <c r="AI70" s="51" t="inlineStr">
        <is>
          <t>U7X</t>
        </is>
      </c>
    </row>
    <row r="71">
      <c r="B71" s="189" t="n"/>
      <c r="C71" s="189" t="n"/>
      <c r="D71" s="189" t="n"/>
      <c r="E71" s="189" t="n"/>
      <c r="F71" s="189" t="n"/>
      <c r="G71" s="189" t="n"/>
      <c r="H71" s="189" t="n"/>
      <c r="I71" s="189" t="n"/>
      <c r="J71" s="189" t="n"/>
      <c r="K71" s="189" t="n"/>
      <c r="L71" s="189" t="n"/>
      <c r="M71" s="189" t="n"/>
      <c r="N71" s="189" t="n"/>
      <c r="O71" s="189" t="n"/>
      <c r="P71" s="189" t="n"/>
      <c r="Q71" s="189" t="n"/>
      <c r="R71" s="189" t="n"/>
      <c r="S71" s="189" t="n"/>
      <c r="T71" s="189" t="n"/>
      <c r="U71" s="189" t="n"/>
      <c r="V71" s="189" t="n"/>
      <c r="W71" s="189" t="n"/>
      <c r="X71" s="189" t="n"/>
      <c r="Y71" s="189" t="n"/>
      <c r="Z71" s="189" t="n"/>
      <c r="AA71" s="189" t="n"/>
      <c r="AB71" s="189" t="n"/>
      <c r="AC71" s="189" t="n"/>
      <c r="AD71" s="189" t="n"/>
      <c r="AE71" s="189" t="n"/>
      <c r="AF71" s="189" t="n"/>
      <c r="AG71" s="189" t="n"/>
      <c r="AH71" s="189" t="n"/>
      <c r="AI71" s="51" t="inlineStr">
        <is>
          <t>U7Y</t>
        </is>
      </c>
    </row>
    <row r="72">
      <c r="B72" s="189" t="n"/>
      <c r="C72" s="189" t="n"/>
      <c r="D72" s="189" t="n"/>
      <c r="E72" s="189" t="n"/>
      <c r="F72" s="189" t="n"/>
      <c r="G72" s="189" t="n"/>
      <c r="H72" s="189" t="n"/>
      <c r="I72" s="189" t="n"/>
      <c r="J72" s="189" t="n"/>
      <c r="K72" s="189" t="n"/>
      <c r="L72" s="189" t="n"/>
      <c r="M72" s="189" t="n"/>
      <c r="N72" s="189" t="n"/>
      <c r="O72" s="189" t="n"/>
      <c r="P72" s="189" t="n"/>
      <c r="Q72" s="189" t="n"/>
      <c r="R72" s="189" t="n"/>
      <c r="S72" s="189" t="n"/>
      <c r="T72" s="189" t="n"/>
      <c r="U72" s="189" t="n"/>
      <c r="V72" s="189" t="n"/>
      <c r="W72" s="189" t="n"/>
      <c r="X72" s="189" t="n"/>
      <c r="Y72" s="189" t="n"/>
      <c r="Z72" s="189" t="n"/>
      <c r="AA72" s="189" t="n"/>
      <c r="AB72" s="189" t="n"/>
      <c r="AC72" s="189" t="n"/>
      <c r="AD72" s="189" t="n"/>
      <c r="AE72" s="189" t="n"/>
      <c r="AF72" s="189" t="n"/>
      <c r="AG72" s="189" t="n"/>
      <c r="AH72" s="189" t="n"/>
      <c r="AI72" s="51" t="inlineStr">
        <is>
          <t>U7θ</t>
        </is>
      </c>
    </row>
    <row r="73">
      <c r="B73" s="189" t="n"/>
      <c r="C73" s="189" t="n"/>
      <c r="D73" s="189" t="n"/>
      <c r="E73" s="189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51" t="inlineStr">
        <is>
          <t>U8X</t>
        </is>
      </c>
    </row>
    <row r="74">
      <c r="B74" s="189" t="n"/>
      <c r="C74" s="189" t="n"/>
      <c r="D74" s="189" t="n"/>
      <c r="E74" s="189" t="n"/>
      <c r="F74" s="189" t="n"/>
      <c r="G74" s="189" t="n"/>
      <c r="H74" s="189" t="n"/>
      <c r="I74" s="189" t="n"/>
      <c r="J74" s="189" t="n"/>
      <c r="K74" s="189" t="n"/>
      <c r="L74" s="189" t="n"/>
      <c r="M74" s="189" t="n"/>
      <c r="N74" s="189" t="n"/>
      <c r="O74" s="189" t="n"/>
      <c r="P74" s="189" t="n"/>
      <c r="Q74" s="189" t="n"/>
      <c r="R74" s="189" t="n"/>
      <c r="S74" s="189" t="n"/>
      <c r="T74" s="189" t="n"/>
      <c r="U74" s="189" t="n"/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51" t="inlineStr">
        <is>
          <t>U8Y</t>
        </is>
      </c>
    </row>
    <row r="75">
      <c r="B75" s="189" t="n"/>
      <c r="C75" s="189" t="n"/>
      <c r="D75" s="189" t="n"/>
      <c r="E75" s="189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9" t="n"/>
      <c r="Y75" s="189" t="n"/>
      <c r="Z75" s="189" t="n"/>
      <c r="AA75" s="189" t="n"/>
      <c r="AB75" s="189" t="n"/>
      <c r="AC75" s="189" t="n"/>
      <c r="AD75" s="189" t="n"/>
      <c r="AE75" s="189" t="n"/>
      <c r="AF75" s="189" t="n"/>
      <c r="AG75" s="189" t="n"/>
      <c r="AH75" s="189" t="n"/>
      <c r="AI75" s="51" t="inlineStr">
        <is>
          <t>U8θ</t>
        </is>
      </c>
    </row>
    <row r="76">
      <c r="B76" s="189" t="n"/>
      <c r="C76" s="189" t="n"/>
      <c r="D76" s="189" t="n"/>
      <c r="E76" s="189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9" t="n"/>
      <c r="Y76" s="189" t="n"/>
      <c r="Z76" s="189" t="n"/>
      <c r="AA76" s="189" t="n"/>
      <c r="AB76" s="189" t="n"/>
      <c r="AC76" s="189" t="n"/>
      <c r="AD76" s="189" t="n"/>
      <c r="AE76" s="189" t="n"/>
      <c r="AF76" s="189" t="n"/>
      <c r="AG76" s="189" t="n"/>
      <c r="AH76" s="189" t="n"/>
      <c r="AI76" s="51" t="inlineStr">
        <is>
          <t>U9X</t>
        </is>
      </c>
    </row>
    <row r="77">
      <c r="B77" s="189" t="n"/>
      <c r="C77" s="189" t="n"/>
      <c r="D77" s="189" t="n"/>
      <c r="E77" s="189" t="n"/>
      <c r="F77" s="189" t="n"/>
      <c r="G77" s="189" t="n"/>
      <c r="H77" s="189" t="n"/>
      <c r="I77" s="189" t="n"/>
      <c r="J77" s="189" t="n"/>
      <c r="K77" s="189" t="n"/>
      <c r="L77" s="189" t="n"/>
      <c r="M77" s="189" t="n"/>
      <c r="N77" s="189" t="n"/>
      <c r="O77" s="189" t="n"/>
      <c r="P77" s="189" t="n"/>
      <c r="Q77" s="189" t="n"/>
      <c r="R77" s="189" t="n"/>
      <c r="S77" s="189" t="n"/>
      <c r="T77" s="189" t="n"/>
      <c r="U77" s="189" t="n"/>
      <c r="V77" s="189" t="n"/>
      <c r="W77" s="189" t="n"/>
      <c r="X77" s="189" t="n"/>
      <c r="Y77" s="189" t="n"/>
      <c r="Z77" s="189" t="n"/>
      <c r="AA77" s="189" t="n"/>
      <c r="AB77" s="189" t="n"/>
      <c r="AC77" s="189" t="n"/>
      <c r="AD77" s="189" t="n"/>
      <c r="AE77" s="189" t="n"/>
      <c r="AF77" s="189" t="n"/>
      <c r="AG77" s="189" t="n"/>
      <c r="AH77" s="189" t="n"/>
      <c r="AI77" s="51" t="inlineStr">
        <is>
          <t>U9Y</t>
        </is>
      </c>
    </row>
    <row r="78">
      <c r="B78" s="189" t="n"/>
      <c r="C78" s="189" t="n"/>
      <c r="D78" s="189" t="n"/>
      <c r="E78" s="189" t="n"/>
      <c r="F78" s="189" t="n"/>
      <c r="G78" s="189" t="n"/>
      <c r="H78" s="189" t="n"/>
      <c r="I78" s="189" t="n"/>
      <c r="J78" s="189" t="n"/>
      <c r="K78" s="189" t="n"/>
      <c r="L78" s="189" t="n"/>
      <c r="M78" s="189" t="n"/>
      <c r="N78" s="189" t="n"/>
      <c r="O78" s="189" t="n"/>
      <c r="P78" s="189" t="n"/>
      <c r="Q78" s="189" t="n"/>
      <c r="R78" s="189" t="n"/>
      <c r="S78" s="189" t="n"/>
      <c r="T78" s="189" t="n"/>
      <c r="U78" s="189" t="n"/>
      <c r="V78" s="189" t="n"/>
      <c r="W78" s="189" t="n"/>
      <c r="X78" s="189" t="n"/>
      <c r="Y78" s="189" t="n"/>
      <c r="Z78" s="189" t="n"/>
      <c r="AA78" s="189" t="n"/>
      <c r="AB78" s="189" t="n"/>
      <c r="AC78" s="189" t="n"/>
      <c r="AD78" s="189" t="n"/>
      <c r="AE78" s="189" t="n"/>
      <c r="AF78" s="189" t="n"/>
      <c r="AG78" s="189" t="n"/>
      <c r="AH78" s="189" t="n"/>
      <c r="AI78" s="51" t="inlineStr">
        <is>
          <t>U9θ</t>
        </is>
      </c>
    </row>
    <row r="79">
      <c r="B79" s="189" t="n"/>
      <c r="C79" s="189" t="n"/>
      <c r="D79" s="189" t="n"/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9" t="n"/>
      <c r="Y79" s="189" t="n"/>
      <c r="Z79" s="189" t="n"/>
      <c r="AA79" s="189" t="n"/>
      <c r="AB79" s="189" t="n"/>
      <c r="AC79" s="189" t="n"/>
      <c r="AD79" s="189" t="n"/>
      <c r="AE79" s="189" t="n"/>
      <c r="AF79" s="189" t="n"/>
      <c r="AG79" s="189" t="n"/>
      <c r="AH79" s="189" t="n"/>
      <c r="AI79" s="51" t="inlineStr">
        <is>
          <t>U10X</t>
        </is>
      </c>
    </row>
    <row r="80">
      <c r="B80" s="189" t="n"/>
      <c r="C80" s="189" t="n"/>
      <c r="D80" s="189" t="n"/>
      <c r="E80" s="189" t="n"/>
      <c r="F80" s="189" t="n"/>
      <c r="G80" s="189" t="n"/>
      <c r="H80" s="189" t="n"/>
      <c r="I80" s="189" t="n"/>
      <c r="J80" s="189" t="n"/>
      <c r="K80" s="189" t="n"/>
      <c r="L80" s="189" t="n"/>
      <c r="M80" s="189" t="n"/>
      <c r="N80" s="189" t="n"/>
      <c r="O80" s="189" t="n"/>
      <c r="P80" s="189" t="n"/>
      <c r="Q80" s="189" t="n"/>
      <c r="R80" s="189" t="n"/>
      <c r="S80" s="189" t="n"/>
      <c r="T80" s="189" t="n"/>
      <c r="U80" s="189" t="n"/>
      <c r="V80" s="189" t="n"/>
      <c r="W80" s="189" t="n"/>
      <c r="X80" s="189" t="n"/>
      <c r="Y80" s="189" t="n"/>
      <c r="Z80" s="189" t="n"/>
      <c r="AA80" s="189" t="n"/>
      <c r="AB80" s="189" t="n"/>
      <c r="AC80" s="189" t="n"/>
      <c r="AD80" s="189" t="n"/>
      <c r="AE80" s="189" t="n"/>
      <c r="AF80" s="189" t="n"/>
      <c r="AG80" s="189" t="n"/>
      <c r="AH80" s="189" t="n"/>
      <c r="AI80" s="51" t="inlineStr">
        <is>
          <t>U10Y</t>
        </is>
      </c>
    </row>
    <row r="81">
      <c r="B81" s="189" t="n"/>
      <c r="C81" s="189" t="n"/>
      <c r="D81" s="189" t="n"/>
      <c r="E81" s="189" t="n"/>
      <c r="F81" s="189" t="n"/>
      <c r="G81" s="189" t="n"/>
      <c r="H81" s="189" t="n"/>
      <c r="I81" s="189" t="n"/>
      <c r="J81" s="189" t="n"/>
      <c r="K81" s="189" t="n"/>
      <c r="L81" s="189" t="n"/>
      <c r="M81" s="189" t="n"/>
      <c r="N81" s="189" t="n"/>
      <c r="O81" s="189" t="n"/>
      <c r="P81" s="189" t="n"/>
      <c r="Q81" s="189" t="n"/>
      <c r="R81" s="189" t="n"/>
      <c r="S81" s="189" t="n"/>
      <c r="T81" s="189" t="n"/>
      <c r="U81" s="189" t="n"/>
      <c r="V81" s="189" t="n"/>
      <c r="W81" s="189" t="n"/>
      <c r="X81" s="189" t="n"/>
      <c r="Y81" s="189" t="n"/>
      <c r="Z81" s="189" t="n"/>
      <c r="AA81" s="189" t="n"/>
      <c r="AB81" s="189" t="n"/>
      <c r="AC81" s="189" t="n"/>
      <c r="AD81" s="189" t="n"/>
      <c r="AE81" s="189" t="n"/>
      <c r="AF81" s="189" t="n"/>
      <c r="AG81" s="189" t="n"/>
      <c r="AH81" s="189" t="n"/>
      <c r="AI81" s="51" t="inlineStr">
        <is>
          <t>U10θ</t>
        </is>
      </c>
    </row>
    <row r="82"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9" t="n"/>
      <c r="Y82" s="189" t="n"/>
      <c r="Z82" s="189" t="n"/>
      <c r="AA82" s="189" t="n"/>
      <c r="AB82" s="189" t="n"/>
      <c r="AC82" s="189" t="n"/>
      <c r="AD82" s="189" t="n"/>
      <c r="AE82" s="189" t="n"/>
      <c r="AF82" s="189" t="n"/>
      <c r="AG82" s="189" t="n"/>
      <c r="AH82" s="189" t="n"/>
      <c r="AI82" s="51" t="inlineStr">
        <is>
          <t>U11X</t>
        </is>
      </c>
    </row>
    <row r="83"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9" t="n"/>
      <c r="Y83" s="189" t="n"/>
      <c r="Z83" s="189" t="n"/>
      <c r="AA83" s="189" t="n"/>
      <c r="AB83" s="189" t="n"/>
      <c r="AC83" s="189" t="n"/>
      <c r="AD83" s="189" t="n"/>
      <c r="AE83" s="189" t="n"/>
      <c r="AF83" s="189" t="n"/>
      <c r="AG83" s="189" t="n"/>
      <c r="AH83" s="189" t="n"/>
      <c r="AI83" s="51" t="inlineStr">
        <is>
          <t>U11Y</t>
        </is>
      </c>
    </row>
    <row r="84">
      <c r="B84" s="189" t="n"/>
      <c r="C84" s="189" t="n"/>
      <c r="D84" s="189" t="n"/>
      <c r="E84" s="189" t="n"/>
      <c r="F84" s="189" t="n"/>
      <c r="G84" s="189" t="n"/>
      <c r="H84" s="189" t="n"/>
      <c r="I84" s="189" t="n"/>
      <c r="J84" s="189" t="n"/>
      <c r="K84" s="189" t="n"/>
      <c r="L84" s="189" t="n"/>
      <c r="M84" s="189" t="n"/>
      <c r="N84" s="189" t="n"/>
      <c r="O84" s="189" t="n"/>
      <c r="P84" s="189" t="n"/>
      <c r="Q84" s="189" t="n"/>
      <c r="R84" s="189" t="n"/>
      <c r="S84" s="189" t="n"/>
      <c r="T84" s="189" t="n"/>
      <c r="U84" s="189" t="n"/>
      <c r="V84" s="189" t="n"/>
      <c r="W84" s="189" t="n"/>
      <c r="X84" s="189" t="n"/>
      <c r="Y84" s="189" t="n"/>
      <c r="Z84" s="189" t="n"/>
      <c r="AA84" s="189" t="n"/>
      <c r="AB84" s="189" t="n"/>
      <c r="AC84" s="189" t="n"/>
      <c r="AD84" s="189" t="n"/>
      <c r="AE84" s="189" t="n"/>
      <c r="AF84" s="189" t="n"/>
      <c r="AG84" s="189" t="n"/>
      <c r="AH84" s="189" t="n"/>
      <c r="AI84" s="51" t="inlineStr">
        <is>
          <t>U11θ</t>
        </is>
      </c>
    </row>
    <row r="86">
      <c r="B86" s="51">
        <f>IF(C32="","", CONCATENATE("U",C32,C$30))</f>
        <v/>
      </c>
      <c r="C86" s="51">
        <f>IF(D32="","", CONCATENATE("U",D32,D$30))</f>
        <v/>
      </c>
      <c r="D86" s="51">
        <f>IF(E32="","", CONCATENATE("U",E32,E$30))</f>
        <v/>
      </c>
      <c r="E86" s="51">
        <f>IF(F32="","", CONCATENATE("U",F32,F$30))</f>
        <v/>
      </c>
      <c r="F86" s="51">
        <f>IF(G32="","", CONCATENATE("U",G32,G$30))</f>
        <v/>
      </c>
      <c r="G86" s="51">
        <f>IF(H32="","", CONCATENATE("U",H32,H$30))</f>
        <v/>
      </c>
    </row>
    <row r="87">
      <c r="B87" s="8">
        <f>IF(I19="", 0, M19*K19*K19+N19*L19*L19)</f>
        <v/>
      </c>
      <c r="C87" s="189">
        <f>IF(I19="", 0, (M19-N19)*(K19*L19))</f>
        <v/>
      </c>
      <c r="D87" s="189">
        <f>IF(I19="", 0, -O19*L19)</f>
        <v/>
      </c>
      <c r="E87" s="189">
        <f>-B87</f>
        <v/>
      </c>
      <c r="F87" s="189">
        <f>-C87</f>
        <v/>
      </c>
      <c r="G87" s="189">
        <f>D87</f>
        <v/>
      </c>
      <c r="H87" s="51">
        <f>B86</f>
        <v/>
      </c>
    </row>
    <row r="88">
      <c r="B88" s="189">
        <f>C87</f>
        <v/>
      </c>
      <c r="C88" s="8">
        <f>IF(I19="", 0, M19*L19*L19+N19*K19*K19)</f>
        <v/>
      </c>
      <c r="D88" s="189">
        <f>IF(I19="", 0, O19*K19)</f>
        <v/>
      </c>
      <c r="E88" s="189">
        <f>-B88</f>
        <v/>
      </c>
      <c r="F88" s="189">
        <f>-C88</f>
        <v/>
      </c>
      <c r="G88" s="189">
        <f>D88</f>
        <v/>
      </c>
      <c r="H88" s="51">
        <f>C86</f>
        <v/>
      </c>
    </row>
    <row r="89">
      <c r="A89" s="118" t="inlineStr">
        <is>
          <t>K2 =</t>
        </is>
      </c>
      <c r="B89" s="189">
        <f>D87</f>
        <v/>
      </c>
      <c r="C89" s="189">
        <f>D88</f>
        <v/>
      </c>
      <c r="D89" s="8">
        <f>IF(I19="", 0, P19)</f>
        <v/>
      </c>
      <c r="E89" s="189">
        <f>-B89</f>
        <v/>
      </c>
      <c r="F89" s="189">
        <f>-C89</f>
        <v/>
      </c>
      <c r="G89" s="189">
        <f>IF(I19="", 0, Q19)</f>
        <v/>
      </c>
      <c r="H89" s="51">
        <f>D86</f>
        <v/>
      </c>
    </row>
    <row r="90">
      <c r="B90" s="189">
        <f>E87</f>
        <v/>
      </c>
      <c r="C90" s="189">
        <f>E88</f>
        <v/>
      </c>
      <c r="D90" s="189">
        <f>E89</f>
        <v/>
      </c>
      <c r="E90" s="8">
        <f>B87</f>
        <v/>
      </c>
      <c r="F90" s="189">
        <f>C87</f>
        <v/>
      </c>
      <c r="G90" s="189">
        <f>-D87</f>
        <v/>
      </c>
      <c r="H90" s="51">
        <f>E86</f>
        <v/>
      </c>
    </row>
    <row r="91">
      <c r="B91" s="189">
        <f>F87</f>
        <v/>
      </c>
      <c r="C91" s="189">
        <f>F88</f>
        <v/>
      </c>
      <c r="D91" s="189">
        <f>F89</f>
        <v/>
      </c>
      <c r="E91" s="189">
        <f>F90</f>
        <v/>
      </c>
      <c r="F91" s="8">
        <f>C88</f>
        <v/>
      </c>
      <c r="G91" s="189">
        <f>-D88</f>
        <v/>
      </c>
      <c r="H91" s="51">
        <f>F86</f>
        <v/>
      </c>
    </row>
    <row r="92">
      <c r="B92" s="189">
        <f>G87</f>
        <v/>
      </c>
      <c r="C92" s="189">
        <f>G88</f>
        <v/>
      </c>
      <c r="D92" s="189">
        <f>G89</f>
        <v/>
      </c>
      <c r="E92" s="189">
        <f>G90</f>
        <v/>
      </c>
      <c r="F92" s="189">
        <f>G91</f>
        <v/>
      </c>
      <c r="G92" s="8">
        <f>D89</f>
        <v/>
      </c>
      <c r="H92" s="51">
        <f>G86</f>
        <v/>
      </c>
    </row>
    <row r="94">
      <c r="B94" s="51" t="inlineStr">
        <is>
          <t>U1X</t>
        </is>
      </c>
      <c r="C94" s="51" t="inlineStr">
        <is>
          <t>U1Y</t>
        </is>
      </c>
      <c r="D94" s="51" t="inlineStr">
        <is>
          <t>U1θ</t>
        </is>
      </c>
      <c r="E94" s="51" t="inlineStr">
        <is>
          <t>U2X</t>
        </is>
      </c>
      <c r="F94" s="51" t="inlineStr">
        <is>
          <t>U2Y</t>
        </is>
      </c>
      <c r="G94" s="51" t="inlineStr">
        <is>
          <t>U2θ</t>
        </is>
      </c>
      <c r="H94" s="51" t="inlineStr">
        <is>
          <t>U3X</t>
        </is>
      </c>
      <c r="I94" s="51" t="inlineStr">
        <is>
          <t>U3Y</t>
        </is>
      </c>
      <c r="J94" s="51" t="inlineStr">
        <is>
          <t>U3θ</t>
        </is>
      </c>
      <c r="K94" s="51" t="inlineStr">
        <is>
          <t>U4X</t>
        </is>
      </c>
      <c r="L94" s="51" t="inlineStr">
        <is>
          <t>U4Y</t>
        </is>
      </c>
      <c r="M94" s="51" t="inlineStr">
        <is>
          <t>U4θ</t>
        </is>
      </c>
      <c r="N94" s="51" t="inlineStr">
        <is>
          <t>U5X</t>
        </is>
      </c>
      <c r="O94" s="51" t="inlineStr">
        <is>
          <t>U5Y</t>
        </is>
      </c>
      <c r="P94" s="51" t="inlineStr">
        <is>
          <t>U5θ</t>
        </is>
      </c>
      <c r="Q94" s="51" t="inlineStr">
        <is>
          <t>U6X</t>
        </is>
      </c>
      <c r="R94" s="51" t="inlineStr">
        <is>
          <t>U6Y</t>
        </is>
      </c>
      <c r="S94" s="51" t="inlineStr">
        <is>
          <t>U6θ</t>
        </is>
      </c>
      <c r="T94" s="51" t="inlineStr">
        <is>
          <t>U7X</t>
        </is>
      </c>
      <c r="U94" s="51" t="inlineStr">
        <is>
          <t>U7Y</t>
        </is>
      </c>
      <c r="V94" s="51" t="inlineStr">
        <is>
          <t>U7θ</t>
        </is>
      </c>
      <c r="W94" s="51" t="inlineStr">
        <is>
          <t>U8X</t>
        </is>
      </c>
      <c r="X94" s="51" t="inlineStr">
        <is>
          <t>U8Y</t>
        </is>
      </c>
      <c r="Y94" s="51" t="inlineStr">
        <is>
          <t>U8θ</t>
        </is>
      </c>
      <c r="Z94" s="51" t="inlineStr">
        <is>
          <t>U9X</t>
        </is>
      </c>
      <c r="AA94" s="51" t="inlineStr">
        <is>
          <t>U9Y</t>
        </is>
      </c>
      <c r="AB94" s="51" t="inlineStr">
        <is>
          <t>U9θ</t>
        </is>
      </c>
      <c r="AC94" s="51" t="inlineStr">
        <is>
          <t>U10X</t>
        </is>
      </c>
      <c r="AD94" s="51" t="inlineStr">
        <is>
          <t>U10Y</t>
        </is>
      </c>
      <c r="AE94" s="51" t="inlineStr">
        <is>
          <t>U10θ</t>
        </is>
      </c>
      <c r="AF94" s="51" t="inlineStr">
        <is>
          <t>U11X</t>
        </is>
      </c>
      <c r="AG94" s="51" t="inlineStr">
        <is>
          <t>U11Y</t>
        </is>
      </c>
      <c r="AH94" s="51" t="inlineStr">
        <is>
          <t>U11θ</t>
        </is>
      </c>
    </row>
    <row r="95">
      <c r="B95" s="189" t="n"/>
      <c r="C95" s="189" t="n"/>
      <c r="D95" s="189" t="n"/>
      <c r="E95" s="189" t="n"/>
      <c r="F95" s="189" t="n"/>
      <c r="G95" s="189" t="n"/>
      <c r="H95" s="189" t="n"/>
      <c r="I95" s="189" t="n"/>
      <c r="J95" s="189" t="n"/>
      <c r="K95" s="189" t="n"/>
      <c r="L95" s="189" t="n"/>
      <c r="M95" s="189" t="n"/>
      <c r="N95" s="189" t="n"/>
      <c r="O95" s="189" t="n"/>
      <c r="P95" s="189" t="n"/>
      <c r="Q95" s="189" t="n"/>
      <c r="R95" s="189" t="n"/>
      <c r="S95" s="189" t="n"/>
      <c r="T95" s="189" t="n"/>
      <c r="U95" s="189" t="n"/>
      <c r="V95" s="189" t="n"/>
      <c r="W95" s="189" t="n"/>
      <c r="X95" s="189" t="n"/>
      <c r="Y95" s="189" t="n"/>
      <c r="Z95" s="189" t="n"/>
      <c r="AA95" s="189" t="n"/>
      <c r="AB95" s="189" t="n"/>
      <c r="AC95" s="189" t="n"/>
      <c r="AD95" s="189" t="n"/>
      <c r="AE95" s="189" t="n"/>
      <c r="AF95" s="189" t="n"/>
      <c r="AG95" s="189" t="n"/>
      <c r="AH95" s="189" t="n"/>
      <c r="AI95" s="51" t="inlineStr">
        <is>
          <t>U1X</t>
        </is>
      </c>
    </row>
    <row r="96">
      <c r="B96" s="189" t="n"/>
      <c r="C96" s="189" t="n"/>
      <c r="D96" s="189" t="n"/>
      <c r="E96" s="189" t="n"/>
      <c r="F96" s="189" t="n"/>
      <c r="G96" s="189" t="n"/>
      <c r="H96" s="189" t="n"/>
      <c r="I96" s="189" t="n"/>
      <c r="J96" s="189" t="n"/>
      <c r="K96" s="189" t="n"/>
      <c r="L96" s="189" t="n"/>
      <c r="M96" s="189" t="n"/>
      <c r="N96" s="189" t="n"/>
      <c r="O96" s="189" t="n"/>
      <c r="P96" s="189" t="n"/>
      <c r="Q96" s="189" t="n"/>
      <c r="R96" s="189" t="n"/>
      <c r="S96" s="189" t="n"/>
      <c r="T96" s="189" t="n"/>
      <c r="U96" s="189" t="n"/>
      <c r="V96" s="189" t="n"/>
      <c r="W96" s="189" t="n"/>
      <c r="X96" s="189" t="n"/>
      <c r="Y96" s="189" t="n"/>
      <c r="Z96" s="189" t="n"/>
      <c r="AA96" s="189" t="n"/>
      <c r="AB96" s="189" t="n"/>
      <c r="AC96" s="189" t="n"/>
      <c r="AD96" s="189" t="n"/>
      <c r="AE96" s="189" t="n"/>
      <c r="AF96" s="189" t="n"/>
      <c r="AG96" s="189" t="n"/>
      <c r="AH96" s="189" t="n"/>
      <c r="AI96" s="51" t="inlineStr">
        <is>
          <t>U1Y</t>
        </is>
      </c>
    </row>
    <row r="97">
      <c r="B97" s="189" t="n"/>
      <c r="C97" s="189" t="n"/>
      <c r="D97" s="189" t="n"/>
      <c r="E97" s="189" t="n"/>
      <c r="F97" s="189" t="n"/>
      <c r="G97" s="189" t="n"/>
      <c r="H97" s="189" t="n"/>
      <c r="I97" s="189" t="n"/>
      <c r="J97" s="189" t="n"/>
      <c r="K97" s="189" t="n"/>
      <c r="L97" s="189" t="n"/>
      <c r="M97" s="189" t="n"/>
      <c r="N97" s="189" t="n"/>
      <c r="O97" s="189" t="n"/>
      <c r="P97" s="189" t="n"/>
      <c r="Q97" s="189" t="n"/>
      <c r="R97" s="189" t="n"/>
      <c r="S97" s="189" t="n"/>
      <c r="T97" s="189" t="n"/>
      <c r="U97" s="189" t="n"/>
      <c r="V97" s="189" t="n"/>
      <c r="W97" s="189" t="n"/>
      <c r="X97" s="189" t="n"/>
      <c r="Y97" s="189" t="n"/>
      <c r="Z97" s="189" t="n"/>
      <c r="AA97" s="189" t="n"/>
      <c r="AB97" s="189" t="n"/>
      <c r="AC97" s="189" t="n"/>
      <c r="AD97" s="189" t="n"/>
      <c r="AE97" s="189" t="n"/>
      <c r="AF97" s="189" t="n"/>
      <c r="AG97" s="189" t="n"/>
      <c r="AH97" s="189" t="n"/>
      <c r="AI97" s="51" t="inlineStr">
        <is>
          <t>U1θ</t>
        </is>
      </c>
    </row>
    <row r="98">
      <c r="B98" s="189" t="n"/>
      <c r="C98" s="189" t="n"/>
      <c r="D98" s="189" t="n"/>
      <c r="E98" s="189">
        <f>B87</f>
        <v/>
      </c>
      <c r="F98" s="189">
        <f>C87</f>
        <v/>
      </c>
      <c r="G98" s="189">
        <f>D87</f>
        <v/>
      </c>
      <c r="H98" s="189">
        <f>E87</f>
        <v/>
      </c>
      <c r="I98" s="189">
        <f>F87</f>
        <v/>
      </c>
      <c r="J98" s="189">
        <f>G87</f>
        <v/>
      </c>
      <c r="K98" s="189" t="n"/>
      <c r="L98" s="189" t="n"/>
      <c r="M98" s="189" t="n"/>
      <c r="N98" s="189" t="n"/>
      <c r="O98" s="189" t="n"/>
      <c r="P98" s="189" t="n"/>
      <c r="Q98" s="189" t="n"/>
      <c r="R98" s="189" t="n"/>
      <c r="S98" s="189" t="n"/>
      <c r="T98" s="189" t="n"/>
      <c r="U98" s="189" t="n"/>
      <c r="V98" s="189" t="n"/>
      <c r="W98" s="189" t="n"/>
      <c r="X98" s="189" t="n"/>
      <c r="Y98" s="189" t="n"/>
      <c r="Z98" s="189" t="n"/>
      <c r="AA98" s="189" t="n"/>
      <c r="AB98" s="189" t="n"/>
      <c r="AC98" s="189" t="n"/>
      <c r="AD98" s="189" t="n"/>
      <c r="AE98" s="189" t="n"/>
      <c r="AF98" s="189" t="n"/>
      <c r="AG98" s="189" t="n"/>
      <c r="AH98" s="189" t="n"/>
      <c r="AI98" s="51" t="inlineStr">
        <is>
          <t>U2X</t>
        </is>
      </c>
    </row>
    <row r="99">
      <c r="B99" s="189" t="n"/>
      <c r="C99" s="189" t="n"/>
      <c r="D99" s="189" t="n"/>
      <c r="E99" s="189">
        <f>B88</f>
        <v/>
      </c>
      <c r="F99" s="189">
        <f>C88</f>
        <v/>
      </c>
      <c r="G99" s="189">
        <f>D88</f>
        <v/>
      </c>
      <c r="H99" s="189">
        <f>E88</f>
        <v/>
      </c>
      <c r="I99" s="189">
        <f>F88</f>
        <v/>
      </c>
      <c r="J99" s="189">
        <f>G88</f>
        <v/>
      </c>
      <c r="K99" s="189" t="n"/>
      <c r="L99" s="189" t="n"/>
      <c r="M99" s="189" t="n"/>
      <c r="N99" s="189" t="n"/>
      <c r="O99" s="189" t="n"/>
      <c r="P99" s="189" t="n"/>
      <c r="Q99" s="189" t="n"/>
      <c r="R99" s="189" t="n"/>
      <c r="S99" s="189" t="n"/>
      <c r="T99" s="189" t="n"/>
      <c r="U99" s="189" t="n"/>
      <c r="V99" s="189" t="n"/>
      <c r="W99" s="189" t="n"/>
      <c r="X99" s="189" t="n"/>
      <c r="Y99" s="189" t="n"/>
      <c r="Z99" s="189" t="n"/>
      <c r="AA99" s="189" t="n"/>
      <c r="AB99" s="189" t="n"/>
      <c r="AC99" s="189" t="n"/>
      <c r="AD99" s="189" t="n"/>
      <c r="AE99" s="189" t="n"/>
      <c r="AF99" s="189" t="n"/>
      <c r="AG99" s="189" t="n"/>
      <c r="AH99" s="189" t="n"/>
      <c r="AI99" s="51" t="inlineStr">
        <is>
          <t>U2Y</t>
        </is>
      </c>
    </row>
    <row r="100">
      <c r="B100" s="189" t="n"/>
      <c r="C100" s="189" t="n"/>
      <c r="D100" s="189" t="n"/>
      <c r="E100" s="189">
        <f>B89</f>
        <v/>
      </c>
      <c r="F100" s="189">
        <f>C89</f>
        <v/>
      </c>
      <c r="G100" s="189">
        <f>D89</f>
        <v/>
      </c>
      <c r="H100" s="189">
        <f>E89</f>
        <v/>
      </c>
      <c r="I100" s="189">
        <f>F89</f>
        <v/>
      </c>
      <c r="J100" s="189">
        <f>G89</f>
        <v/>
      </c>
      <c r="K100" s="189" t="n"/>
      <c r="L100" s="189" t="n"/>
      <c r="M100" s="189" t="n"/>
      <c r="N100" s="189" t="n"/>
      <c r="O100" s="189" t="n"/>
      <c r="P100" s="189" t="n"/>
      <c r="Q100" s="189" t="n"/>
      <c r="R100" s="189" t="n"/>
      <c r="S100" s="189" t="n"/>
      <c r="T100" s="189" t="n"/>
      <c r="U100" s="189" t="n"/>
      <c r="V100" s="189" t="n"/>
      <c r="W100" s="189" t="n"/>
      <c r="X100" s="189" t="n"/>
      <c r="Y100" s="189" t="n"/>
      <c r="Z100" s="189" t="n"/>
      <c r="AA100" s="189" t="n"/>
      <c r="AB100" s="189" t="n"/>
      <c r="AC100" s="189" t="n"/>
      <c r="AD100" s="189" t="n"/>
      <c r="AE100" s="189" t="n"/>
      <c r="AF100" s="189" t="n"/>
      <c r="AG100" s="189" t="n"/>
      <c r="AH100" s="189" t="n"/>
      <c r="AI100" s="51" t="inlineStr">
        <is>
          <t>U2θ</t>
        </is>
      </c>
    </row>
    <row r="101">
      <c r="B101" s="189" t="n"/>
      <c r="C101" s="189" t="n"/>
      <c r="D101" s="189" t="n"/>
      <c r="E101" s="189">
        <f>B90</f>
        <v/>
      </c>
      <c r="F101" s="189">
        <f>C90</f>
        <v/>
      </c>
      <c r="G101" s="189">
        <f>D90</f>
        <v/>
      </c>
      <c r="H101" s="189">
        <f>E90</f>
        <v/>
      </c>
      <c r="I101" s="189">
        <f>F90</f>
        <v/>
      </c>
      <c r="J101" s="189">
        <f>G90</f>
        <v/>
      </c>
      <c r="K101" s="189" t="n"/>
      <c r="L101" s="189" t="n"/>
      <c r="M101" s="189" t="n"/>
      <c r="N101" s="189" t="n"/>
      <c r="O101" s="189" t="n"/>
      <c r="P101" s="189" t="n"/>
      <c r="Q101" s="189" t="n"/>
      <c r="R101" s="189" t="n"/>
      <c r="S101" s="189" t="n"/>
      <c r="T101" s="189" t="n"/>
      <c r="U101" s="189" t="n"/>
      <c r="V101" s="189" t="n"/>
      <c r="W101" s="189" t="n"/>
      <c r="X101" s="189" t="n"/>
      <c r="Y101" s="189" t="n"/>
      <c r="Z101" s="189" t="n"/>
      <c r="AA101" s="189" t="n"/>
      <c r="AB101" s="189" t="n"/>
      <c r="AC101" s="189" t="n"/>
      <c r="AD101" s="189" t="n"/>
      <c r="AE101" s="189" t="n"/>
      <c r="AF101" s="189" t="n"/>
      <c r="AG101" s="189" t="n"/>
      <c r="AH101" s="189" t="n"/>
      <c r="AI101" s="51" t="inlineStr">
        <is>
          <t>U3X</t>
        </is>
      </c>
    </row>
    <row r="102">
      <c r="B102" s="189" t="n"/>
      <c r="C102" s="189" t="n"/>
      <c r="D102" s="189" t="n"/>
      <c r="E102" s="189">
        <f>B91</f>
        <v/>
      </c>
      <c r="F102" s="189">
        <f>C91</f>
        <v/>
      </c>
      <c r="G102" s="189">
        <f>D91</f>
        <v/>
      </c>
      <c r="H102" s="189">
        <f>E91</f>
        <v/>
      </c>
      <c r="I102" s="189">
        <f>F91</f>
        <v/>
      </c>
      <c r="J102" s="189">
        <f>G91</f>
        <v/>
      </c>
      <c r="K102" s="189" t="n"/>
      <c r="L102" s="189" t="n"/>
      <c r="M102" s="189" t="n"/>
      <c r="N102" s="189" t="n"/>
      <c r="O102" s="189" t="n"/>
      <c r="P102" s="189" t="n"/>
      <c r="Q102" s="189" t="n"/>
      <c r="R102" s="189" t="n"/>
      <c r="S102" s="189" t="n"/>
      <c r="T102" s="189" t="n"/>
      <c r="U102" s="189" t="n"/>
      <c r="V102" s="189" t="n"/>
      <c r="W102" s="189" t="n"/>
      <c r="X102" s="189" t="n"/>
      <c r="Y102" s="189" t="n"/>
      <c r="Z102" s="189" t="n"/>
      <c r="AA102" s="189" t="n"/>
      <c r="AB102" s="189" t="n"/>
      <c r="AC102" s="189" t="n"/>
      <c r="AD102" s="189" t="n"/>
      <c r="AE102" s="189" t="n"/>
      <c r="AF102" s="189" t="n"/>
      <c r="AG102" s="189" t="n"/>
      <c r="AH102" s="189" t="n"/>
      <c r="AI102" s="51" t="inlineStr">
        <is>
          <t>U3Y</t>
        </is>
      </c>
    </row>
    <row r="103">
      <c r="B103" s="189" t="n"/>
      <c r="C103" s="189" t="n"/>
      <c r="D103" s="189" t="n"/>
      <c r="E103" s="189">
        <f>B92</f>
        <v/>
      </c>
      <c r="F103" s="189">
        <f>C92</f>
        <v/>
      </c>
      <c r="G103" s="189">
        <f>D92</f>
        <v/>
      </c>
      <c r="H103" s="189">
        <f>E92</f>
        <v/>
      </c>
      <c r="I103" s="189">
        <f>F92</f>
        <v/>
      </c>
      <c r="J103" s="189">
        <f>G92</f>
        <v/>
      </c>
      <c r="K103" s="189" t="n"/>
      <c r="L103" s="189" t="n"/>
      <c r="M103" s="189" t="n"/>
      <c r="N103" s="189" t="n"/>
      <c r="O103" s="189" t="n"/>
      <c r="P103" s="189" t="n"/>
      <c r="Q103" s="189" t="n"/>
      <c r="R103" s="189" t="n"/>
      <c r="S103" s="189" t="n"/>
      <c r="T103" s="189" t="n"/>
      <c r="U103" s="189" t="n"/>
      <c r="V103" s="189" t="n"/>
      <c r="W103" s="189" t="n"/>
      <c r="X103" s="189" t="n"/>
      <c r="Y103" s="189" t="n"/>
      <c r="Z103" s="189" t="n"/>
      <c r="AA103" s="189" t="n"/>
      <c r="AB103" s="189" t="n"/>
      <c r="AC103" s="189" t="n"/>
      <c r="AD103" s="189" t="n"/>
      <c r="AE103" s="189" t="n"/>
      <c r="AF103" s="189" t="n"/>
      <c r="AG103" s="189" t="n"/>
      <c r="AH103" s="189" t="n"/>
      <c r="AI103" s="51" t="inlineStr">
        <is>
          <t>U3θ</t>
        </is>
      </c>
    </row>
    <row r="104">
      <c r="B104" s="189" t="n"/>
      <c r="C104" s="189" t="n"/>
      <c r="D104" s="189" t="n"/>
      <c r="E104" s="189" t="n"/>
      <c r="F104" s="189" t="n"/>
      <c r="G104" s="189" t="n"/>
      <c r="H104" s="189" t="n"/>
      <c r="I104" s="189" t="n"/>
      <c r="J104" s="189" t="n"/>
      <c r="K104" s="189" t="n"/>
      <c r="L104" s="189" t="n"/>
      <c r="M104" s="189" t="n"/>
      <c r="N104" s="189" t="n"/>
      <c r="O104" s="189" t="n"/>
      <c r="P104" s="189" t="n"/>
      <c r="Q104" s="189" t="n"/>
      <c r="R104" s="189" t="n"/>
      <c r="S104" s="189" t="n"/>
      <c r="T104" s="189" t="n"/>
      <c r="U104" s="189" t="n"/>
      <c r="V104" s="189" t="n"/>
      <c r="W104" s="189" t="n"/>
      <c r="X104" s="189" t="n"/>
      <c r="Y104" s="189" t="n"/>
      <c r="Z104" s="189" t="n"/>
      <c r="AA104" s="189" t="n"/>
      <c r="AB104" s="189" t="n"/>
      <c r="AC104" s="189" t="n"/>
      <c r="AD104" s="189" t="n"/>
      <c r="AE104" s="189" t="n"/>
      <c r="AF104" s="189" t="n"/>
      <c r="AG104" s="189" t="n"/>
      <c r="AH104" s="189" t="n"/>
      <c r="AI104" s="51" t="inlineStr">
        <is>
          <t>U4X</t>
        </is>
      </c>
    </row>
    <row r="105">
      <c r="B105" s="189" t="n"/>
      <c r="C105" s="189" t="n"/>
      <c r="D105" s="189" t="n"/>
      <c r="E105" s="189" t="n"/>
      <c r="F105" s="189" t="n"/>
      <c r="G105" s="189" t="n"/>
      <c r="H105" s="189" t="n"/>
      <c r="I105" s="189" t="n"/>
      <c r="J105" s="189" t="n"/>
      <c r="K105" s="189" t="n"/>
      <c r="L105" s="189" t="n"/>
      <c r="M105" s="189" t="n"/>
      <c r="N105" s="189" t="n"/>
      <c r="O105" s="189" t="n"/>
      <c r="P105" s="189" t="n"/>
      <c r="Q105" s="189" t="n"/>
      <c r="R105" s="189" t="n"/>
      <c r="S105" s="189" t="n"/>
      <c r="T105" s="189" t="n"/>
      <c r="U105" s="189" t="n"/>
      <c r="V105" s="189" t="n"/>
      <c r="W105" s="189" t="n"/>
      <c r="X105" s="189" t="n"/>
      <c r="Y105" s="189" t="n"/>
      <c r="Z105" s="189" t="n"/>
      <c r="AA105" s="189" t="n"/>
      <c r="AB105" s="189" t="n"/>
      <c r="AC105" s="189" t="n"/>
      <c r="AD105" s="189" t="n"/>
      <c r="AE105" s="189" t="n"/>
      <c r="AF105" s="189" t="n"/>
      <c r="AG105" s="189" t="n"/>
      <c r="AH105" s="189" t="n"/>
      <c r="AI105" s="51" t="inlineStr">
        <is>
          <t>U4Y</t>
        </is>
      </c>
    </row>
    <row r="106">
      <c r="B106" s="189" t="n"/>
      <c r="C106" s="189" t="n"/>
      <c r="D106" s="189" t="n"/>
      <c r="E106" s="189" t="n"/>
      <c r="F106" s="189" t="n"/>
      <c r="G106" s="189" t="n"/>
      <c r="H106" s="189" t="n"/>
      <c r="I106" s="189" t="n"/>
      <c r="J106" s="189" t="n"/>
      <c r="K106" s="189" t="n"/>
      <c r="L106" s="189" t="n"/>
      <c r="M106" s="189" t="n"/>
      <c r="N106" s="189" t="n"/>
      <c r="O106" s="189" t="n"/>
      <c r="P106" s="189" t="n"/>
      <c r="Q106" s="189" t="n"/>
      <c r="R106" s="189" t="n"/>
      <c r="S106" s="189" t="n"/>
      <c r="T106" s="189" t="n"/>
      <c r="U106" s="189" t="n"/>
      <c r="V106" s="189" t="n"/>
      <c r="W106" s="189" t="n"/>
      <c r="X106" s="189" t="n"/>
      <c r="Y106" s="189" t="n"/>
      <c r="Z106" s="189" t="n"/>
      <c r="AA106" s="189" t="n"/>
      <c r="AB106" s="189" t="n"/>
      <c r="AC106" s="189" t="n"/>
      <c r="AD106" s="189" t="n"/>
      <c r="AE106" s="189" t="n"/>
      <c r="AF106" s="189" t="n"/>
      <c r="AG106" s="189" t="n"/>
      <c r="AH106" s="189" t="n"/>
      <c r="AI106" s="51" t="inlineStr">
        <is>
          <t>U4θ</t>
        </is>
      </c>
    </row>
    <row r="107">
      <c r="B107" s="189" t="n"/>
      <c r="C107" s="189" t="n"/>
      <c r="D107" s="189" t="n"/>
      <c r="E107" s="189" t="n"/>
      <c r="F107" s="189" t="n"/>
      <c r="G107" s="189" t="n"/>
      <c r="H107" s="189" t="n"/>
      <c r="I107" s="189" t="n"/>
      <c r="J107" s="189" t="n"/>
      <c r="K107" s="189" t="n"/>
      <c r="L107" s="189" t="n"/>
      <c r="M107" s="189" t="n"/>
      <c r="N107" s="189" t="n"/>
      <c r="O107" s="189" t="n"/>
      <c r="P107" s="189" t="n"/>
      <c r="Q107" s="189" t="n"/>
      <c r="R107" s="189" t="n"/>
      <c r="S107" s="189" t="n"/>
      <c r="T107" s="189" t="n"/>
      <c r="U107" s="189" t="n"/>
      <c r="V107" s="189" t="n"/>
      <c r="W107" s="189" t="n"/>
      <c r="X107" s="189" t="n"/>
      <c r="Y107" s="189" t="n"/>
      <c r="Z107" s="189" t="n"/>
      <c r="AA107" s="189" t="n"/>
      <c r="AB107" s="189" t="n"/>
      <c r="AC107" s="189" t="n"/>
      <c r="AD107" s="189" t="n"/>
      <c r="AE107" s="189" t="n"/>
      <c r="AF107" s="189" t="n"/>
      <c r="AG107" s="189" t="n"/>
      <c r="AH107" s="189" t="n"/>
      <c r="AI107" s="51" t="inlineStr">
        <is>
          <t>U5X</t>
        </is>
      </c>
    </row>
    <row r="108">
      <c r="B108" s="189" t="n"/>
      <c r="C108" s="189" t="n"/>
      <c r="D108" s="189" t="n"/>
      <c r="E108" s="189" t="n"/>
      <c r="F108" s="189" t="n"/>
      <c r="G108" s="189" t="n"/>
      <c r="H108" s="189" t="n"/>
      <c r="I108" s="189" t="n"/>
      <c r="J108" s="189" t="n"/>
      <c r="K108" s="189" t="n"/>
      <c r="L108" s="189" t="n"/>
      <c r="M108" s="189" t="n"/>
      <c r="N108" s="189" t="n"/>
      <c r="O108" s="189" t="n"/>
      <c r="P108" s="189" t="n"/>
      <c r="Q108" s="189" t="n"/>
      <c r="R108" s="189" t="n"/>
      <c r="S108" s="189" t="n"/>
      <c r="T108" s="189" t="n"/>
      <c r="U108" s="189" t="n"/>
      <c r="V108" s="189" t="n"/>
      <c r="W108" s="189" t="n"/>
      <c r="X108" s="189" t="n"/>
      <c r="Y108" s="189" t="n"/>
      <c r="Z108" s="189" t="n"/>
      <c r="AA108" s="189" t="n"/>
      <c r="AB108" s="189" t="n"/>
      <c r="AC108" s="189" t="n"/>
      <c r="AD108" s="189" t="n"/>
      <c r="AE108" s="189" t="n"/>
      <c r="AF108" s="189" t="n"/>
      <c r="AG108" s="189" t="n"/>
      <c r="AH108" s="189" t="n"/>
      <c r="AI108" s="51" t="inlineStr">
        <is>
          <t>U5Y</t>
        </is>
      </c>
    </row>
    <row r="109">
      <c r="B109" s="189" t="n"/>
      <c r="C109" s="189" t="n"/>
      <c r="D109" s="189" t="n"/>
      <c r="E109" s="189" t="n"/>
      <c r="F109" s="189" t="n"/>
      <c r="G109" s="189" t="n"/>
      <c r="H109" s="189" t="n"/>
      <c r="I109" s="189" t="n"/>
      <c r="J109" s="189" t="n"/>
      <c r="K109" s="189" t="n"/>
      <c r="L109" s="189" t="n"/>
      <c r="M109" s="189" t="n"/>
      <c r="N109" s="189" t="n"/>
      <c r="O109" s="189" t="n"/>
      <c r="P109" s="189" t="n"/>
      <c r="Q109" s="189" t="n"/>
      <c r="R109" s="189" t="n"/>
      <c r="S109" s="189" t="n"/>
      <c r="T109" s="189" t="n"/>
      <c r="U109" s="189" t="n"/>
      <c r="V109" s="189" t="n"/>
      <c r="W109" s="189" t="n"/>
      <c r="X109" s="189" t="n"/>
      <c r="Y109" s="189" t="n"/>
      <c r="Z109" s="189" t="n"/>
      <c r="AA109" s="189" t="n"/>
      <c r="AB109" s="189" t="n"/>
      <c r="AC109" s="189" t="n"/>
      <c r="AD109" s="189" t="n"/>
      <c r="AE109" s="189" t="n"/>
      <c r="AF109" s="189" t="n"/>
      <c r="AG109" s="189" t="n"/>
      <c r="AH109" s="189" t="n"/>
      <c r="AI109" s="51" t="inlineStr">
        <is>
          <t>U5θ</t>
        </is>
      </c>
    </row>
    <row r="110">
      <c r="A110" s="118" t="inlineStr">
        <is>
          <t>K2 =</t>
        </is>
      </c>
      <c r="B110" s="189" t="n"/>
      <c r="C110" s="189" t="n"/>
      <c r="D110" s="189" t="n"/>
      <c r="E110" s="189" t="n"/>
      <c r="F110" s="189" t="n"/>
      <c r="G110" s="189" t="n"/>
      <c r="H110" s="189" t="n"/>
      <c r="I110" s="189" t="n"/>
      <c r="J110" s="189" t="n"/>
      <c r="K110" s="189" t="n"/>
      <c r="L110" s="189" t="n"/>
      <c r="M110" s="189" t="n"/>
      <c r="N110" s="189" t="n"/>
      <c r="O110" s="189" t="n"/>
      <c r="P110" s="189" t="n"/>
      <c r="Q110" s="189" t="n"/>
      <c r="R110" s="189" t="n"/>
      <c r="S110" s="189" t="n"/>
      <c r="T110" s="189" t="n"/>
      <c r="U110" s="189" t="n"/>
      <c r="V110" s="189" t="n"/>
      <c r="W110" s="189" t="n"/>
      <c r="X110" s="189" t="n"/>
      <c r="Y110" s="189" t="n"/>
      <c r="Z110" s="189" t="n"/>
      <c r="AA110" s="189" t="n"/>
      <c r="AB110" s="189" t="n"/>
      <c r="AC110" s="189" t="n"/>
      <c r="AD110" s="189" t="n"/>
      <c r="AE110" s="189" t="n"/>
      <c r="AF110" s="189" t="n"/>
      <c r="AG110" s="189" t="n"/>
      <c r="AH110" s="189" t="n"/>
      <c r="AI110" s="51" t="inlineStr">
        <is>
          <t>U6X</t>
        </is>
      </c>
    </row>
    <row r="111">
      <c r="B111" s="189" t="n"/>
      <c r="C111" s="189" t="n"/>
      <c r="D111" s="189" t="n"/>
      <c r="E111" s="189" t="n"/>
      <c r="F111" s="189" t="n"/>
      <c r="G111" s="189" t="n"/>
      <c r="H111" s="189" t="n"/>
      <c r="I111" s="189" t="n"/>
      <c r="J111" s="189" t="n"/>
      <c r="K111" s="189" t="n"/>
      <c r="L111" s="189" t="n"/>
      <c r="M111" s="189" t="n"/>
      <c r="N111" s="189" t="n"/>
      <c r="O111" s="189" t="n"/>
      <c r="P111" s="189" t="n"/>
      <c r="Q111" s="189" t="n"/>
      <c r="R111" s="189" t="n"/>
      <c r="S111" s="189" t="n"/>
      <c r="T111" s="189" t="n"/>
      <c r="U111" s="189" t="n"/>
      <c r="V111" s="189" t="n"/>
      <c r="W111" s="189" t="n"/>
      <c r="X111" s="189" t="n"/>
      <c r="Y111" s="189" t="n"/>
      <c r="Z111" s="189" t="n"/>
      <c r="AA111" s="189" t="n"/>
      <c r="AB111" s="189" t="n"/>
      <c r="AC111" s="189" t="n"/>
      <c r="AD111" s="189" t="n"/>
      <c r="AE111" s="189" t="n"/>
      <c r="AF111" s="189" t="n"/>
      <c r="AG111" s="189" t="n"/>
      <c r="AH111" s="189" t="n"/>
      <c r="AI111" s="51" t="inlineStr">
        <is>
          <t>U6Y</t>
        </is>
      </c>
    </row>
    <row r="112">
      <c r="B112" s="189" t="n"/>
      <c r="C112" s="189" t="n"/>
      <c r="D112" s="189" t="n"/>
      <c r="E112" s="189" t="n"/>
      <c r="F112" s="189" t="n"/>
      <c r="G112" s="189" t="n"/>
      <c r="H112" s="189" t="n"/>
      <c r="I112" s="189" t="n"/>
      <c r="J112" s="189" t="n"/>
      <c r="K112" s="189" t="n"/>
      <c r="L112" s="189" t="n"/>
      <c r="M112" s="189" t="n"/>
      <c r="N112" s="189" t="n"/>
      <c r="O112" s="189" t="n"/>
      <c r="P112" s="189" t="n"/>
      <c r="Q112" s="189" t="n"/>
      <c r="R112" s="189" t="n"/>
      <c r="S112" s="189" t="n"/>
      <c r="T112" s="189" t="n"/>
      <c r="U112" s="189" t="n"/>
      <c r="V112" s="189" t="n"/>
      <c r="W112" s="189" t="n"/>
      <c r="X112" s="189" t="n"/>
      <c r="Y112" s="189" t="n"/>
      <c r="Z112" s="189" t="n"/>
      <c r="AA112" s="189" t="n"/>
      <c r="AB112" s="189" t="n"/>
      <c r="AC112" s="189" t="n"/>
      <c r="AD112" s="189" t="n"/>
      <c r="AE112" s="189" t="n"/>
      <c r="AF112" s="189" t="n"/>
      <c r="AG112" s="189" t="n"/>
      <c r="AH112" s="189" t="n"/>
      <c r="AI112" s="51" t="inlineStr">
        <is>
          <t>U6θ</t>
        </is>
      </c>
    </row>
    <row r="113">
      <c r="B113" s="189" t="n"/>
      <c r="C113" s="189" t="n"/>
      <c r="D113" s="189" t="n"/>
      <c r="E113" s="189" t="n"/>
      <c r="F113" s="189" t="n"/>
      <c r="G113" s="189" t="n"/>
      <c r="H113" s="189" t="n"/>
      <c r="I113" s="189" t="n"/>
      <c r="J113" s="189" t="n"/>
      <c r="K113" s="189" t="n"/>
      <c r="L113" s="189" t="n"/>
      <c r="M113" s="189" t="n"/>
      <c r="N113" s="189" t="n"/>
      <c r="O113" s="189" t="n"/>
      <c r="P113" s="189" t="n"/>
      <c r="Q113" s="189" t="n"/>
      <c r="R113" s="189" t="n"/>
      <c r="S113" s="189" t="n"/>
      <c r="T113" s="189" t="n"/>
      <c r="U113" s="189" t="n"/>
      <c r="V113" s="189" t="n"/>
      <c r="W113" s="189" t="n"/>
      <c r="X113" s="189" t="n"/>
      <c r="Y113" s="189" t="n"/>
      <c r="Z113" s="189" t="n"/>
      <c r="AA113" s="189" t="n"/>
      <c r="AB113" s="189" t="n"/>
      <c r="AC113" s="189" t="n"/>
      <c r="AD113" s="189" t="n"/>
      <c r="AE113" s="189" t="n"/>
      <c r="AF113" s="189" t="n"/>
      <c r="AG113" s="189" t="n"/>
      <c r="AH113" s="189" t="n"/>
      <c r="AI113" s="51" t="inlineStr">
        <is>
          <t>U7X</t>
        </is>
      </c>
    </row>
    <row r="114">
      <c r="B114" s="189" t="n"/>
      <c r="C114" s="189" t="n"/>
      <c r="D114" s="189" t="n"/>
      <c r="E114" s="189" t="n"/>
      <c r="F114" s="189" t="n"/>
      <c r="G114" s="189" t="n"/>
      <c r="H114" s="189" t="n"/>
      <c r="I114" s="189" t="n"/>
      <c r="J114" s="189" t="n"/>
      <c r="K114" s="189" t="n"/>
      <c r="L114" s="189" t="n"/>
      <c r="M114" s="189" t="n"/>
      <c r="N114" s="189" t="n"/>
      <c r="O114" s="189" t="n"/>
      <c r="P114" s="189" t="n"/>
      <c r="Q114" s="189" t="n"/>
      <c r="R114" s="189" t="n"/>
      <c r="S114" s="189" t="n"/>
      <c r="T114" s="189" t="n"/>
      <c r="U114" s="189" t="n"/>
      <c r="V114" s="189" t="n"/>
      <c r="W114" s="189" t="n"/>
      <c r="X114" s="189" t="n"/>
      <c r="Y114" s="189" t="n"/>
      <c r="Z114" s="189" t="n"/>
      <c r="AA114" s="189" t="n"/>
      <c r="AB114" s="189" t="n"/>
      <c r="AC114" s="189" t="n"/>
      <c r="AD114" s="189" t="n"/>
      <c r="AE114" s="189" t="n"/>
      <c r="AF114" s="189" t="n"/>
      <c r="AG114" s="189" t="n"/>
      <c r="AH114" s="189" t="n"/>
      <c r="AI114" s="51" t="inlineStr">
        <is>
          <t>U7Y</t>
        </is>
      </c>
    </row>
    <row r="115">
      <c r="B115" s="189" t="n"/>
      <c r="C115" s="189" t="n"/>
      <c r="D115" s="189" t="n"/>
      <c r="E115" s="189" t="n"/>
      <c r="F115" s="189" t="n"/>
      <c r="G115" s="189" t="n"/>
      <c r="H115" s="189" t="n"/>
      <c r="I115" s="189" t="n"/>
      <c r="J115" s="189" t="n"/>
      <c r="K115" s="189" t="n"/>
      <c r="L115" s="189" t="n"/>
      <c r="M115" s="189" t="n"/>
      <c r="N115" s="189" t="n"/>
      <c r="O115" s="189" t="n"/>
      <c r="P115" s="189" t="n"/>
      <c r="Q115" s="189" t="n"/>
      <c r="R115" s="189" t="n"/>
      <c r="S115" s="189" t="n"/>
      <c r="T115" s="189" t="n"/>
      <c r="U115" s="189" t="n"/>
      <c r="V115" s="189" t="n"/>
      <c r="W115" s="189" t="n"/>
      <c r="X115" s="189" t="n"/>
      <c r="Y115" s="189" t="n"/>
      <c r="Z115" s="189" t="n"/>
      <c r="AA115" s="189" t="n"/>
      <c r="AB115" s="189" t="n"/>
      <c r="AC115" s="189" t="n"/>
      <c r="AD115" s="189" t="n"/>
      <c r="AE115" s="189" t="n"/>
      <c r="AF115" s="189" t="n"/>
      <c r="AG115" s="189" t="n"/>
      <c r="AH115" s="189" t="n"/>
      <c r="AI115" s="51" t="inlineStr">
        <is>
          <t>U7θ</t>
        </is>
      </c>
    </row>
    <row r="116">
      <c r="B116" s="189" t="n"/>
      <c r="C116" s="189" t="n"/>
      <c r="D116" s="189" t="n"/>
      <c r="E116" s="189" t="n"/>
      <c r="F116" s="189" t="n"/>
      <c r="G116" s="189" t="n"/>
      <c r="H116" s="189" t="n"/>
      <c r="I116" s="189" t="n"/>
      <c r="J116" s="189" t="n"/>
      <c r="K116" s="189" t="n"/>
      <c r="L116" s="189" t="n"/>
      <c r="M116" s="189" t="n"/>
      <c r="N116" s="189" t="n"/>
      <c r="O116" s="189" t="n"/>
      <c r="P116" s="189" t="n"/>
      <c r="Q116" s="189" t="n"/>
      <c r="R116" s="189" t="n"/>
      <c r="S116" s="189" t="n"/>
      <c r="T116" s="189" t="n"/>
      <c r="U116" s="189" t="n"/>
      <c r="V116" s="189" t="n"/>
      <c r="W116" s="189" t="n"/>
      <c r="X116" s="189" t="n"/>
      <c r="Y116" s="189" t="n"/>
      <c r="Z116" s="189" t="n"/>
      <c r="AA116" s="189" t="n"/>
      <c r="AB116" s="189" t="n"/>
      <c r="AC116" s="189" t="n"/>
      <c r="AD116" s="189" t="n"/>
      <c r="AE116" s="189" t="n"/>
      <c r="AF116" s="189" t="n"/>
      <c r="AG116" s="189" t="n"/>
      <c r="AH116" s="189" t="n"/>
      <c r="AI116" s="51" t="inlineStr">
        <is>
          <t>U8X</t>
        </is>
      </c>
    </row>
    <row r="117">
      <c r="B117" s="189" t="n"/>
      <c r="C117" s="189" t="n"/>
      <c r="D117" s="189" t="n"/>
      <c r="E117" s="189" t="n"/>
      <c r="F117" s="189" t="n"/>
      <c r="G117" s="189" t="n"/>
      <c r="H117" s="189" t="n"/>
      <c r="I117" s="189" t="n"/>
      <c r="J117" s="189" t="n"/>
      <c r="K117" s="189" t="n"/>
      <c r="L117" s="189" t="n"/>
      <c r="M117" s="189" t="n"/>
      <c r="N117" s="189" t="n"/>
      <c r="O117" s="189" t="n"/>
      <c r="P117" s="189" t="n"/>
      <c r="Q117" s="189" t="n"/>
      <c r="R117" s="189" t="n"/>
      <c r="S117" s="189" t="n"/>
      <c r="T117" s="189" t="n"/>
      <c r="U117" s="189" t="n"/>
      <c r="V117" s="189" t="n"/>
      <c r="W117" s="189" t="n"/>
      <c r="X117" s="189" t="n"/>
      <c r="Y117" s="189" t="n"/>
      <c r="Z117" s="189" t="n"/>
      <c r="AA117" s="189" t="n"/>
      <c r="AB117" s="189" t="n"/>
      <c r="AC117" s="189" t="n"/>
      <c r="AD117" s="189" t="n"/>
      <c r="AE117" s="189" t="n"/>
      <c r="AF117" s="189" t="n"/>
      <c r="AG117" s="189" t="n"/>
      <c r="AH117" s="189" t="n"/>
      <c r="AI117" s="51" t="inlineStr">
        <is>
          <t>U8Y</t>
        </is>
      </c>
    </row>
    <row r="118">
      <c r="B118" s="189" t="n"/>
      <c r="C118" s="189" t="n"/>
      <c r="D118" s="189" t="n"/>
      <c r="E118" s="189" t="n"/>
      <c r="F118" s="189" t="n"/>
      <c r="G118" s="189" t="n"/>
      <c r="H118" s="189" t="n"/>
      <c r="I118" s="189" t="n"/>
      <c r="J118" s="189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51" t="inlineStr">
        <is>
          <t>U8θ</t>
        </is>
      </c>
    </row>
    <row r="119">
      <c r="B119" s="189" t="n"/>
      <c r="C119" s="189" t="n"/>
      <c r="D119" s="189" t="n"/>
      <c r="E119" s="189" t="n"/>
      <c r="F119" s="189" t="n"/>
      <c r="G119" s="189" t="n"/>
      <c r="H119" s="189" t="n"/>
      <c r="I119" s="189" t="n"/>
      <c r="J119" s="189" t="n"/>
      <c r="K119" s="189" t="n"/>
      <c r="L119" s="189" t="n"/>
      <c r="M119" s="189" t="n"/>
      <c r="N119" s="189" t="n"/>
      <c r="O119" s="189" t="n"/>
      <c r="P119" s="189" t="n"/>
      <c r="Q119" s="189" t="n"/>
      <c r="R119" s="189" t="n"/>
      <c r="S119" s="189" t="n"/>
      <c r="T119" s="189" t="n"/>
      <c r="U119" s="189" t="n"/>
      <c r="V119" s="189" t="n"/>
      <c r="W119" s="189" t="n"/>
      <c r="X119" s="189" t="n"/>
      <c r="Y119" s="189" t="n"/>
      <c r="Z119" s="189" t="n"/>
      <c r="AA119" s="189" t="n"/>
      <c r="AB119" s="189" t="n"/>
      <c r="AC119" s="189" t="n"/>
      <c r="AD119" s="189" t="n"/>
      <c r="AE119" s="189" t="n"/>
      <c r="AF119" s="189" t="n"/>
      <c r="AG119" s="189" t="n"/>
      <c r="AH119" s="189" t="n"/>
      <c r="AI119" s="51" t="inlineStr">
        <is>
          <t>U9X</t>
        </is>
      </c>
    </row>
    <row r="120">
      <c r="B120" s="189" t="n"/>
      <c r="C120" s="189" t="n"/>
      <c r="D120" s="189" t="n"/>
      <c r="E120" s="189" t="n"/>
      <c r="F120" s="189" t="n"/>
      <c r="G120" s="189" t="n"/>
      <c r="H120" s="189" t="n"/>
      <c r="I120" s="189" t="n"/>
      <c r="J120" s="189" t="n"/>
      <c r="K120" s="189" t="n"/>
      <c r="L120" s="189" t="n"/>
      <c r="M120" s="189" t="n"/>
      <c r="N120" s="189" t="n"/>
      <c r="O120" s="189" t="n"/>
      <c r="P120" s="189" t="n"/>
      <c r="Q120" s="189" t="n"/>
      <c r="R120" s="189" t="n"/>
      <c r="S120" s="189" t="n"/>
      <c r="T120" s="189" t="n"/>
      <c r="U120" s="189" t="n"/>
      <c r="V120" s="189" t="n"/>
      <c r="W120" s="189" t="n"/>
      <c r="X120" s="189" t="n"/>
      <c r="Y120" s="189" t="n"/>
      <c r="Z120" s="189" t="n"/>
      <c r="AA120" s="189" t="n"/>
      <c r="AB120" s="189" t="n"/>
      <c r="AC120" s="189" t="n"/>
      <c r="AD120" s="189" t="n"/>
      <c r="AE120" s="189" t="n"/>
      <c r="AF120" s="189" t="n"/>
      <c r="AG120" s="189" t="n"/>
      <c r="AH120" s="189" t="n"/>
      <c r="AI120" s="51" t="inlineStr">
        <is>
          <t>U9Y</t>
        </is>
      </c>
    </row>
    <row r="121">
      <c r="B121" s="189" t="n"/>
      <c r="C121" s="189" t="n"/>
      <c r="D121" s="189" t="n"/>
      <c r="E121" s="189" t="n"/>
      <c r="F121" s="189" t="n"/>
      <c r="G121" s="189" t="n"/>
      <c r="H121" s="189" t="n"/>
      <c r="I121" s="189" t="n"/>
      <c r="J121" s="189" t="n"/>
      <c r="K121" s="189" t="n"/>
      <c r="L121" s="189" t="n"/>
      <c r="M121" s="189" t="n"/>
      <c r="N121" s="189" t="n"/>
      <c r="O121" s="189" t="n"/>
      <c r="P121" s="189" t="n"/>
      <c r="Q121" s="189" t="n"/>
      <c r="R121" s="189" t="n"/>
      <c r="S121" s="189" t="n"/>
      <c r="T121" s="189" t="n"/>
      <c r="U121" s="189" t="n"/>
      <c r="V121" s="189" t="n"/>
      <c r="W121" s="189" t="n"/>
      <c r="X121" s="189" t="n"/>
      <c r="Y121" s="189" t="n"/>
      <c r="Z121" s="189" t="n"/>
      <c r="AA121" s="189" t="n"/>
      <c r="AB121" s="189" t="n"/>
      <c r="AC121" s="189" t="n"/>
      <c r="AD121" s="189" t="n"/>
      <c r="AE121" s="189" t="n"/>
      <c r="AF121" s="189" t="n"/>
      <c r="AG121" s="189" t="n"/>
      <c r="AH121" s="189" t="n"/>
      <c r="AI121" s="51" t="inlineStr">
        <is>
          <t>U9θ</t>
        </is>
      </c>
    </row>
    <row r="122">
      <c r="B122" s="189" t="n"/>
      <c r="C122" s="189" t="n"/>
      <c r="D122" s="189" t="n"/>
      <c r="E122" s="189" t="n"/>
      <c r="F122" s="189" t="n"/>
      <c r="G122" s="189" t="n"/>
      <c r="H122" s="189" t="n"/>
      <c r="I122" s="189" t="n"/>
      <c r="J122" s="189" t="n"/>
      <c r="K122" s="189" t="n"/>
      <c r="L122" s="189" t="n"/>
      <c r="M122" s="189" t="n"/>
      <c r="N122" s="189" t="n"/>
      <c r="O122" s="189" t="n"/>
      <c r="P122" s="189" t="n"/>
      <c r="Q122" s="189" t="n"/>
      <c r="R122" s="189" t="n"/>
      <c r="S122" s="189" t="n"/>
      <c r="T122" s="189" t="n"/>
      <c r="U122" s="189" t="n"/>
      <c r="V122" s="189" t="n"/>
      <c r="W122" s="189" t="n"/>
      <c r="X122" s="189" t="n"/>
      <c r="Y122" s="189" t="n"/>
      <c r="Z122" s="189" t="n"/>
      <c r="AA122" s="189" t="n"/>
      <c r="AB122" s="189" t="n"/>
      <c r="AC122" s="189" t="n"/>
      <c r="AD122" s="189" t="n"/>
      <c r="AE122" s="189" t="n"/>
      <c r="AF122" s="189" t="n"/>
      <c r="AG122" s="189" t="n"/>
      <c r="AH122" s="189" t="n"/>
      <c r="AI122" s="51" t="inlineStr">
        <is>
          <t>U10X</t>
        </is>
      </c>
    </row>
    <row r="123">
      <c r="B123" s="189" t="n"/>
      <c r="C123" s="189" t="n"/>
      <c r="D123" s="189" t="n"/>
      <c r="E123" s="189" t="n"/>
      <c r="F123" s="189" t="n"/>
      <c r="G123" s="189" t="n"/>
      <c r="H123" s="189" t="n"/>
      <c r="I123" s="189" t="n"/>
      <c r="J123" s="189" t="n"/>
      <c r="K123" s="189" t="n"/>
      <c r="L123" s="189" t="n"/>
      <c r="M123" s="189" t="n"/>
      <c r="N123" s="189" t="n"/>
      <c r="O123" s="189" t="n"/>
      <c r="P123" s="189" t="n"/>
      <c r="Q123" s="189" t="n"/>
      <c r="R123" s="189" t="n"/>
      <c r="S123" s="189" t="n"/>
      <c r="T123" s="189" t="n"/>
      <c r="U123" s="189" t="n"/>
      <c r="V123" s="189" t="n"/>
      <c r="W123" s="189" t="n"/>
      <c r="X123" s="189" t="n"/>
      <c r="Y123" s="189" t="n"/>
      <c r="Z123" s="189" t="n"/>
      <c r="AA123" s="189" t="n"/>
      <c r="AB123" s="189" t="n"/>
      <c r="AC123" s="189" t="n"/>
      <c r="AD123" s="189" t="n"/>
      <c r="AE123" s="189" t="n"/>
      <c r="AF123" s="189" t="n"/>
      <c r="AG123" s="189" t="n"/>
      <c r="AH123" s="189" t="n"/>
      <c r="AI123" s="51" t="inlineStr">
        <is>
          <t>U10Y</t>
        </is>
      </c>
    </row>
    <row r="124">
      <c r="B124" s="189" t="n"/>
      <c r="C124" s="189" t="n"/>
      <c r="D124" s="189" t="n"/>
      <c r="E124" s="189" t="n"/>
      <c r="F124" s="189" t="n"/>
      <c r="G124" s="189" t="n"/>
      <c r="H124" s="189" t="n"/>
      <c r="I124" s="189" t="n"/>
      <c r="J124" s="189" t="n"/>
      <c r="K124" s="189" t="n"/>
      <c r="L124" s="189" t="n"/>
      <c r="M124" s="189" t="n"/>
      <c r="N124" s="189" t="n"/>
      <c r="O124" s="189" t="n"/>
      <c r="P124" s="189" t="n"/>
      <c r="Q124" s="189" t="n"/>
      <c r="R124" s="189" t="n"/>
      <c r="S124" s="189" t="n"/>
      <c r="T124" s="189" t="n"/>
      <c r="U124" s="189" t="n"/>
      <c r="V124" s="189" t="n"/>
      <c r="W124" s="189" t="n"/>
      <c r="X124" s="189" t="n"/>
      <c r="Y124" s="189" t="n"/>
      <c r="Z124" s="189" t="n"/>
      <c r="AA124" s="189" t="n"/>
      <c r="AB124" s="189" t="n"/>
      <c r="AC124" s="189" t="n"/>
      <c r="AD124" s="189" t="n"/>
      <c r="AE124" s="189" t="n"/>
      <c r="AF124" s="189" t="n"/>
      <c r="AG124" s="189" t="n"/>
      <c r="AH124" s="189" t="n"/>
      <c r="AI124" s="51" t="inlineStr">
        <is>
          <t>U10θ</t>
        </is>
      </c>
    </row>
    <row r="125">
      <c r="B125" s="189" t="n"/>
      <c r="C125" s="189" t="n"/>
      <c r="D125" s="189" t="n"/>
      <c r="E125" s="189" t="n"/>
      <c r="F125" s="189" t="n"/>
      <c r="G125" s="189" t="n"/>
      <c r="H125" s="189" t="n"/>
      <c r="I125" s="189" t="n"/>
      <c r="J125" s="189" t="n"/>
      <c r="K125" s="189" t="n"/>
      <c r="L125" s="189" t="n"/>
      <c r="M125" s="189" t="n"/>
      <c r="N125" s="189" t="n"/>
      <c r="O125" s="189" t="n"/>
      <c r="P125" s="189" t="n"/>
      <c r="Q125" s="189" t="n"/>
      <c r="R125" s="189" t="n"/>
      <c r="S125" s="189" t="n"/>
      <c r="T125" s="189" t="n"/>
      <c r="U125" s="189" t="n"/>
      <c r="V125" s="189" t="n"/>
      <c r="W125" s="189" t="n"/>
      <c r="X125" s="189" t="n"/>
      <c r="Y125" s="189" t="n"/>
      <c r="Z125" s="189" t="n"/>
      <c r="AA125" s="189" t="n"/>
      <c r="AB125" s="189" t="n"/>
      <c r="AC125" s="189" t="n"/>
      <c r="AD125" s="189" t="n"/>
      <c r="AE125" s="189" t="n"/>
      <c r="AF125" s="189" t="n"/>
      <c r="AG125" s="189" t="n"/>
      <c r="AH125" s="189" t="n"/>
      <c r="AI125" s="51" t="inlineStr">
        <is>
          <t>U11X</t>
        </is>
      </c>
    </row>
    <row r="126">
      <c r="B126" s="189" t="n"/>
      <c r="C126" s="189" t="n"/>
      <c r="D126" s="189" t="n"/>
      <c r="E126" s="189" t="n"/>
      <c r="F126" s="189" t="n"/>
      <c r="G126" s="189" t="n"/>
      <c r="H126" s="189" t="n"/>
      <c r="I126" s="189" t="n"/>
      <c r="J126" s="189" t="n"/>
      <c r="K126" s="189" t="n"/>
      <c r="L126" s="189" t="n"/>
      <c r="M126" s="189" t="n"/>
      <c r="N126" s="189" t="n"/>
      <c r="O126" s="189" t="n"/>
      <c r="P126" s="189" t="n"/>
      <c r="Q126" s="189" t="n"/>
      <c r="R126" s="189" t="n"/>
      <c r="S126" s="189" t="n"/>
      <c r="T126" s="189" t="n"/>
      <c r="U126" s="189" t="n"/>
      <c r="V126" s="189" t="n"/>
      <c r="W126" s="189" t="n"/>
      <c r="X126" s="189" t="n"/>
      <c r="Y126" s="189" t="n"/>
      <c r="Z126" s="189" t="n"/>
      <c r="AA126" s="189" t="n"/>
      <c r="AB126" s="189" t="n"/>
      <c r="AC126" s="189" t="n"/>
      <c r="AD126" s="189" t="n"/>
      <c r="AE126" s="189" t="n"/>
      <c r="AF126" s="189" t="n"/>
      <c r="AG126" s="189" t="n"/>
      <c r="AH126" s="189" t="n"/>
      <c r="AI126" s="51" t="inlineStr">
        <is>
          <t>U11Y</t>
        </is>
      </c>
    </row>
    <row r="127">
      <c r="B127" s="189" t="n"/>
      <c r="C127" s="189" t="n"/>
      <c r="D127" s="189" t="n"/>
      <c r="E127" s="189" t="n"/>
      <c r="F127" s="189" t="n"/>
      <c r="G127" s="189" t="n"/>
      <c r="H127" s="189" t="n"/>
      <c r="I127" s="189" t="n"/>
      <c r="J127" s="189" t="n"/>
      <c r="K127" s="189" t="n"/>
      <c r="L127" s="189" t="n"/>
      <c r="M127" s="189" t="n"/>
      <c r="N127" s="189" t="n"/>
      <c r="O127" s="189" t="n"/>
      <c r="P127" s="189" t="n"/>
      <c r="Q127" s="189" t="n"/>
      <c r="R127" s="189" t="n"/>
      <c r="S127" s="189" t="n"/>
      <c r="T127" s="189" t="n"/>
      <c r="U127" s="189" t="n"/>
      <c r="V127" s="189" t="n"/>
      <c r="W127" s="189" t="n"/>
      <c r="X127" s="189" t="n"/>
      <c r="Y127" s="189" t="n"/>
      <c r="Z127" s="189" t="n"/>
      <c r="AA127" s="189" t="n"/>
      <c r="AB127" s="189" t="n"/>
      <c r="AC127" s="189" t="n"/>
      <c r="AD127" s="189" t="n"/>
      <c r="AE127" s="189" t="n"/>
      <c r="AF127" s="189" t="n"/>
      <c r="AG127" s="189" t="n"/>
      <c r="AH127" s="189" t="n"/>
      <c r="AI127" s="51" t="inlineStr">
        <is>
          <t>U11θ</t>
        </is>
      </c>
    </row>
    <row r="129">
      <c r="B129" s="51">
        <f>IF(C33="","", CONCATENATE("U",C33,C$30))</f>
        <v/>
      </c>
      <c r="C129" s="51">
        <f>IF(D33="","", CONCATENATE("U",D33,D$30))</f>
        <v/>
      </c>
      <c r="D129" s="51">
        <f>IF(E33="","", CONCATENATE("U",E33,E$30))</f>
        <v/>
      </c>
      <c r="E129" s="51">
        <f>IF(F33="","", CONCATENATE("U",F33,F$30))</f>
        <v/>
      </c>
      <c r="F129" s="51">
        <f>IF(G33="","", CONCATENATE("U",G33,G$30))</f>
        <v/>
      </c>
      <c r="G129" s="51">
        <f>IF(H33="","", CONCATENATE("U",H33,H$30))</f>
        <v/>
      </c>
    </row>
    <row r="130">
      <c r="B130" s="8">
        <f>IF(I20="", 0, M20*K20*K20+N20*L20*L20)</f>
        <v/>
      </c>
      <c r="C130" s="189">
        <f>IF(I20="", 0, (M20-N20)*(K20*L20))</f>
        <v/>
      </c>
      <c r="D130" s="189">
        <f>IF(I20="", 0, -O20*L20)</f>
        <v/>
      </c>
      <c r="E130" s="189">
        <f>-B130</f>
        <v/>
      </c>
      <c r="F130" s="189">
        <f>-C130</f>
        <v/>
      </c>
      <c r="G130" s="189">
        <f>D130</f>
        <v/>
      </c>
      <c r="H130" s="51">
        <f>B129</f>
        <v/>
      </c>
    </row>
    <row r="131">
      <c r="B131" s="189">
        <f>C130</f>
        <v/>
      </c>
      <c r="C131" s="8">
        <f>IF(I20="", 0, M20*L20*L20+N20*K20*K20)</f>
        <v/>
      </c>
      <c r="D131" s="189">
        <f>IF(I20="", 0, O20*K20)</f>
        <v/>
      </c>
      <c r="E131" s="189">
        <f>-B131</f>
        <v/>
      </c>
      <c r="F131" s="189">
        <f>-C131</f>
        <v/>
      </c>
      <c r="G131" s="189">
        <f>D131</f>
        <v/>
      </c>
      <c r="H131" s="51">
        <f>C129</f>
        <v/>
      </c>
    </row>
    <row r="132">
      <c r="A132" s="118" t="inlineStr">
        <is>
          <t>K3 =</t>
        </is>
      </c>
      <c r="B132" s="189">
        <f>D130</f>
        <v/>
      </c>
      <c r="C132" s="189">
        <f>D131</f>
        <v/>
      </c>
      <c r="D132" s="8">
        <f>IF(I20="", 0, P20)</f>
        <v/>
      </c>
      <c r="E132" s="189">
        <f>-B132</f>
        <v/>
      </c>
      <c r="F132" s="189">
        <f>-C132</f>
        <v/>
      </c>
      <c r="G132" s="189">
        <f>IF(I20="", 0, Q20)</f>
        <v/>
      </c>
      <c r="H132" s="51">
        <f>D129</f>
        <v/>
      </c>
    </row>
    <row r="133">
      <c r="B133" s="189">
        <f>E130</f>
        <v/>
      </c>
      <c r="C133" s="189">
        <f>E131</f>
        <v/>
      </c>
      <c r="D133" s="189">
        <f>E132</f>
        <v/>
      </c>
      <c r="E133" s="8">
        <f>B130</f>
        <v/>
      </c>
      <c r="F133" s="189">
        <f>C130</f>
        <v/>
      </c>
      <c r="G133" s="189">
        <f>-D130</f>
        <v/>
      </c>
      <c r="H133" s="51">
        <f>E129</f>
        <v/>
      </c>
    </row>
    <row r="134">
      <c r="B134" s="189">
        <f>F130</f>
        <v/>
      </c>
      <c r="C134" s="189">
        <f>F131</f>
        <v/>
      </c>
      <c r="D134" s="189">
        <f>F132</f>
        <v/>
      </c>
      <c r="E134" s="189">
        <f>F133</f>
        <v/>
      </c>
      <c r="F134" s="8">
        <f>C131</f>
        <v/>
      </c>
      <c r="G134" s="189">
        <f>-D131</f>
        <v/>
      </c>
      <c r="H134" s="51">
        <f>F129</f>
        <v/>
      </c>
    </row>
    <row r="135">
      <c r="B135" s="189">
        <f>G130</f>
        <v/>
      </c>
      <c r="C135" s="189">
        <f>G131</f>
        <v/>
      </c>
      <c r="D135" s="189">
        <f>G132</f>
        <v/>
      </c>
      <c r="E135" s="189">
        <f>G133</f>
        <v/>
      </c>
      <c r="F135" s="189">
        <f>G134</f>
        <v/>
      </c>
      <c r="G135" s="8">
        <f>D132</f>
        <v/>
      </c>
      <c r="H135" s="51">
        <f>G129</f>
        <v/>
      </c>
    </row>
    <row r="137">
      <c r="B137" s="51" t="inlineStr">
        <is>
          <t>U1X</t>
        </is>
      </c>
      <c r="C137" s="51" t="inlineStr">
        <is>
          <t>U1Y</t>
        </is>
      </c>
      <c r="D137" s="51" t="inlineStr">
        <is>
          <t>U1θ</t>
        </is>
      </c>
      <c r="E137" s="51" t="inlineStr">
        <is>
          <t>U2X</t>
        </is>
      </c>
      <c r="F137" s="51" t="inlineStr">
        <is>
          <t>U2Y</t>
        </is>
      </c>
      <c r="G137" s="51" t="inlineStr">
        <is>
          <t>U2θ</t>
        </is>
      </c>
      <c r="H137" s="51" t="inlineStr">
        <is>
          <t>U3X</t>
        </is>
      </c>
      <c r="I137" s="51" t="inlineStr">
        <is>
          <t>U3Y</t>
        </is>
      </c>
      <c r="J137" s="51" t="inlineStr">
        <is>
          <t>U3θ</t>
        </is>
      </c>
      <c r="K137" s="51" t="inlineStr">
        <is>
          <t>U4X</t>
        </is>
      </c>
      <c r="L137" s="51" t="inlineStr">
        <is>
          <t>U4Y</t>
        </is>
      </c>
      <c r="M137" s="51" t="inlineStr">
        <is>
          <t>U4θ</t>
        </is>
      </c>
      <c r="N137" s="51" t="inlineStr">
        <is>
          <t>U5X</t>
        </is>
      </c>
      <c r="O137" s="51" t="inlineStr">
        <is>
          <t>U5Y</t>
        </is>
      </c>
      <c r="P137" s="51" t="inlineStr">
        <is>
          <t>U5θ</t>
        </is>
      </c>
      <c r="Q137" s="51" t="inlineStr">
        <is>
          <t>U6X</t>
        </is>
      </c>
      <c r="R137" s="51" t="inlineStr">
        <is>
          <t>U6Y</t>
        </is>
      </c>
      <c r="S137" s="51" t="inlineStr">
        <is>
          <t>U6θ</t>
        </is>
      </c>
      <c r="T137" s="51" t="inlineStr">
        <is>
          <t>U7X</t>
        </is>
      </c>
      <c r="U137" s="51" t="inlineStr">
        <is>
          <t>U7Y</t>
        </is>
      </c>
      <c r="V137" s="51" t="inlineStr">
        <is>
          <t>U7θ</t>
        </is>
      </c>
      <c r="W137" s="51" t="inlineStr">
        <is>
          <t>U8X</t>
        </is>
      </c>
      <c r="X137" s="51" t="inlineStr">
        <is>
          <t>U8Y</t>
        </is>
      </c>
      <c r="Y137" s="51" t="inlineStr">
        <is>
          <t>U8θ</t>
        </is>
      </c>
      <c r="Z137" s="51" t="inlineStr">
        <is>
          <t>U9X</t>
        </is>
      </c>
      <c r="AA137" s="51" t="inlineStr">
        <is>
          <t>U9Y</t>
        </is>
      </c>
      <c r="AB137" s="51" t="inlineStr">
        <is>
          <t>U9θ</t>
        </is>
      </c>
      <c r="AC137" s="51" t="inlineStr">
        <is>
          <t>U10X</t>
        </is>
      </c>
      <c r="AD137" s="51" t="inlineStr">
        <is>
          <t>U10Y</t>
        </is>
      </c>
      <c r="AE137" s="51" t="inlineStr">
        <is>
          <t>U10θ</t>
        </is>
      </c>
      <c r="AF137" s="51" t="inlineStr">
        <is>
          <t>U11X</t>
        </is>
      </c>
      <c r="AG137" s="51" t="inlineStr">
        <is>
          <t>U11Y</t>
        </is>
      </c>
      <c r="AH137" s="51" t="inlineStr">
        <is>
          <t>U11θ</t>
        </is>
      </c>
    </row>
    <row r="138">
      <c r="B138" s="189" t="n"/>
      <c r="C138" s="189" t="n"/>
      <c r="D138" s="189" t="n"/>
      <c r="E138" s="189" t="n"/>
      <c r="F138" s="189" t="n"/>
      <c r="G138" s="189" t="n"/>
      <c r="H138" s="189" t="n"/>
      <c r="I138" s="189" t="n"/>
      <c r="J138" s="189" t="n"/>
      <c r="K138" s="189" t="n"/>
      <c r="L138" s="189" t="n"/>
      <c r="M138" s="189" t="n"/>
      <c r="N138" s="189" t="n"/>
      <c r="O138" s="189" t="n"/>
      <c r="P138" s="189" t="n"/>
      <c r="Q138" s="189" t="n"/>
      <c r="R138" s="189" t="n"/>
      <c r="S138" s="189" t="n"/>
      <c r="T138" s="189" t="n"/>
      <c r="U138" s="189" t="n"/>
      <c r="V138" s="189" t="n"/>
      <c r="W138" s="189" t="n"/>
      <c r="X138" s="189" t="n"/>
      <c r="Y138" s="189" t="n"/>
      <c r="Z138" s="189" t="n"/>
      <c r="AA138" s="189" t="n"/>
      <c r="AB138" s="189" t="n"/>
      <c r="AC138" s="189" t="n"/>
      <c r="AD138" s="189" t="n"/>
      <c r="AE138" s="189" t="n"/>
      <c r="AF138" s="189" t="n"/>
      <c r="AG138" s="189" t="n"/>
      <c r="AH138" s="189" t="n"/>
      <c r="AI138" s="51" t="inlineStr">
        <is>
          <t>U1X</t>
        </is>
      </c>
    </row>
    <row r="139">
      <c r="B139" s="189" t="n"/>
      <c r="C139" s="189" t="n"/>
      <c r="D139" s="189" t="n"/>
      <c r="E139" s="189" t="n"/>
      <c r="F139" s="189" t="n"/>
      <c r="G139" s="189" t="n"/>
      <c r="H139" s="189" t="n"/>
      <c r="I139" s="189" t="n"/>
      <c r="J139" s="189" t="n"/>
      <c r="K139" s="189" t="n"/>
      <c r="L139" s="189" t="n"/>
      <c r="M139" s="189" t="n"/>
      <c r="N139" s="189" t="n"/>
      <c r="O139" s="189" t="n"/>
      <c r="P139" s="189" t="n"/>
      <c r="Q139" s="189" t="n"/>
      <c r="R139" s="189" t="n"/>
      <c r="S139" s="189" t="n"/>
      <c r="T139" s="189" t="n"/>
      <c r="U139" s="189" t="n"/>
      <c r="V139" s="189" t="n"/>
      <c r="W139" s="189" t="n"/>
      <c r="X139" s="189" t="n"/>
      <c r="Y139" s="189" t="n"/>
      <c r="Z139" s="189" t="n"/>
      <c r="AA139" s="189" t="n"/>
      <c r="AB139" s="189" t="n"/>
      <c r="AC139" s="189" t="n"/>
      <c r="AD139" s="189" t="n"/>
      <c r="AE139" s="189" t="n"/>
      <c r="AF139" s="189" t="n"/>
      <c r="AG139" s="189" t="n"/>
      <c r="AH139" s="189" t="n"/>
      <c r="AI139" s="51" t="inlineStr">
        <is>
          <t>U1Y</t>
        </is>
      </c>
    </row>
    <row r="140">
      <c r="B140" s="189" t="n"/>
      <c r="C140" s="189" t="n"/>
      <c r="D140" s="189" t="n"/>
      <c r="E140" s="189" t="n"/>
      <c r="F140" s="189" t="n"/>
      <c r="G140" s="189" t="n"/>
      <c r="H140" s="189" t="n"/>
      <c r="I140" s="189" t="n"/>
      <c r="J140" s="189" t="n"/>
      <c r="K140" s="189" t="n"/>
      <c r="L140" s="189" t="n"/>
      <c r="M140" s="189" t="n"/>
      <c r="N140" s="189" t="n"/>
      <c r="O140" s="189" t="n"/>
      <c r="P140" s="189" t="n"/>
      <c r="Q140" s="189" t="n"/>
      <c r="R140" s="189" t="n"/>
      <c r="S140" s="189" t="n"/>
      <c r="T140" s="189" t="n"/>
      <c r="U140" s="189" t="n"/>
      <c r="V140" s="189" t="n"/>
      <c r="W140" s="189" t="n"/>
      <c r="X140" s="189" t="n"/>
      <c r="Y140" s="189" t="n"/>
      <c r="Z140" s="189" t="n"/>
      <c r="AA140" s="189" t="n"/>
      <c r="AB140" s="189" t="n"/>
      <c r="AC140" s="189" t="n"/>
      <c r="AD140" s="189" t="n"/>
      <c r="AE140" s="189" t="n"/>
      <c r="AF140" s="189" t="n"/>
      <c r="AG140" s="189" t="n"/>
      <c r="AH140" s="189" t="n"/>
      <c r="AI140" s="51" t="inlineStr">
        <is>
          <t>U1θ</t>
        </is>
      </c>
    </row>
    <row r="141">
      <c r="B141" s="189" t="n"/>
      <c r="C141" s="189" t="n"/>
      <c r="D141" s="189" t="n"/>
      <c r="E141" s="189" t="n"/>
      <c r="F141" s="189" t="n"/>
      <c r="G141" s="189" t="n"/>
      <c r="H141" s="189" t="n"/>
      <c r="I141" s="189" t="n"/>
      <c r="J141" s="189" t="n"/>
      <c r="K141" s="189" t="n"/>
      <c r="L141" s="189" t="n"/>
      <c r="M141" s="189" t="n"/>
      <c r="N141" s="189" t="n"/>
      <c r="O141" s="189" t="n"/>
      <c r="P141" s="189" t="n"/>
      <c r="Q141" s="189" t="n"/>
      <c r="R141" s="189" t="n"/>
      <c r="S141" s="189" t="n"/>
      <c r="T141" s="189" t="n"/>
      <c r="U141" s="189" t="n"/>
      <c r="V141" s="189" t="n"/>
      <c r="W141" s="189" t="n"/>
      <c r="X141" s="189" t="n"/>
      <c r="Y141" s="189" t="n"/>
      <c r="Z141" s="189" t="n"/>
      <c r="AA141" s="189" t="n"/>
      <c r="AB141" s="189" t="n"/>
      <c r="AC141" s="189" t="n"/>
      <c r="AD141" s="189" t="n"/>
      <c r="AE141" s="189" t="n"/>
      <c r="AF141" s="189" t="n"/>
      <c r="AG141" s="189" t="n"/>
      <c r="AH141" s="189" t="n"/>
      <c r="AI141" s="51" t="inlineStr">
        <is>
          <t>U2X</t>
        </is>
      </c>
    </row>
    <row r="142">
      <c r="B142" s="189" t="n"/>
      <c r="C142" s="189" t="n"/>
      <c r="D142" s="189" t="n"/>
      <c r="E142" s="189" t="n"/>
      <c r="F142" s="189" t="n"/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51" t="inlineStr">
        <is>
          <t>U2Y</t>
        </is>
      </c>
    </row>
    <row r="143">
      <c r="B143" s="189" t="n"/>
      <c r="C143" s="189" t="n"/>
      <c r="D143" s="189" t="n"/>
      <c r="E143" s="189" t="n"/>
      <c r="F143" s="189" t="n"/>
      <c r="G143" s="189" t="n"/>
      <c r="H143" s="189" t="n"/>
      <c r="I143" s="189" t="n"/>
      <c r="J143" s="189" t="n"/>
      <c r="K143" s="189" t="n"/>
      <c r="L143" s="189" t="n"/>
      <c r="M143" s="189" t="n"/>
      <c r="N143" s="189" t="n"/>
      <c r="O143" s="189" t="n"/>
      <c r="P143" s="189" t="n"/>
      <c r="Q143" s="189" t="n"/>
      <c r="R143" s="189" t="n"/>
      <c r="S143" s="189" t="n"/>
      <c r="T143" s="189" t="n"/>
      <c r="U143" s="189" t="n"/>
      <c r="V143" s="189" t="n"/>
      <c r="W143" s="189" t="n"/>
      <c r="X143" s="189" t="n"/>
      <c r="Y143" s="189" t="n"/>
      <c r="Z143" s="189" t="n"/>
      <c r="AA143" s="189" t="n"/>
      <c r="AB143" s="189" t="n"/>
      <c r="AC143" s="189" t="n"/>
      <c r="AD143" s="189" t="n"/>
      <c r="AE143" s="189" t="n"/>
      <c r="AF143" s="189" t="n"/>
      <c r="AG143" s="189" t="n"/>
      <c r="AH143" s="189" t="n"/>
      <c r="AI143" s="51" t="inlineStr">
        <is>
          <t>U2θ</t>
        </is>
      </c>
    </row>
    <row r="144">
      <c r="B144" s="189" t="n"/>
      <c r="C144" s="189" t="n"/>
      <c r="D144" s="189" t="n"/>
      <c r="E144" s="189" t="n"/>
      <c r="F144" s="189" t="n"/>
      <c r="G144" s="189" t="n"/>
      <c r="H144" s="189">
        <f>B130</f>
        <v/>
      </c>
      <c r="I144" s="189">
        <f>C130</f>
        <v/>
      </c>
      <c r="J144" s="189">
        <f>D130</f>
        <v/>
      </c>
      <c r="K144" s="189">
        <f>E130</f>
        <v/>
      </c>
      <c r="L144" s="189">
        <f>F130</f>
        <v/>
      </c>
      <c r="M144" s="189">
        <f>G130</f>
        <v/>
      </c>
      <c r="N144" s="189" t="n"/>
      <c r="O144" s="189" t="n"/>
      <c r="P144" s="189" t="n"/>
      <c r="Q144" s="189" t="n"/>
      <c r="R144" s="189" t="n"/>
      <c r="S144" s="189" t="n"/>
      <c r="T144" s="189" t="n"/>
      <c r="U144" s="189" t="n"/>
      <c r="V144" s="189" t="n"/>
      <c r="W144" s="189" t="n"/>
      <c r="X144" s="189" t="n"/>
      <c r="Y144" s="189" t="n"/>
      <c r="Z144" s="189" t="n"/>
      <c r="AA144" s="189" t="n"/>
      <c r="AB144" s="189" t="n"/>
      <c r="AC144" s="189" t="n"/>
      <c r="AD144" s="189" t="n"/>
      <c r="AE144" s="189" t="n"/>
      <c r="AF144" s="189" t="n"/>
      <c r="AG144" s="189" t="n"/>
      <c r="AH144" s="189" t="n"/>
      <c r="AI144" s="51" t="inlineStr">
        <is>
          <t>U3X</t>
        </is>
      </c>
    </row>
    <row r="145">
      <c r="B145" s="189" t="n"/>
      <c r="C145" s="189" t="n"/>
      <c r="D145" s="189" t="n"/>
      <c r="E145" s="189" t="n"/>
      <c r="F145" s="189" t="n"/>
      <c r="G145" s="189" t="n"/>
      <c r="H145" s="189">
        <f>B131</f>
        <v/>
      </c>
      <c r="I145" s="189">
        <f>C131</f>
        <v/>
      </c>
      <c r="J145" s="189">
        <f>D131</f>
        <v/>
      </c>
      <c r="K145" s="189">
        <f>E131</f>
        <v/>
      </c>
      <c r="L145" s="189">
        <f>F131</f>
        <v/>
      </c>
      <c r="M145" s="189">
        <f>G131</f>
        <v/>
      </c>
      <c r="N145" s="189" t="n"/>
      <c r="O145" s="189" t="n"/>
      <c r="P145" s="189" t="n"/>
      <c r="Q145" s="189" t="n"/>
      <c r="R145" s="189" t="n"/>
      <c r="S145" s="189" t="n"/>
      <c r="T145" s="189" t="n"/>
      <c r="U145" s="189" t="n"/>
      <c r="V145" s="189" t="n"/>
      <c r="W145" s="189" t="n"/>
      <c r="X145" s="189" t="n"/>
      <c r="Y145" s="189" t="n"/>
      <c r="Z145" s="189" t="n"/>
      <c r="AA145" s="189" t="n"/>
      <c r="AB145" s="189" t="n"/>
      <c r="AC145" s="189" t="n"/>
      <c r="AD145" s="189" t="n"/>
      <c r="AE145" s="189" t="n"/>
      <c r="AF145" s="189" t="n"/>
      <c r="AG145" s="189" t="n"/>
      <c r="AH145" s="189" t="n"/>
      <c r="AI145" s="51" t="inlineStr">
        <is>
          <t>U3Y</t>
        </is>
      </c>
    </row>
    <row r="146">
      <c r="B146" s="189" t="n"/>
      <c r="C146" s="189" t="n"/>
      <c r="D146" s="189" t="n"/>
      <c r="E146" s="189" t="n"/>
      <c r="F146" s="189" t="n"/>
      <c r="G146" s="189" t="n"/>
      <c r="H146" s="189">
        <f>B132</f>
        <v/>
      </c>
      <c r="I146" s="189">
        <f>C132</f>
        <v/>
      </c>
      <c r="J146" s="189">
        <f>D132</f>
        <v/>
      </c>
      <c r="K146" s="189">
        <f>E132</f>
        <v/>
      </c>
      <c r="L146" s="189">
        <f>F132</f>
        <v/>
      </c>
      <c r="M146" s="189">
        <f>G132</f>
        <v/>
      </c>
      <c r="N146" s="189" t="n"/>
      <c r="O146" s="189" t="n"/>
      <c r="P146" s="189" t="n"/>
      <c r="Q146" s="189" t="n"/>
      <c r="R146" s="189" t="n"/>
      <c r="S146" s="189" t="n"/>
      <c r="T146" s="189" t="n"/>
      <c r="U146" s="189" t="n"/>
      <c r="V146" s="189" t="n"/>
      <c r="W146" s="189" t="n"/>
      <c r="X146" s="189" t="n"/>
      <c r="Y146" s="189" t="n"/>
      <c r="Z146" s="189" t="n"/>
      <c r="AA146" s="189" t="n"/>
      <c r="AB146" s="189" t="n"/>
      <c r="AC146" s="189" t="n"/>
      <c r="AD146" s="189" t="n"/>
      <c r="AE146" s="189" t="n"/>
      <c r="AF146" s="189" t="n"/>
      <c r="AG146" s="189" t="n"/>
      <c r="AH146" s="189" t="n"/>
      <c r="AI146" s="51" t="inlineStr">
        <is>
          <t>U3θ</t>
        </is>
      </c>
    </row>
    <row r="147">
      <c r="B147" s="189" t="n"/>
      <c r="C147" s="189" t="n"/>
      <c r="D147" s="189" t="n"/>
      <c r="E147" s="189" t="n"/>
      <c r="F147" s="189" t="n"/>
      <c r="G147" s="189" t="n"/>
      <c r="H147" s="189">
        <f>B133</f>
        <v/>
      </c>
      <c r="I147" s="189">
        <f>C133</f>
        <v/>
      </c>
      <c r="J147" s="189">
        <f>D133</f>
        <v/>
      </c>
      <c r="K147" s="189">
        <f>E133</f>
        <v/>
      </c>
      <c r="L147" s="189">
        <f>F133</f>
        <v/>
      </c>
      <c r="M147" s="189">
        <f>G133</f>
        <v/>
      </c>
      <c r="N147" s="189" t="n"/>
      <c r="O147" s="189" t="n"/>
      <c r="P147" s="189" t="n"/>
      <c r="Q147" s="189" t="n"/>
      <c r="R147" s="189" t="n"/>
      <c r="S147" s="189" t="n"/>
      <c r="T147" s="189" t="n"/>
      <c r="U147" s="189" t="n"/>
      <c r="V147" s="189" t="n"/>
      <c r="W147" s="189" t="n"/>
      <c r="X147" s="189" t="n"/>
      <c r="Y147" s="189" t="n"/>
      <c r="Z147" s="189" t="n"/>
      <c r="AA147" s="189" t="n"/>
      <c r="AB147" s="189" t="n"/>
      <c r="AC147" s="189" t="n"/>
      <c r="AD147" s="189" t="n"/>
      <c r="AE147" s="189" t="n"/>
      <c r="AF147" s="189" t="n"/>
      <c r="AG147" s="189" t="n"/>
      <c r="AH147" s="189" t="n"/>
      <c r="AI147" s="51" t="inlineStr">
        <is>
          <t>U4X</t>
        </is>
      </c>
    </row>
    <row r="148">
      <c r="B148" s="189" t="n"/>
      <c r="C148" s="189" t="n"/>
      <c r="D148" s="189" t="n"/>
      <c r="E148" s="189" t="n"/>
      <c r="F148" s="189" t="n"/>
      <c r="G148" s="189" t="n"/>
      <c r="H148" s="189">
        <f>B134</f>
        <v/>
      </c>
      <c r="I148" s="189">
        <f>C134</f>
        <v/>
      </c>
      <c r="J148" s="189">
        <f>D134</f>
        <v/>
      </c>
      <c r="K148" s="189">
        <f>E134</f>
        <v/>
      </c>
      <c r="L148" s="189">
        <f>F134</f>
        <v/>
      </c>
      <c r="M148" s="189">
        <f>G134</f>
        <v/>
      </c>
      <c r="N148" s="189" t="n"/>
      <c r="O148" s="189" t="n"/>
      <c r="P148" s="189" t="n"/>
      <c r="Q148" s="189" t="n"/>
      <c r="R148" s="189" t="n"/>
      <c r="S148" s="189" t="n"/>
      <c r="T148" s="189" t="n"/>
      <c r="U148" s="189" t="n"/>
      <c r="V148" s="189" t="n"/>
      <c r="W148" s="189" t="n"/>
      <c r="X148" s="189" t="n"/>
      <c r="Y148" s="189" t="n"/>
      <c r="Z148" s="189" t="n"/>
      <c r="AA148" s="189" t="n"/>
      <c r="AB148" s="189" t="n"/>
      <c r="AC148" s="189" t="n"/>
      <c r="AD148" s="189" t="n"/>
      <c r="AE148" s="189" t="n"/>
      <c r="AF148" s="189" t="n"/>
      <c r="AG148" s="189" t="n"/>
      <c r="AH148" s="189" t="n"/>
      <c r="AI148" s="51" t="inlineStr">
        <is>
          <t>U4Y</t>
        </is>
      </c>
    </row>
    <row r="149">
      <c r="B149" s="189" t="n"/>
      <c r="C149" s="189" t="n"/>
      <c r="D149" s="189" t="n"/>
      <c r="E149" s="189" t="n"/>
      <c r="F149" s="189" t="n"/>
      <c r="G149" s="189" t="n"/>
      <c r="H149" s="189">
        <f>B135</f>
        <v/>
      </c>
      <c r="I149" s="189">
        <f>C135</f>
        <v/>
      </c>
      <c r="J149" s="189">
        <f>D135</f>
        <v/>
      </c>
      <c r="K149" s="189">
        <f>E135</f>
        <v/>
      </c>
      <c r="L149" s="189">
        <f>F135</f>
        <v/>
      </c>
      <c r="M149" s="189">
        <f>G135</f>
        <v/>
      </c>
      <c r="N149" s="189" t="n"/>
      <c r="O149" s="189" t="n"/>
      <c r="P149" s="189" t="n"/>
      <c r="Q149" s="189" t="n"/>
      <c r="R149" s="189" t="n"/>
      <c r="S149" s="189" t="n"/>
      <c r="T149" s="189" t="n"/>
      <c r="U149" s="189" t="n"/>
      <c r="V149" s="189" t="n"/>
      <c r="W149" s="189" t="n"/>
      <c r="X149" s="189" t="n"/>
      <c r="Y149" s="189" t="n"/>
      <c r="Z149" s="189" t="n"/>
      <c r="AA149" s="189" t="n"/>
      <c r="AB149" s="189" t="n"/>
      <c r="AC149" s="189" t="n"/>
      <c r="AD149" s="189" t="n"/>
      <c r="AE149" s="189" t="n"/>
      <c r="AF149" s="189" t="n"/>
      <c r="AG149" s="189" t="n"/>
      <c r="AH149" s="189" t="n"/>
      <c r="AI149" s="51" t="inlineStr">
        <is>
          <t>U4θ</t>
        </is>
      </c>
    </row>
    <row r="150">
      <c r="B150" s="189" t="n"/>
      <c r="C150" s="189" t="n"/>
      <c r="D150" s="189" t="n"/>
      <c r="E150" s="189" t="n"/>
      <c r="F150" s="189" t="n"/>
      <c r="G150" s="189" t="n"/>
      <c r="H150" s="189" t="n"/>
      <c r="I150" s="189" t="n"/>
      <c r="J150" s="189" t="n"/>
      <c r="K150" s="189" t="n"/>
      <c r="L150" s="189" t="n"/>
      <c r="M150" s="189" t="n"/>
      <c r="N150" s="189" t="n"/>
      <c r="O150" s="189" t="n"/>
      <c r="P150" s="189" t="n"/>
      <c r="Q150" s="189" t="n"/>
      <c r="R150" s="189" t="n"/>
      <c r="S150" s="189" t="n"/>
      <c r="T150" s="189" t="n"/>
      <c r="U150" s="189" t="n"/>
      <c r="V150" s="189" t="n"/>
      <c r="W150" s="189" t="n"/>
      <c r="X150" s="189" t="n"/>
      <c r="Y150" s="189" t="n"/>
      <c r="Z150" s="189" t="n"/>
      <c r="AA150" s="189" t="n"/>
      <c r="AB150" s="189" t="n"/>
      <c r="AC150" s="189" t="n"/>
      <c r="AD150" s="189" t="n"/>
      <c r="AE150" s="189" t="n"/>
      <c r="AF150" s="189" t="n"/>
      <c r="AG150" s="189" t="n"/>
      <c r="AH150" s="189" t="n"/>
      <c r="AI150" s="51" t="inlineStr">
        <is>
          <t>U5X</t>
        </is>
      </c>
    </row>
    <row r="151">
      <c r="B151" s="189" t="n"/>
      <c r="C151" s="189" t="n"/>
      <c r="D151" s="189" t="n"/>
      <c r="E151" s="189" t="n"/>
      <c r="F151" s="189" t="n"/>
      <c r="G151" s="189" t="n"/>
      <c r="H151" s="189" t="n"/>
      <c r="I151" s="189" t="n"/>
      <c r="J151" s="189" t="n"/>
      <c r="K151" s="189" t="n"/>
      <c r="L151" s="189" t="n"/>
      <c r="M151" s="189" t="n"/>
      <c r="N151" s="189" t="n"/>
      <c r="O151" s="189" t="n"/>
      <c r="P151" s="189" t="n"/>
      <c r="Q151" s="189" t="n"/>
      <c r="R151" s="189" t="n"/>
      <c r="S151" s="189" t="n"/>
      <c r="T151" s="189" t="n"/>
      <c r="U151" s="189" t="n"/>
      <c r="V151" s="189" t="n"/>
      <c r="W151" s="189" t="n"/>
      <c r="X151" s="189" t="n"/>
      <c r="Y151" s="189" t="n"/>
      <c r="Z151" s="189" t="n"/>
      <c r="AA151" s="189" t="n"/>
      <c r="AB151" s="189" t="n"/>
      <c r="AC151" s="189" t="n"/>
      <c r="AD151" s="189" t="n"/>
      <c r="AE151" s="189" t="n"/>
      <c r="AF151" s="189" t="n"/>
      <c r="AG151" s="189" t="n"/>
      <c r="AH151" s="189" t="n"/>
      <c r="AI151" s="51" t="inlineStr">
        <is>
          <t>U5Y</t>
        </is>
      </c>
    </row>
    <row r="152">
      <c r="B152" s="189" t="n"/>
      <c r="C152" s="189" t="n"/>
      <c r="D152" s="189" t="n"/>
      <c r="E152" s="189" t="n"/>
      <c r="F152" s="189" t="n"/>
      <c r="G152" s="189" t="n"/>
      <c r="H152" s="189" t="n"/>
      <c r="I152" s="189" t="n"/>
      <c r="J152" s="189" t="n"/>
      <c r="K152" s="189" t="n"/>
      <c r="L152" s="189" t="n"/>
      <c r="M152" s="189" t="n"/>
      <c r="N152" s="189" t="n"/>
      <c r="O152" s="189" t="n"/>
      <c r="P152" s="189" t="n"/>
      <c r="Q152" s="189" t="n"/>
      <c r="R152" s="189" t="n"/>
      <c r="S152" s="189" t="n"/>
      <c r="T152" s="189" t="n"/>
      <c r="U152" s="189" t="n"/>
      <c r="V152" s="189" t="n"/>
      <c r="W152" s="189" t="n"/>
      <c r="X152" s="189" t="n"/>
      <c r="Y152" s="189" t="n"/>
      <c r="Z152" s="189" t="n"/>
      <c r="AA152" s="189" t="n"/>
      <c r="AB152" s="189" t="n"/>
      <c r="AC152" s="189" t="n"/>
      <c r="AD152" s="189" t="n"/>
      <c r="AE152" s="189" t="n"/>
      <c r="AF152" s="189" t="n"/>
      <c r="AG152" s="189" t="n"/>
      <c r="AH152" s="189" t="n"/>
      <c r="AI152" s="51" t="inlineStr">
        <is>
          <t>U5θ</t>
        </is>
      </c>
    </row>
    <row r="153">
      <c r="A153" s="118" t="inlineStr">
        <is>
          <t>K3 =</t>
        </is>
      </c>
      <c r="B153" s="189" t="n"/>
      <c r="C153" s="189" t="n"/>
      <c r="D153" s="189" t="n"/>
      <c r="E153" s="189" t="n"/>
      <c r="F153" s="189" t="n"/>
      <c r="G153" s="189" t="n"/>
      <c r="H153" s="189" t="n"/>
      <c r="I153" s="189" t="n"/>
      <c r="J153" s="189" t="n"/>
      <c r="K153" s="189" t="n"/>
      <c r="L153" s="189" t="n"/>
      <c r="M153" s="189" t="n"/>
      <c r="N153" s="189" t="n"/>
      <c r="O153" s="189" t="n"/>
      <c r="P153" s="189" t="n"/>
      <c r="Q153" s="189" t="n"/>
      <c r="R153" s="189" t="n"/>
      <c r="S153" s="189" t="n"/>
      <c r="T153" s="189" t="n"/>
      <c r="U153" s="189" t="n"/>
      <c r="V153" s="189" t="n"/>
      <c r="W153" s="189" t="n"/>
      <c r="X153" s="189" t="n"/>
      <c r="Y153" s="189" t="n"/>
      <c r="Z153" s="189" t="n"/>
      <c r="AA153" s="189" t="n"/>
      <c r="AB153" s="189" t="n"/>
      <c r="AC153" s="189" t="n"/>
      <c r="AD153" s="189" t="n"/>
      <c r="AE153" s="189" t="n"/>
      <c r="AF153" s="189" t="n"/>
      <c r="AG153" s="189" t="n"/>
      <c r="AH153" s="189" t="n"/>
      <c r="AI153" s="51" t="inlineStr">
        <is>
          <t>U6X</t>
        </is>
      </c>
    </row>
    <row r="154">
      <c r="B154" s="189" t="n"/>
      <c r="C154" s="189" t="n"/>
      <c r="D154" s="189" t="n"/>
      <c r="E154" s="189" t="n"/>
      <c r="F154" s="189" t="n"/>
      <c r="G154" s="189" t="n"/>
      <c r="H154" s="189" t="n"/>
      <c r="I154" s="189" t="n"/>
      <c r="J154" s="189" t="n"/>
      <c r="K154" s="189" t="n"/>
      <c r="L154" s="189" t="n"/>
      <c r="M154" s="189" t="n"/>
      <c r="N154" s="189" t="n"/>
      <c r="O154" s="189" t="n"/>
      <c r="P154" s="189" t="n"/>
      <c r="Q154" s="189" t="n"/>
      <c r="R154" s="189" t="n"/>
      <c r="S154" s="189" t="n"/>
      <c r="T154" s="189" t="n"/>
      <c r="U154" s="189" t="n"/>
      <c r="V154" s="189" t="n"/>
      <c r="W154" s="189" t="n"/>
      <c r="X154" s="189" t="n"/>
      <c r="Y154" s="189" t="n"/>
      <c r="Z154" s="189" t="n"/>
      <c r="AA154" s="189" t="n"/>
      <c r="AB154" s="189" t="n"/>
      <c r="AC154" s="189" t="n"/>
      <c r="AD154" s="189" t="n"/>
      <c r="AE154" s="189" t="n"/>
      <c r="AF154" s="189" t="n"/>
      <c r="AG154" s="189" t="n"/>
      <c r="AH154" s="189" t="n"/>
      <c r="AI154" s="51" t="inlineStr">
        <is>
          <t>U6Y</t>
        </is>
      </c>
    </row>
    <row r="155">
      <c r="B155" s="189" t="n"/>
      <c r="C155" s="189" t="n"/>
      <c r="D155" s="189" t="n"/>
      <c r="E155" s="189" t="n"/>
      <c r="F155" s="189" t="n"/>
      <c r="G155" s="189" t="n"/>
      <c r="H155" s="189" t="n"/>
      <c r="I155" s="189" t="n"/>
      <c r="J155" s="189" t="n"/>
      <c r="K155" s="189" t="n"/>
      <c r="L155" s="189" t="n"/>
      <c r="M155" s="189" t="n"/>
      <c r="N155" s="189" t="n"/>
      <c r="O155" s="189" t="n"/>
      <c r="P155" s="189" t="n"/>
      <c r="Q155" s="189" t="n"/>
      <c r="R155" s="189" t="n"/>
      <c r="S155" s="189" t="n"/>
      <c r="T155" s="189" t="n"/>
      <c r="U155" s="189" t="n"/>
      <c r="V155" s="189" t="n"/>
      <c r="W155" s="189" t="n"/>
      <c r="X155" s="189" t="n"/>
      <c r="Y155" s="189" t="n"/>
      <c r="Z155" s="189" t="n"/>
      <c r="AA155" s="189" t="n"/>
      <c r="AB155" s="189" t="n"/>
      <c r="AC155" s="189" t="n"/>
      <c r="AD155" s="189" t="n"/>
      <c r="AE155" s="189" t="n"/>
      <c r="AF155" s="189" t="n"/>
      <c r="AG155" s="189" t="n"/>
      <c r="AH155" s="189" t="n"/>
      <c r="AI155" s="51" t="inlineStr">
        <is>
          <t>U6θ</t>
        </is>
      </c>
    </row>
    <row r="156">
      <c r="B156" s="189" t="n"/>
      <c r="C156" s="189" t="n"/>
      <c r="D156" s="189" t="n"/>
      <c r="E156" s="189" t="n"/>
      <c r="F156" s="189" t="n"/>
      <c r="G156" s="189" t="n"/>
      <c r="H156" s="189" t="n"/>
      <c r="I156" s="189" t="n"/>
      <c r="J156" s="189" t="n"/>
      <c r="K156" s="189" t="n"/>
      <c r="L156" s="189" t="n"/>
      <c r="M156" s="189" t="n"/>
      <c r="N156" s="189" t="n"/>
      <c r="O156" s="189" t="n"/>
      <c r="P156" s="189" t="n"/>
      <c r="Q156" s="189" t="n"/>
      <c r="R156" s="189" t="n"/>
      <c r="S156" s="189" t="n"/>
      <c r="T156" s="189" t="n"/>
      <c r="U156" s="189" t="n"/>
      <c r="V156" s="189" t="n"/>
      <c r="W156" s="189" t="n"/>
      <c r="X156" s="189" t="n"/>
      <c r="Y156" s="189" t="n"/>
      <c r="Z156" s="189" t="n"/>
      <c r="AA156" s="189" t="n"/>
      <c r="AB156" s="189" t="n"/>
      <c r="AC156" s="189" t="n"/>
      <c r="AD156" s="189" t="n"/>
      <c r="AE156" s="189" t="n"/>
      <c r="AF156" s="189" t="n"/>
      <c r="AG156" s="189" t="n"/>
      <c r="AH156" s="189" t="n"/>
      <c r="AI156" s="51" t="inlineStr">
        <is>
          <t>U7X</t>
        </is>
      </c>
    </row>
    <row r="157">
      <c r="B157" s="189" t="n"/>
      <c r="C157" s="189" t="n"/>
      <c r="D157" s="189" t="n"/>
      <c r="E157" s="189" t="n"/>
      <c r="F157" s="189" t="n"/>
      <c r="G157" s="189" t="n"/>
      <c r="H157" s="189" t="n"/>
      <c r="I157" s="189" t="n"/>
      <c r="J157" s="189" t="n"/>
      <c r="K157" s="189" t="n"/>
      <c r="L157" s="189" t="n"/>
      <c r="M157" s="189" t="n"/>
      <c r="N157" s="189" t="n"/>
      <c r="O157" s="189" t="n"/>
      <c r="P157" s="189" t="n"/>
      <c r="Q157" s="189" t="n"/>
      <c r="R157" s="189" t="n"/>
      <c r="S157" s="189" t="n"/>
      <c r="T157" s="189" t="n"/>
      <c r="U157" s="189" t="n"/>
      <c r="V157" s="189" t="n"/>
      <c r="W157" s="189" t="n"/>
      <c r="X157" s="189" t="n"/>
      <c r="Y157" s="189" t="n"/>
      <c r="Z157" s="189" t="n"/>
      <c r="AA157" s="189" t="n"/>
      <c r="AB157" s="189" t="n"/>
      <c r="AC157" s="189" t="n"/>
      <c r="AD157" s="189" t="n"/>
      <c r="AE157" s="189" t="n"/>
      <c r="AF157" s="189" t="n"/>
      <c r="AG157" s="189" t="n"/>
      <c r="AH157" s="189" t="n"/>
      <c r="AI157" s="51" t="inlineStr">
        <is>
          <t>U7Y</t>
        </is>
      </c>
    </row>
    <row r="158">
      <c r="B158" s="189" t="n"/>
      <c r="C158" s="189" t="n"/>
      <c r="D158" s="189" t="n"/>
      <c r="E158" s="189" t="n"/>
      <c r="F158" s="189" t="n"/>
      <c r="G158" s="189" t="n"/>
      <c r="H158" s="189" t="n"/>
      <c r="I158" s="189" t="n"/>
      <c r="J158" s="189" t="n"/>
      <c r="K158" s="189" t="n"/>
      <c r="L158" s="189" t="n"/>
      <c r="M158" s="189" t="n"/>
      <c r="N158" s="189" t="n"/>
      <c r="O158" s="189" t="n"/>
      <c r="P158" s="189" t="n"/>
      <c r="Q158" s="189" t="n"/>
      <c r="R158" s="189" t="n"/>
      <c r="S158" s="189" t="n"/>
      <c r="T158" s="189" t="n"/>
      <c r="U158" s="189" t="n"/>
      <c r="V158" s="189" t="n"/>
      <c r="W158" s="189" t="n"/>
      <c r="X158" s="189" t="n"/>
      <c r="Y158" s="189" t="n"/>
      <c r="Z158" s="189" t="n"/>
      <c r="AA158" s="189" t="n"/>
      <c r="AB158" s="189" t="n"/>
      <c r="AC158" s="189" t="n"/>
      <c r="AD158" s="189" t="n"/>
      <c r="AE158" s="189" t="n"/>
      <c r="AF158" s="189" t="n"/>
      <c r="AG158" s="189" t="n"/>
      <c r="AH158" s="189" t="n"/>
      <c r="AI158" s="51" t="inlineStr">
        <is>
          <t>U7θ</t>
        </is>
      </c>
    </row>
    <row r="159">
      <c r="B159" s="189" t="n"/>
      <c r="C159" s="189" t="n"/>
      <c r="D159" s="189" t="n"/>
      <c r="E159" s="189" t="n"/>
      <c r="F159" s="189" t="n"/>
      <c r="G159" s="189" t="n"/>
      <c r="H159" s="189" t="n"/>
      <c r="I159" s="189" t="n"/>
      <c r="J159" s="189" t="n"/>
      <c r="K159" s="189" t="n"/>
      <c r="L159" s="189" t="n"/>
      <c r="M159" s="189" t="n"/>
      <c r="N159" s="189" t="n"/>
      <c r="O159" s="189" t="n"/>
      <c r="P159" s="189" t="n"/>
      <c r="Q159" s="189" t="n"/>
      <c r="R159" s="189" t="n"/>
      <c r="S159" s="189" t="n"/>
      <c r="T159" s="189" t="n"/>
      <c r="U159" s="189" t="n"/>
      <c r="V159" s="189" t="n"/>
      <c r="W159" s="189" t="n"/>
      <c r="X159" s="189" t="n"/>
      <c r="Y159" s="189" t="n"/>
      <c r="Z159" s="189" t="n"/>
      <c r="AA159" s="189" t="n"/>
      <c r="AB159" s="189" t="n"/>
      <c r="AC159" s="189" t="n"/>
      <c r="AD159" s="189" t="n"/>
      <c r="AE159" s="189" t="n"/>
      <c r="AF159" s="189" t="n"/>
      <c r="AG159" s="189" t="n"/>
      <c r="AH159" s="189" t="n"/>
      <c r="AI159" s="51" t="inlineStr">
        <is>
          <t>U8X</t>
        </is>
      </c>
    </row>
    <row r="160">
      <c r="B160" s="189" t="n"/>
      <c r="C160" s="189" t="n"/>
      <c r="D160" s="189" t="n"/>
      <c r="E160" s="189" t="n"/>
      <c r="F160" s="189" t="n"/>
      <c r="G160" s="189" t="n"/>
      <c r="H160" s="189" t="n"/>
      <c r="I160" s="189" t="n"/>
      <c r="J160" s="189" t="n"/>
      <c r="K160" s="189" t="n"/>
      <c r="L160" s="189" t="n"/>
      <c r="M160" s="189" t="n"/>
      <c r="N160" s="189" t="n"/>
      <c r="O160" s="189" t="n"/>
      <c r="P160" s="189" t="n"/>
      <c r="Q160" s="189" t="n"/>
      <c r="R160" s="189" t="n"/>
      <c r="S160" s="189" t="n"/>
      <c r="T160" s="189" t="n"/>
      <c r="U160" s="189" t="n"/>
      <c r="V160" s="189" t="n"/>
      <c r="W160" s="189" t="n"/>
      <c r="X160" s="189" t="n"/>
      <c r="Y160" s="189" t="n"/>
      <c r="Z160" s="189" t="n"/>
      <c r="AA160" s="189" t="n"/>
      <c r="AB160" s="189" t="n"/>
      <c r="AC160" s="189" t="n"/>
      <c r="AD160" s="189" t="n"/>
      <c r="AE160" s="189" t="n"/>
      <c r="AF160" s="189" t="n"/>
      <c r="AG160" s="189" t="n"/>
      <c r="AH160" s="189" t="n"/>
      <c r="AI160" s="51" t="inlineStr">
        <is>
          <t>U8Y</t>
        </is>
      </c>
    </row>
    <row r="161">
      <c r="B161" s="189" t="n"/>
      <c r="C161" s="189" t="n"/>
      <c r="D161" s="189" t="n"/>
      <c r="E161" s="189" t="n"/>
      <c r="F161" s="189" t="n"/>
      <c r="G161" s="189" t="n"/>
      <c r="H161" s="189" t="n"/>
      <c r="I161" s="189" t="n"/>
      <c r="J161" s="189" t="n"/>
      <c r="K161" s="189" t="n"/>
      <c r="L161" s="189" t="n"/>
      <c r="M161" s="189" t="n"/>
      <c r="N161" s="189" t="n"/>
      <c r="O161" s="189" t="n"/>
      <c r="P161" s="189" t="n"/>
      <c r="Q161" s="189" t="n"/>
      <c r="R161" s="189" t="n"/>
      <c r="S161" s="189" t="n"/>
      <c r="T161" s="189" t="n"/>
      <c r="U161" s="189" t="n"/>
      <c r="V161" s="189" t="n"/>
      <c r="W161" s="189" t="n"/>
      <c r="X161" s="189" t="n"/>
      <c r="Y161" s="189" t="n"/>
      <c r="Z161" s="189" t="n"/>
      <c r="AA161" s="189" t="n"/>
      <c r="AB161" s="189" t="n"/>
      <c r="AC161" s="189" t="n"/>
      <c r="AD161" s="189" t="n"/>
      <c r="AE161" s="189" t="n"/>
      <c r="AF161" s="189" t="n"/>
      <c r="AG161" s="189" t="n"/>
      <c r="AH161" s="189" t="n"/>
      <c r="AI161" s="51" t="inlineStr">
        <is>
          <t>U8θ</t>
        </is>
      </c>
    </row>
    <row r="162">
      <c r="B162" s="189" t="n"/>
      <c r="C162" s="189" t="n"/>
      <c r="D162" s="189" t="n"/>
      <c r="E162" s="189" t="n"/>
      <c r="F162" s="189" t="n"/>
      <c r="G162" s="189" t="n"/>
      <c r="H162" s="189" t="n"/>
      <c r="I162" s="189" t="n"/>
      <c r="J162" s="189" t="n"/>
      <c r="K162" s="189" t="n"/>
      <c r="L162" s="189" t="n"/>
      <c r="M162" s="189" t="n"/>
      <c r="N162" s="189" t="n"/>
      <c r="O162" s="189" t="n"/>
      <c r="P162" s="189" t="n"/>
      <c r="Q162" s="189" t="n"/>
      <c r="R162" s="189" t="n"/>
      <c r="S162" s="189" t="n"/>
      <c r="T162" s="189" t="n"/>
      <c r="U162" s="189" t="n"/>
      <c r="V162" s="189" t="n"/>
      <c r="W162" s="189" t="n"/>
      <c r="X162" s="189" t="n"/>
      <c r="Y162" s="189" t="n"/>
      <c r="Z162" s="189" t="n"/>
      <c r="AA162" s="189" t="n"/>
      <c r="AB162" s="189" t="n"/>
      <c r="AC162" s="189" t="n"/>
      <c r="AD162" s="189" t="n"/>
      <c r="AE162" s="189" t="n"/>
      <c r="AF162" s="189" t="n"/>
      <c r="AG162" s="189" t="n"/>
      <c r="AH162" s="189" t="n"/>
      <c r="AI162" s="51" t="inlineStr">
        <is>
          <t>U9X</t>
        </is>
      </c>
    </row>
    <row r="163">
      <c r="B163" s="189" t="n"/>
      <c r="C163" s="189" t="n"/>
      <c r="D163" s="189" t="n"/>
      <c r="E163" s="189" t="n"/>
      <c r="F163" s="189" t="n"/>
      <c r="G163" s="189" t="n"/>
      <c r="H163" s="189" t="n"/>
      <c r="I163" s="189" t="n"/>
      <c r="J163" s="189" t="n"/>
      <c r="K163" s="189" t="n"/>
      <c r="L163" s="189" t="n"/>
      <c r="M163" s="189" t="n"/>
      <c r="N163" s="189" t="n"/>
      <c r="O163" s="189" t="n"/>
      <c r="P163" s="189" t="n"/>
      <c r="Q163" s="189" t="n"/>
      <c r="R163" s="189" t="n"/>
      <c r="S163" s="189" t="n"/>
      <c r="T163" s="189" t="n"/>
      <c r="U163" s="189" t="n"/>
      <c r="V163" s="189" t="n"/>
      <c r="W163" s="189" t="n"/>
      <c r="X163" s="189" t="n"/>
      <c r="Y163" s="189" t="n"/>
      <c r="Z163" s="189" t="n"/>
      <c r="AA163" s="189" t="n"/>
      <c r="AB163" s="189" t="n"/>
      <c r="AC163" s="189" t="n"/>
      <c r="AD163" s="189" t="n"/>
      <c r="AE163" s="189" t="n"/>
      <c r="AF163" s="189" t="n"/>
      <c r="AG163" s="189" t="n"/>
      <c r="AH163" s="189" t="n"/>
      <c r="AI163" s="51" t="inlineStr">
        <is>
          <t>U9Y</t>
        </is>
      </c>
    </row>
    <row r="164">
      <c r="B164" s="189" t="n"/>
      <c r="C164" s="189" t="n"/>
      <c r="D164" s="189" t="n"/>
      <c r="E164" s="189" t="n"/>
      <c r="F164" s="189" t="n"/>
      <c r="G164" s="189" t="n"/>
      <c r="H164" s="189" t="n"/>
      <c r="I164" s="189" t="n"/>
      <c r="J164" s="189" t="n"/>
      <c r="K164" s="189" t="n"/>
      <c r="L164" s="189" t="n"/>
      <c r="M164" s="189" t="n"/>
      <c r="N164" s="189" t="n"/>
      <c r="O164" s="189" t="n"/>
      <c r="P164" s="189" t="n"/>
      <c r="Q164" s="189" t="n"/>
      <c r="R164" s="189" t="n"/>
      <c r="S164" s="189" t="n"/>
      <c r="T164" s="189" t="n"/>
      <c r="U164" s="189" t="n"/>
      <c r="V164" s="189" t="n"/>
      <c r="W164" s="189" t="n"/>
      <c r="X164" s="189" t="n"/>
      <c r="Y164" s="189" t="n"/>
      <c r="Z164" s="189" t="n"/>
      <c r="AA164" s="189" t="n"/>
      <c r="AB164" s="189" t="n"/>
      <c r="AC164" s="189" t="n"/>
      <c r="AD164" s="189" t="n"/>
      <c r="AE164" s="189" t="n"/>
      <c r="AF164" s="189" t="n"/>
      <c r="AG164" s="189" t="n"/>
      <c r="AH164" s="189" t="n"/>
      <c r="AI164" s="51" t="inlineStr">
        <is>
          <t>U9θ</t>
        </is>
      </c>
    </row>
    <row r="165">
      <c r="B165" s="189" t="n"/>
      <c r="C165" s="189" t="n"/>
      <c r="D165" s="189" t="n"/>
      <c r="E165" s="189" t="n"/>
      <c r="F165" s="189" t="n"/>
      <c r="G165" s="189" t="n"/>
      <c r="H165" s="189" t="n"/>
      <c r="I165" s="189" t="n"/>
      <c r="J165" s="189" t="n"/>
      <c r="K165" s="189" t="n"/>
      <c r="L165" s="189" t="n"/>
      <c r="M165" s="189" t="n"/>
      <c r="N165" s="189" t="n"/>
      <c r="O165" s="189" t="n"/>
      <c r="P165" s="189" t="n"/>
      <c r="Q165" s="189" t="n"/>
      <c r="R165" s="189" t="n"/>
      <c r="S165" s="189" t="n"/>
      <c r="T165" s="189" t="n"/>
      <c r="U165" s="189" t="n"/>
      <c r="V165" s="189" t="n"/>
      <c r="W165" s="189" t="n"/>
      <c r="X165" s="189" t="n"/>
      <c r="Y165" s="189" t="n"/>
      <c r="Z165" s="189" t="n"/>
      <c r="AA165" s="189" t="n"/>
      <c r="AB165" s="189" t="n"/>
      <c r="AC165" s="189" t="n"/>
      <c r="AD165" s="189" t="n"/>
      <c r="AE165" s="189" t="n"/>
      <c r="AF165" s="189" t="n"/>
      <c r="AG165" s="189" t="n"/>
      <c r="AH165" s="189" t="n"/>
      <c r="AI165" s="51" t="inlineStr">
        <is>
          <t>U10X</t>
        </is>
      </c>
    </row>
    <row r="166">
      <c r="B166" s="189" t="n"/>
      <c r="C166" s="189" t="n"/>
      <c r="D166" s="189" t="n"/>
      <c r="E166" s="189" t="n"/>
      <c r="F166" s="189" t="n"/>
      <c r="G166" s="189" t="n"/>
      <c r="H166" s="189" t="n"/>
      <c r="I166" s="189" t="n"/>
      <c r="J166" s="189" t="n"/>
      <c r="K166" s="189" t="n"/>
      <c r="L166" s="189" t="n"/>
      <c r="M166" s="189" t="n"/>
      <c r="N166" s="189" t="n"/>
      <c r="O166" s="189" t="n"/>
      <c r="P166" s="189" t="n"/>
      <c r="Q166" s="189" t="n"/>
      <c r="R166" s="189" t="n"/>
      <c r="S166" s="189" t="n"/>
      <c r="T166" s="189" t="n"/>
      <c r="U166" s="189" t="n"/>
      <c r="V166" s="189" t="n"/>
      <c r="W166" s="189" t="n"/>
      <c r="X166" s="189" t="n"/>
      <c r="Y166" s="189" t="n"/>
      <c r="Z166" s="189" t="n"/>
      <c r="AA166" s="189" t="n"/>
      <c r="AB166" s="189" t="n"/>
      <c r="AC166" s="189" t="n"/>
      <c r="AD166" s="189" t="n"/>
      <c r="AE166" s="189" t="n"/>
      <c r="AF166" s="189" t="n"/>
      <c r="AG166" s="189" t="n"/>
      <c r="AH166" s="189" t="n"/>
      <c r="AI166" s="51" t="inlineStr">
        <is>
          <t>U10Y</t>
        </is>
      </c>
    </row>
    <row r="167">
      <c r="B167" s="189" t="n"/>
      <c r="C167" s="189" t="n"/>
      <c r="D167" s="189" t="n"/>
      <c r="E167" s="189" t="n"/>
      <c r="F167" s="189" t="n"/>
      <c r="G167" s="189" t="n"/>
      <c r="H167" s="189" t="n"/>
      <c r="I167" s="189" t="n"/>
      <c r="J167" s="189" t="n"/>
      <c r="K167" s="189" t="n"/>
      <c r="L167" s="189" t="n"/>
      <c r="M167" s="189" t="n"/>
      <c r="N167" s="189" t="n"/>
      <c r="O167" s="189" t="n"/>
      <c r="P167" s="189" t="n"/>
      <c r="Q167" s="189" t="n"/>
      <c r="R167" s="189" t="n"/>
      <c r="S167" s="189" t="n"/>
      <c r="T167" s="189" t="n"/>
      <c r="U167" s="189" t="n"/>
      <c r="V167" s="189" t="n"/>
      <c r="W167" s="189" t="n"/>
      <c r="X167" s="189" t="n"/>
      <c r="Y167" s="189" t="n"/>
      <c r="Z167" s="189" t="n"/>
      <c r="AA167" s="189" t="n"/>
      <c r="AB167" s="189" t="n"/>
      <c r="AC167" s="189" t="n"/>
      <c r="AD167" s="189" t="n"/>
      <c r="AE167" s="189" t="n"/>
      <c r="AF167" s="189" t="n"/>
      <c r="AG167" s="189" t="n"/>
      <c r="AH167" s="189" t="n"/>
      <c r="AI167" s="51" t="inlineStr">
        <is>
          <t>U10θ</t>
        </is>
      </c>
    </row>
    <row r="168">
      <c r="B168" s="189" t="n"/>
      <c r="C168" s="189" t="n"/>
      <c r="D168" s="189" t="n"/>
      <c r="E168" s="189" t="n"/>
      <c r="F168" s="189" t="n"/>
      <c r="G168" s="189" t="n"/>
      <c r="H168" s="189" t="n"/>
      <c r="I168" s="189" t="n"/>
      <c r="J168" s="189" t="n"/>
      <c r="K168" s="189" t="n"/>
      <c r="L168" s="189" t="n"/>
      <c r="M168" s="189" t="n"/>
      <c r="N168" s="189" t="n"/>
      <c r="O168" s="189" t="n"/>
      <c r="P168" s="189" t="n"/>
      <c r="Q168" s="189" t="n"/>
      <c r="R168" s="189" t="n"/>
      <c r="S168" s="189" t="n"/>
      <c r="T168" s="189" t="n"/>
      <c r="U168" s="189" t="n"/>
      <c r="V168" s="189" t="n"/>
      <c r="W168" s="189" t="n"/>
      <c r="X168" s="189" t="n"/>
      <c r="Y168" s="189" t="n"/>
      <c r="Z168" s="189" t="n"/>
      <c r="AA168" s="189" t="n"/>
      <c r="AB168" s="189" t="n"/>
      <c r="AC168" s="189" t="n"/>
      <c r="AD168" s="189" t="n"/>
      <c r="AE168" s="189" t="n"/>
      <c r="AF168" s="189" t="n"/>
      <c r="AG168" s="189" t="n"/>
      <c r="AH168" s="189" t="n"/>
      <c r="AI168" s="51" t="inlineStr">
        <is>
          <t>U11X</t>
        </is>
      </c>
    </row>
    <row r="169">
      <c r="B169" s="189" t="n"/>
      <c r="C169" s="189" t="n"/>
      <c r="D169" s="189" t="n"/>
      <c r="E169" s="189" t="n"/>
      <c r="F169" s="189" t="n"/>
      <c r="G169" s="189" t="n"/>
      <c r="H169" s="189" t="n"/>
      <c r="I169" s="189" t="n"/>
      <c r="J169" s="189" t="n"/>
      <c r="K169" s="189" t="n"/>
      <c r="L169" s="189" t="n"/>
      <c r="M169" s="189" t="n"/>
      <c r="N169" s="189" t="n"/>
      <c r="O169" s="189" t="n"/>
      <c r="P169" s="189" t="n"/>
      <c r="Q169" s="189" t="n"/>
      <c r="R169" s="189" t="n"/>
      <c r="S169" s="189" t="n"/>
      <c r="T169" s="189" t="n"/>
      <c r="U169" s="189" t="n"/>
      <c r="V169" s="189" t="n"/>
      <c r="W169" s="189" t="n"/>
      <c r="X169" s="189" t="n"/>
      <c r="Y169" s="189" t="n"/>
      <c r="Z169" s="189" t="n"/>
      <c r="AA169" s="189" t="n"/>
      <c r="AB169" s="189" t="n"/>
      <c r="AC169" s="189" t="n"/>
      <c r="AD169" s="189" t="n"/>
      <c r="AE169" s="189" t="n"/>
      <c r="AF169" s="189" t="n"/>
      <c r="AG169" s="189" t="n"/>
      <c r="AH169" s="189" t="n"/>
      <c r="AI169" s="51" t="inlineStr">
        <is>
          <t>U11Y</t>
        </is>
      </c>
    </row>
    <row r="170">
      <c r="B170" s="189" t="n"/>
      <c r="C170" s="189" t="n"/>
      <c r="D170" s="189" t="n"/>
      <c r="E170" s="189" t="n"/>
      <c r="F170" s="189" t="n"/>
      <c r="G170" s="189" t="n"/>
      <c r="H170" s="189" t="n"/>
      <c r="I170" s="189" t="n"/>
      <c r="J170" s="189" t="n"/>
      <c r="K170" s="189" t="n"/>
      <c r="L170" s="189" t="n"/>
      <c r="M170" s="189" t="n"/>
      <c r="N170" s="189" t="n"/>
      <c r="O170" s="189" t="n"/>
      <c r="P170" s="189" t="n"/>
      <c r="Q170" s="189" t="n"/>
      <c r="R170" s="189" t="n"/>
      <c r="S170" s="189" t="n"/>
      <c r="T170" s="189" t="n"/>
      <c r="U170" s="189" t="n"/>
      <c r="V170" s="189" t="n"/>
      <c r="W170" s="189" t="n"/>
      <c r="X170" s="189" t="n"/>
      <c r="Y170" s="189" t="n"/>
      <c r="Z170" s="189" t="n"/>
      <c r="AA170" s="189" t="n"/>
      <c r="AB170" s="189" t="n"/>
      <c r="AC170" s="189" t="n"/>
      <c r="AD170" s="189" t="n"/>
      <c r="AE170" s="189" t="n"/>
      <c r="AF170" s="189" t="n"/>
      <c r="AG170" s="189" t="n"/>
      <c r="AH170" s="189" t="n"/>
      <c r="AI170" s="51" t="inlineStr">
        <is>
          <t>U11θ</t>
        </is>
      </c>
    </row>
    <row r="172">
      <c r="B172" s="51">
        <f>IF(C34="","", CONCATENATE("U",C34,C$30))</f>
        <v/>
      </c>
      <c r="C172" s="51">
        <f>IF(D34="","", CONCATENATE("U",D34,D$30))</f>
        <v/>
      </c>
      <c r="D172" s="51">
        <f>IF(E34="","", CONCATENATE("U",E34,E$30))</f>
        <v/>
      </c>
      <c r="E172" s="51">
        <f>IF(F34="","", CONCATENATE("U",F34,F$30))</f>
        <v/>
      </c>
      <c r="F172" s="51">
        <f>IF(G34="","", CONCATENATE("U",G34,G$30))</f>
        <v/>
      </c>
      <c r="G172" s="51">
        <f>IF(H34="","", CONCATENATE("U",H34,H$30))</f>
        <v/>
      </c>
    </row>
    <row r="173">
      <c r="B173" s="8">
        <f>IF(I21="", 0, M21*K21*K21+N21*L21*L21)</f>
        <v/>
      </c>
      <c r="C173" s="189">
        <f>IF(I21="", 0, (M21-N21)*(K21*L21))</f>
        <v/>
      </c>
      <c r="D173" s="189">
        <f>IF(I21="", 0, -O21*L21)</f>
        <v/>
      </c>
      <c r="E173" s="189">
        <f>-B173</f>
        <v/>
      </c>
      <c r="F173" s="189">
        <f>-C173</f>
        <v/>
      </c>
      <c r="G173" s="189">
        <f>D173</f>
        <v/>
      </c>
      <c r="H173" s="51">
        <f>B172</f>
        <v/>
      </c>
    </row>
    <row r="174">
      <c r="B174" s="189">
        <f>C173</f>
        <v/>
      </c>
      <c r="C174" s="8">
        <f>IF(I21="", 0, M21*L21*L21+N21*K21*K21)</f>
        <v/>
      </c>
      <c r="D174" s="189">
        <f>IF(I21="", 0, O21*K21)</f>
        <v/>
      </c>
      <c r="E174" s="189">
        <f>-B174</f>
        <v/>
      </c>
      <c r="F174" s="189">
        <f>-C174</f>
        <v/>
      </c>
      <c r="G174" s="189">
        <f>D174</f>
        <v/>
      </c>
      <c r="H174" s="51">
        <f>C172</f>
        <v/>
      </c>
    </row>
    <row r="175">
      <c r="A175" s="118" t="inlineStr">
        <is>
          <t>K4 =</t>
        </is>
      </c>
      <c r="B175" s="189">
        <f>D173</f>
        <v/>
      </c>
      <c r="C175" s="189">
        <f>D174</f>
        <v/>
      </c>
      <c r="D175" s="8">
        <f>IF(I21="", 0, P21)</f>
        <v/>
      </c>
      <c r="E175" s="189">
        <f>-B175</f>
        <v/>
      </c>
      <c r="F175" s="189">
        <f>-C175</f>
        <v/>
      </c>
      <c r="G175" s="189">
        <f>IF(I21="", 0, Q21)</f>
        <v/>
      </c>
      <c r="H175" s="51">
        <f>D172</f>
        <v/>
      </c>
    </row>
    <row r="176">
      <c r="B176" s="189">
        <f>E173</f>
        <v/>
      </c>
      <c r="C176" s="189">
        <f>E174</f>
        <v/>
      </c>
      <c r="D176" s="189">
        <f>E175</f>
        <v/>
      </c>
      <c r="E176" s="8">
        <f>B173</f>
        <v/>
      </c>
      <c r="F176" s="189">
        <f>C173</f>
        <v/>
      </c>
      <c r="G176" s="189">
        <f>-D173</f>
        <v/>
      </c>
      <c r="H176" s="51">
        <f>E172</f>
        <v/>
      </c>
    </row>
    <row r="177">
      <c r="B177" s="189">
        <f>F173</f>
        <v/>
      </c>
      <c r="C177" s="189">
        <f>F174</f>
        <v/>
      </c>
      <c r="D177" s="189">
        <f>F175</f>
        <v/>
      </c>
      <c r="E177" s="189">
        <f>F176</f>
        <v/>
      </c>
      <c r="F177" s="8">
        <f>C174</f>
        <v/>
      </c>
      <c r="G177" s="189">
        <f>-D174</f>
        <v/>
      </c>
      <c r="H177" s="51">
        <f>F172</f>
        <v/>
      </c>
    </row>
    <row r="178">
      <c r="B178" s="189">
        <f>G173</f>
        <v/>
      </c>
      <c r="C178" s="189">
        <f>G174</f>
        <v/>
      </c>
      <c r="D178" s="189">
        <f>G175</f>
        <v/>
      </c>
      <c r="E178" s="189">
        <f>G176</f>
        <v/>
      </c>
      <c r="F178" s="189">
        <f>G177</f>
        <v/>
      </c>
      <c r="G178" s="8">
        <f>D175</f>
        <v/>
      </c>
      <c r="H178" s="51">
        <f>G172</f>
        <v/>
      </c>
    </row>
    <row r="180">
      <c r="B180" s="51" t="inlineStr">
        <is>
          <t>U1X</t>
        </is>
      </c>
      <c r="C180" s="51" t="inlineStr">
        <is>
          <t>U1Y</t>
        </is>
      </c>
      <c r="D180" s="51" t="inlineStr">
        <is>
          <t>U1θ</t>
        </is>
      </c>
      <c r="E180" s="51" t="inlineStr">
        <is>
          <t>U2X</t>
        </is>
      </c>
      <c r="F180" s="51" t="inlineStr">
        <is>
          <t>U2Y</t>
        </is>
      </c>
      <c r="G180" s="51" t="inlineStr">
        <is>
          <t>U2θ</t>
        </is>
      </c>
      <c r="H180" s="51" t="inlineStr">
        <is>
          <t>U3X</t>
        </is>
      </c>
      <c r="I180" s="51" t="inlineStr">
        <is>
          <t>U3Y</t>
        </is>
      </c>
      <c r="J180" s="51" t="inlineStr">
        <is>
          <t>U3θ</t>
        </is>
      </c>
      <c r="K180" s="51" t="inlineStr">
        <is>
          <t>U4X</t>
        </is>
      </c>
      <c r="L180" s="51" t="inlineStr">
        <is>
          <t>U4Y</t>
        </is>
      </c>
      <c r="M180" s="51" t="inlineStr">
        <is>
          <t>U4θ</t>
        </is>
      </c>
      <c r="N180" s="51" t="inlineStr">
        <is>
          <t>U5X</t>
        </is>
      </c>
      <c r="O180" s="51" t="inlineStr">
        <is>
          <t>U5Y</t>
        </is>
      </c>
      <c r="P180" s="51" t="inlineStr">
        <is>
          <t>U5θ</t>
        </is>
      </c>
      <c r="Q180" s="51" t="inlineStr">
        <is>
          <t>U6X</t>
        </is>
      </c>
      <c r="R180" s="51" t="inlineStr">
        <is>
          <t>U6Y</t>
        </is>
      </c>
      <c r="S180" s="51" t="inlineStr">
        <is>
          <t>U6θ</t>
        </is>
      </c>
      <c r="T180" s="51" t="inlineStr">
        <is>
          <t>U7X</t>
        </is>
      </c>
      <c r="U180" s="51" t="inlineStr">
        <is>
          <t>U7Y</t>
        </is>
      </c>
      <c r="V180" s="51" t="inlineStr">
        <is>
          <t>U7θ</t>
        </is>
      </c>
      <c r="W180" s="51" t="inlineStr">
        <is>
          <t>U8X</t>
        </is>
      </c>
      <c r="X180" s="51" t="inlineStr">
        <is>
          <t>U8Y</t>
        </is>
      </c>
      <c r="Y180" s="51" t="inlineStr">
        <is>
          <t>U8θ</t>
        </is>
      </c>
      <c r="Z180" s="51" t="inlineStr">
        <is>
          <t>U9X</t>
        </is>
      </c>
      <c r="AA180" s="51" t="inlineStr">
        <is>
          <t>U9Y</t>
        </is>
      </c>
      <c r="AB180" s="51" t="inlineStr">
        <is>
          <t>U9θ</t>
        </is>
      </c>
      <c r="AC180" s="51" t="inlineStr">
        <is>
          <t>U10X</t>
        </is>
      </c>
      <c r="AD180" s="51" t="inlineStr">
        <is>
          <t>U10Y</t>
        </is>
      </c>
      <c r="AE180" s="51" t="inlineStr">
        <is>
          <t>U10θ</t>
        </is>
      </c>
      <c r="AF180" s="51" t="inlineStr">
        <is>
          <t>U11X</t>
        </is>
      </c>
      <c r="AG180" s="51" t="inlineStr">
        <is>
          <t>U11Y</t>
        </is>
      </c>
      <c r="AH180" s="51" t="inlineStr">
        <is>
          <t>U11θ</t>
        </is>
      </c>
    </row>
    <row r="181">
      <c r="B181" s="189" t="n"/>
      <c r="C181" s="189" t="n"/>
      <c r="D181" s="189" t="n"/>
      <c r="E181" s="189" t="n"/>
      <c r="F181" s="189" t="n"/>
      <c r="G181" s="189" t="n"/>
      <c r="H181" s="189" t="n"/>
      <c r="I181" s="189" t="n"/>
      <c r="J181" s="189" t="n"/>
      <c r="K181" s="189" t="n"/>
      <c r="L181" s="189" t="n"/>
      <c r="M181" s="189" t="n"/>
      <c r="N181" s="189" t="n"/>
      <c r="O181" s="189" t="n"/>
      <c r="P181" s="189" t="n"/>
      <c r="Q181" s="189" t="n"/>
      <c r="R181" s="189" t="n"/>
      <c r="S181" s="189" t="n"/>
      <c r="T181" s="189" t="n"/>
      <c r="U181" s="189" t="n"/>
      <c r="V181" s="189" t="n"/>
      <c r="W181" s="189" t="n"/>
      <c r="X181" s="189" t="n"/>
      <c r="Y181" s="189" t="n"/>
      <c r="Z181" s="189" t="n"/>
      <c r="AA181" s="189" t="n"/>
      <c r="AB181" s="189" t="n"/>
      <c r="AC181" s="189" t="n"/>
      <c r="AD181" s="189" t="n"/>
      <c r="AE181" s="189" t="n"/>
      <c r="AF181" s="189" t="n"/>
      <c r="AG181" s="189" t="n"/>
      <c r="AH181" s="189" t="n"/>
      <c r="AI181" s="51" t="inlineStr">
        <is>
          <t>U1X</t>
        </is>
      </c>
    </row>
    <row r="182">
      <c r="B182" s="189" t="n"/>
      <c r="C182" s="189" t="n"/>
      <c r="D182" s="189" t="n"/>
      <c r="E182" s="189" t="n"/>
      <c r="F182" s="189" t="n"/>
      <c r="G182" s="189" t="n"/>
      <c r="H182" s="189" t="n"/>
      <c r="I182" s="189" t="n"/>
      <c r="J182" s="189" t="n"/>
      <c r="K182" s="189" t="n"/>
      <c r="L182" s="189" t="n"/>
      <c r="M182" s="189" t="n"/>
      <c r="N182" s="189" t="n"/>
      <c r="O182" s="189" t="n"/>
      <c r="P182" s="189" t="n"/>
      <c r="Q182" s="189" t="n"/>
      <c r="R182" s="189" t="n"/>
      <c r="S182" s="189" t="n"/>
      <c r="T182" s="189" t="n"/>
      <c r="U182" s="189" t="n"/>
      <c r="V182" s="189" t="n"/>
      <c r="W182" s="189" t="n"/>
      <c r="X182" s="189" t="n"/>
      <c r="Y182" s="189" t="n"/>
      <c r="Z182" s="189" t="n"/>
      <c r="AA182" s="189" t="n"/>
      <c r="AB182" s="189" t="n"/>
      <c r="AC182" s="189" t="n"/>
      <c r="AD182" s="189" t="n"/>
      <c r="AE182" s="189" t="n"/>
      <c r="AF182" s="189" t="n"/>
      <c r="AG182" s="189" t="n"/>
      <c r="AH182" s="189" t="n"/>
      <c r="AI182" s="51" t="inlineStr">
        <is>
          <t>U1Y</t>
        </is>
      </c>
    </row>
    <row r="183">
      <c r="B183" s="189" t="n"/>
      <c r="C183" s="189" t="n"/>
      <c r="D183" s="189" t="n"/>
      <c r="E183" s="189" t="n"/>
      <c r="F183" s="189" t="n"/>
      <c r="G183" s="189" t="n"/>
      <c r="H183" s="189" t="n"/>
      <c r="I183" s="189" t="n"/>
      <c r="J183" s="189" t="n"/>
      <c r="K183" s="189" t="n"/>
      <c r="L183" s="189" t="n"/>
      <c r="M183" s="189" t="n"/>
      <c r="N183" s="189" t="n"/>
      <c r="O183" s="189" t="n"/>
      <c r="P183" s="189" t="n"/>
      <c r="Q183" s="189" t="n"/>
      <c r="R183" s="189" t="n"/>
      <c r="S183" s="189" t="n"/>
      <c r="T183" s="189" t="n"/>
      <c r="U183" s="189" t="n"/>
      <c r="V183" s="189" t="n"/>
      <c r="W183" s="189" t="n"/>
      <c r="X183" s="189" t="n"/>
      <c r="Y183" s="189" t="n"/>
      <c r="Z183" s="189" t="n"/>
      <c r="AA183" s="189" t="n"/>
      <c r="AB183" s="189" t="n"/>
      <c r="AC183" s="189" t="n"/>
      <c r="AD183" s="189" t="n"/>
      <c r="AE183" s="189" t="n"/>
      <c r="AF183" s="189" t="n"/>
      <c r="AG183" s="189" t="n"/>
      <c r="AH183" s="189" t="n"/>
      <c r="AI183" s="51" t="inlineStr">
        <is>
          <t>U1θ</t>
        </is>
      </c>
    </row>
    <row r="184">
      <c r="B184" s="189" t="n"/>
      <c r="C184" s="189" t="n"/>
      <c r="D184" s="189" t="n"/>
      <c r="E184" s="189" t="n"/>
      <c r="F184" s="189" t="n"/>
      <c r="G184" s="189" t="n"/>
      <c r="H184" s="189" t="n"/>
      <c r="I184" s="189" t="n"/>
      <c r="J184" s="189" t="n"/>
      <c r="K184" s="189" t="n"/>
      <c r="L184" s="189" t="n"/>
      <c r="M184" s="189" t="n"/>
      <c r="N184" s="189" t="n"/>
      <c r="O184" s="189" t="n"/>
      <c r="P184" s="189" t="n"/>
      <c r="Q184" s="189" t="n"/>
      <c r="R184" s="189" t="n"/>
      <c r="S184" s="189" t="n"/>
      <c r="T184" s="189" t="n"/>
      <c r="U184" s="189" t="n"/>
      <c r="V184" s="189" t="n"/>
      <c r="W184" s="189" t="n"/>
      <c r="X184" s="189" t="n"/>
      <c r="Y184" s="189" t="n"/>
      <c r="Z184" s="189" t="n"/>
      <c r="AA184" s="189" t="n"/>
      <c r="AB184" s="189" t="n"/>
      <c r="AC184" s="189" t="n"/>
      <c r="AD184" s="189" t="n"/>
      <c r="AE184" s="189" t="n"/>
      <c r="AF184" s="189" t="n"/>
      <c r="AG184" s="189" t="n"/>
      <c r="AH184" s="189" t="n"/>
      <c r="AI184" s="51" t="inlineStr">
        <is>
          <t>U2X</t>
        </is>
      </c>
    </row>
    <row r="185">
      <c r="B185" s="189" t="n"/>
      <c r="C185" s="189" t="n"/>
      <c r="D185" s="189" t="n"/>
      <c r="E185" s="189" t="n"/>
      <c r="F185" s="189" t="n"/>
      <c r="G185" s="189" t="n"/>
      <c r="H185" s="189" t="n"/>
      <c r="I185" s="189" t="n"/>
      <c r="J185" s="189" t="n"/>
      <c r="K185" s="189" t="n"/>
      <c r="L185" s="189" t="n"/>
      <c r="M185" s="189" t="n"/>
      <c r="N185" s="189" t="n"/>
      <c r="O185" s="189" t="n"/>
      <c r="P185" s="189" t="n"/>
      <c r="Q185" s="189" t="n"/>
      <c r="R185" s="189" t="n"/>
      <c r="S185" s="189" t="n"/>
      <c r="T185" s="189" t="n"/>
      <c r="U185" s="189" t="n"/>
      <c r="V185" s="189" t="n"/>
      <c r="W185" s="189" t="n"/>
      <c r="X185" s="189" t="n"/>
      <c r="Y185" s="189" t="n"/>
      <c r="Z185" s="189" t="n"/>
      <c r="AA185" s="189" t="n"/>
      <c r="AB185" s="189" t="n"/>
      <c r="AC185" s="189" t="n"/>
      <c r="AD185" s="189" t="n"/>
      <c r="AE185" s="189" t="n"/>
      <c r="AF185" s="189" t="n"/>
      <c r="AG185" s="189" t="n"/>
      <c r="AH185" s="189" t="n"/>
      <c r="AI185" s="51" t="inlineStr">
        <is>
          <t>U2Y</t>
        </is>
      </c>
    </row>
    <row r="186">
      <c r="B186" s="189" t="n"/>
      <c r="C186" s="189" t="n"/>
      <c r="D186" s="189" t="n"/>
      <c r="E186" s="189" t="n"/>
      <c r="F186" s="189" t="n"/>
      <c r="G186" s="189" t="n"/>
      <c r="H186" s="189" t="n"/>
      <c r="I186" s="189" t="n"/>
      <c r="J186" s="189" t="n"/>
      <c r="K186" s="189" t="n"/>
      <c r="L186" s="189" t="n"/>
      <c r="M186" s="189" t="n"/>
      <c r="N186" s="189" t="n"/>
      <c r="O186" s="189" t="n"/>
      <c r="P186" s="189" t="n"/>
      <c r="Q186" s="189" t="n"/>
      <c r="R186" s="189" t="n"/>
      <c r="S186" s="189" t="n"/>
      <c r="T186" s="189" t="n"/>
      <c r="U186" s="189" t="n"/>
      <c r="V186" s="189" t="n"/>
      <c r="W186" s="189" t="n"/>
      <c r="X186" s="189" t="n"/>
      <c r="Y186" s="189" t="n"/>
      <c r="Z186" s="189" t="n"/>
      <c r="AA186" s="189" t="n"/>
      <c r="AB186" s="189" t="n"/>
      <c r="AC186" s="189" t="n"/>
      <c r="AD186" s="189" t="n"/>
      <c r="AE186" s="189" t="n"/>
      <c r="AF186" s="189" t="n"/>
      <c r="AG186" s="189" t="n"/>
      <c r="AH186" s="189" t="n"/>
      <c r="AI186" s="51" t="inlineStr">
        <is>
          <t>U2θ</t>
        </is>
      </c>
    </row>
    <row r="187">
      <c r="B187" s="189" t="n"/>
      <c r="C187" s="189" t="n"/>
      <c r="D187" s="189" t="n"/>
      <c r="E187" s="189" t="n"/>
      <c r="F187" s="189" t="n"/>
      <c r="G187" s="189" t="n"/>
      <c r="H187" s="189" t="n"/>
      <c r="I187" s="189" t="n"/>
      <c r="J187" s="189" t="n"/>
      <c r="K187" s="189" t="n"/>
      <c r="L187" s="189" t="n"/>
      <c r="M187" s="189" t="n"/>
      <c r="N187" s="189" t="n"/>
      <c r="O187" s="189" t="n"/>
      <c r="P187" s="189" t="n"/>
      <c r="Q187" s="189" t="n"/>
      <c r="R187" s="189" t="n"/>
      <c r="S187" s="189" t="n"/>
      <c r="T187" s="189" t="n"/>
      <c r="U187" s="189" t="n"/>
      <c r="V187" s="189" t="n"/>
      <c r="W187" s="189" t="n"/>
      <c r="X187" s="189" t="n"/>
      <c r="Y187" s="189" t="n"/>
      <c r="Z187" s="189" t="n"/>
      <c r="AA187" s="189" t="n"/>
      <c r="AB187" s="189" t="n"/>
      <c r="AC187" s="189" t="n"/>
      <c r="AD187" s="189" t="n"/>
      <c r="AE187" s="189" t="n"/>
      <c r="AF187" s="189" t="n"/>
      <c r="AG187" s="189" t="n"/>
      <c r="AH187" s="189" t="n"/>
      <c r="AI187" s="51" t="inlineStr">
        <is>
          <t>U3X</t>
        </is>
      </c>
    </row>
    <row r="188">
      <c r="B188" s="189" t="n"/>
      <c r="C188" s="189" t="n"/>
      <c r="D188" s="189" t="n"/>
      <c r="E188" s="189" t="n"/>
      <c r="F188" s="189" t="n"/>
      <c r="G188" s="189" t="n"/>
      <c r="H188" s="189" t="n"/>
      <c r="I188" s="189" t="n"/>
      <c r="J188" s="189" t="n"/>
      <c r="K188" s="189" t="n"/>
      <c r="L188" s="189" t="n"/>
      <c r="M188" s="189" t="n"/>
      <c r="N188" s="189" t="n"/>
      <c r="O188" s="189" t="n"/>
      <c r="P188" s="189" t="n"/>
      <c r="Q188" s="189" t="n"/>
      <c r="R188" s="189" t="n"/>
      <c r="S188" s="189" t="n"/>
      <c r="T188" s="189" t="n"/>
      <c r="U188" s="189" t="n"/>
      <c r="V188" s="189" t="n"/>
      <c r="W188" s="189" t="n"/>
      <c r="X188" s="189" t="n"/>
      <c r="Y188" s="189" t="n"/>
      <c r="Z188" s="189" t="n"/>
      <c r="AA188" s="189" t="n"/>
      <c r="AB188" s="189" t="n"/>
      <c r="AC188" s="189" t="n"/>
      <c r="AD188" s="189" t="n"/>
      <c r="AE188" s="189" t="n"/>
      <c r="AF188" s="189" t="n"/>
      <c r="AG188" s="189" t="n"/>
      <c r="AH188" s="189" t="n"/>
      <c r="AI188" s="51" t="inlineStr">
        <is>
          <t>U3Y</t>
        </is>
      </c>
    </row>
    <row r="189">
      <c r="B189" s="189" t="n"/>
      <c r="C189" s="189" t="n"/>
      <c r="D189" s="189" t="n"/>
      <c r="E189" s="189" t="n"/>
      <c r="F189" s="189" t="n"/>
      <c r="G189" s="189" t="n"/>
      <c r="H189" s="189" t="n"/>
      <c r="I189" s="189" t="n"/>
      <c r="J189" s="189" t="n"/>
      <c r="K189" s="189" t="n"/>
      <c r="L189" s="189" t="n"/>
      <c r="M189" s="189" t="n"/>
      <c r="N189" s="189" t="n"/>
      <c r="O189" s="189" t="n"/>
      <c r="P189" s="189" t="n"/>
      <c r="Q189" s="189" t="n"/>
      <c r="R189" s="189" t="n"/>
      <c r="S189" s="189" t="n"/>
      <c r="T189" s="189" t="n"/>
      <c r="U189" s="189" t="n"/>
      <c r="V189" s="189" t="n"/>
      <c r="W189" s="189" t="n"/>
      <c r="X189" s="189" t="n"/>
      <c r="Y189" s="189" t="n"/>
      <c r="Z189" s="189" t="n"/>
      <c r="AA189" s="189" t="n"/>
      <c r="AB189" s="189" t="n"/>
      <c r="AC189" s="189" t="n"/>
      <c r="AD189" s="189" t="n"/>
      <c r="AE189" s="189" t="n"/>
      <c r="AF189" s="189" t="n"/>
      <c r="AG189" s="189" t="n"/>
      <c r="AH189" s="189" t="n"/>
      <c r="AI189" s="51" t="inlineStr">
        <is>
          <t>U3θ</t>
        </is>
      </c>
    </row>
    <row r="190">
      <c r="B190" s="189" t="n"/>
      <c r="C190" s="189" t="n"/>
      <c r="D190" s="189" t="n"/>
      <c r="E190" s="189" t="n"/>
      <c r="F190" s="189" t="n"/>
      <c r="G190" s="189" t="n"/>
      <c r="H190" s="189" t="n"/>
      <c r="I190" s="189" t="n"/>
      <c r="J190" s="189" t="n"/>
      <c r="K190" s="189">
        <f>B173</f>
        <v/>
      </c>
      <c r="L190" s="189">
        <f>C173</f>
        <v/>
      </c>
      <c r="M190" s="189">
        <f>D173</f>
        <v/>
      </c>
      <c r="N190" s="189">
        <f>E173</f>
        <v/>
      </c>
      <c r="O190" s="189">
        <f>F173</f>
        <v/>
      </c>
      <c r="P190" s="189">
        <f>G173</f>
        <v/>
      </c>
      <c r="Q190" s="189" t="n"/>
      <c r="R190" s="189" t="n"/>
      <c r="S190" s="189" t="n"/>
      <c r="T190" s="189" t="n"/>
      <c r="U190" s="189" t="n"/>
      <c r="V190" s="189" t="n"/>
      <c r="W190" s="189" t="n"/>
      <c r="X190" s="189" t="n"/>
      <c r="Y190" s="189" t="n"/>
      <c r="Z190" s="189" t="n"/>
      <c r="AA190" s="189" t="n"/>
      <c r="AB190" s="189" t="n"/>
      <c r="AC190" s="189" t="n"/>
      <c r="AD190" s="189" t="n"/>
      <c r="AE190" s="189" t="n"/>
      <c r="AF190" s="189" t="n"/>
      <c r="AG190" s="189" t="n"/>
      <c r="AH190" s="189" t="n"/>
      <c r="AI190" s="51" t="inlineStr">
        <is>
          <t>U4X</t>
        </is>
      </c>
    </row>
    <row r="191">
      <c r="B191" s="189" t="n"/>
      <c r="C191" s="189" t="n"/>
      <c r="D191" s="189" t="n"/>
      <c r="E191" s="189" t="n"/>
      <c r="F191" s="189" t="n"/>
      <c r="G191" s="189" t="n"/>
      <c r="H191" s="189" t="n"/>
      <c r="I191" s="189" t="n"/>
      <c r="J191" s="189" t="n"/>
      <c r="K191" s="189">
        <f>B174</f>
        <v/>
      </c>
      <c r="L191" s="189">
        <f>C174</f>
        <v/>
      </c>
      <c r="M191" s="189">
        <f>D174</f>
        <v/>
      </c>
      <c r="N191" s="189">
        <f>E174</f>
        <v/>
      </c>
      <c r="O191" s="189">
        <f>F174</f>
        <v/>
      </c>
      <c r="P191" s="189">
        <f>G174</f>
        <v/>
      </c>
      <c r="Q191" s="189" t="n"/>
      <c r="R191" s="189" t="n"/>
      <c r="S191" s="189" t="n"/>
      <c r="T191" s="189" t="n"/>
      <c r="U191" s="189" t="n"/>
      <c r="V191" s="189" t="n"/>
      <c r="W191" s="189" t="n"/>
      <c r="X191" s="189" t="n"/>
      <c r="Y191" s="189" t="n"/>
      <c r="Z191" s="189" t="n"/>
      <c r="AA191" s="189" t="n"/>
      <c r="AB191" s="189" t="n"/>
      <c r="AC191" s="189" t="n"/>
      <c r="AD191" s="189" t="n"/>
      <c r="AE191" s="189" t="n"/>
      <c r="AF191" s="189" t="n"/>
      <c r="AG191" s="189" t="n"/>
      <c r="AH191" s="189" t="n"/>
      <c r="AI191" s="51" t="inlineStr">
        <is>
          <t>U4Y</t>
        </is>
      </c>
    </row>
    <row r="192">
      <c r="B192" s="189" t="n"/>
      <c r="C192" s="189" t="n"/>
      <c r="D192" s="189" t="n"/>
      <c r="E192" s="189" t="n"/>
      <c r="F192" s="189" t="n"/>
      <c r="G192" s="189" t="n"/>
      <c r="H192" s="189" t="n"/>
      <c r="I192" s="189" t="n"/>
      <c r="J192" s="189" t="n"/>
      <c r="K192" s="189">
        <f>B175</f>
        <v/>
      </c>
      <c r="L192" s="189">
        <f>C175</f>
        <v/>
      </c>
      <c r="M192" s="189">
        <f>D175</f>
        <v/>
      </c>
      <c r="N192" s="189">
        <f>E175</f>
        <v/>
      </c>
      <c r="O192" s="189">
        <f>F175</f>
        <v/>
      </c>
      <c r="P192" s="189">
        <f>G175</f>
        <v/>
      </c>
      <c r="Q192" s="189" t="n"/>
      <c r="R192" s="189" t="n"/>
      <c r="S192" s="189" t="n"/>
      <c r="T192" s="189" t="n"/>
      <c r="U192" s="189" t="n"/>
      <c r="V192" s="189" t="n"/>
      <c r="W192" s="189" t="n"/>
      <c r="X192" s="189" t="n"/>
      <c r="Y192" s="189" t="n"/>
      <c r="Z192" s="189" t="n"/>
      <c r="AA192" s="189" t="n"/>
      <c r="AB192" s="189" t="n"/>
      <c r="AC192" s="189" t="n"/>
      <c r="AD192" s="189" t="n"/>
      <c r="AE192" s="189" t="n"/>
      <c r="AF192" s="189" t="n"/>
      <c r="AG192" s="189" t="n"/>
      <c r="AH192" s="189" t="n"/>
      <c r="AI192" s="51" t="inlineStr">
        <is>
          <t>U4θ</t>
        </is>
      </c>
    </row>
    <row r="193">
      <c r="B193" s="189" t="n"/>
      <c r="C193" s="189" t="n"/>
      <c r="D193" s="189" t="n"/>
      <c r="E193" s="189" t="n"/>
      <c r="F193" s="189" t="n"/>
      <c r="G193" s="189" t="n"/>
      <c r="H193" s="189" t="n"/>
      <c r="I193" s="189" t="n"/>
      <c r="J193" s="189" t="n"/>
      <c r="K193" s="189">
        <f>B176</f>
        <v/>
      </c>
      <c r="L193" s="189">
        <f>C176</f>
        <v/>
      </c>
      <c r="M193" s="189">
        <f>D176</f>
        <v/>
      </c>
      <c r="N193" s="189">
        <f>E176</f>
        <v/>
      </c>
      <c r="O193" s="189">
        <f>F176</f>
        <v/>
      </c>
      <c r="P193" s="189">
        <f>G176</f>
        <v/>
      </c>
      <c r="Q193" s="189" t="n"/>
      <c r="R193" s="189" t="n"/>
      <c r="S193" s="189" t="n"/>
      <c r="T193" s="189" t="n"/>
      <c r="U193" s="189" t="n"/>
      <c r="V193" s="189" t="n"/>
      <c r="W193" s="189" t="n"/>
      <c r="X193" s="189" t="n"/>
      <c r="Y193" s="189" t="n"/>
      <c r="Z193" s="189" t="n"/>
      <c r="AA193" s="189" t="n"/>
      <c r="AB193" s="189" t="n"/>
      <c r="AC193" s="189" t="n"/>
      <c r="AD193" s="189" t="n"/>
      <c r="AE193" s="189" t="n"/>
      <c r="AF193" s="189" t="n"/>
      <c r="AG193" s="189" t="n"/>
      <c r="AH193" s="189" t="n"/>
      <c r="AI193" s="51" t="inlineStr">
        <is>
          <t>U5X</t>
        </is>
      </c>
    </row>
    <row r="194">
      <c r="B194" s="189" t="n"/>
      <c r="C194" s="189" t="n"/>
      <c r="D194" s="189" t="n"/>
      <c r="E194" s="189" t="n"/>
      <c r="F194" s="189" t="n"/>
      <c r="G194" s="189" t="n"/>
      <c r="H194" s="189" t="n"/>
      <c r="I194" s="189" t="n"/>
      <c r="J194" s="189" t="n"/>
      <c r="K194" s="189">
        <f>B177</f>
        <v/>
      </c>
      <c r="L194" s="189">
        <f>C177</f>
        <v/>
      </c>
      <c r="M194" s="189">
        <f>D177</f>
        <v/>
      </c>
      <c r="N194" s="189">
        <f>E177</f>
        <v/>
      </c>
      <c r="O194" s="189">
        <f>F177</f>
        <v/>
      </c>
      <c r="P194" s="189">
        <f>G177</f>
        <v/>
      </c>
      <c r="Q194" s="189" t="n"/>
      <c r="R194" s="189" t="n"/>
      <c r="S194" s="189" t="n"/>
      <c r="T194" s="189" t="n"/>
      <c r="U194" s="189" t="n"/>
      <c r="V194" s="189" t="n"/>
      <c r="W194" s="189" t="n"/>
      <c r="X194" s="189" t="n"/>
      <c r="Y194" s="189" t="n"/>
      <c r="Z194" s="189" t="n"/>
      <c r="AA194" s="189" t="n"/>
      <c r="AB194" s="189" t="n"/>
      <c r="AC194" s="189" t="n"/>
      <c r="AD194" s="189" t="n"/>
      <c r="AE194" s="189" t="n"/>
      <c r="AF194" s="189" t="n"/>
      <c r="AG194" s="189" t="n"/>
      <c r="AH194" s="189" t="n"/>
      <c r="AI194" s="51" t="inlineStr">
        <is>
          <t>U5Y</t>
        </is>
      </c>
    </row>
    <row r="195">
      <c r="B195" s="189" t="n"/>
      <c r="C195" s="189" t="n"/>
      <c r="D195" s="189" t="n"/>
      <c r="E195" s="189" t="n"/>
      <c r="F195" s="189" t="n"/>
      <c r="G195" s="189" t="n"/>
      <c r="H195" s="189" t="n"/>
      <c r="I195" s="189" t="n"/>
      <c r="J195" s="189" t="n"/>
      <c r="K195" s="189">
        <f>B178</f>
        <v/>
      </c>
      <c r="L195" s="189">
        <f>C178</f>
        <v/>
      </c>
      <c r="M195" s="189">
        <f>D178</f>
        <v/>
      </c>
      <c r="N195" s="189">
        <f>E178</f>
        <v/>
      </c>
      <c r="O195" s="189">
        <f>F178</f>
        <v/>
      </c>
      <c r="P195" s="189">
        <f>G178</f>
        <v/>
      </c>
      <c r="Q195" s="189" t="n"/>
      <c r="R195" s="189" t="n"/>
      <c r="S195" s="189" t="n"/>
      <c r="T195" s="189" t="n"/>
      <c r="U195" s="189" t="n"/>
      <c r="V195" s="189" t="n"/>
      <c r="W195" s="189" t="n"/>
      <c r="X195" s="189" t="n"/>
      <c r="Y195" s="189" t="n"/>
      <c r="Z195" s="189" t="n"/>
      <c r="AA195" s="189" t="n"/>
      <c r="AB195" s="189" t="n"/>
      <c r="AC195" s="189" t="n"/>
      <c r="AD195" s="189" t="n"/>
      <c r="AE195" s="189" t="n"/>
      <c r="AF195" s="189" t="n"/>
      <c r="AG195" s="189" t="n"/>
      <c r="AH195" s="189" t="n"/>
      <c r="AI195" s="51" t="inlineStr">
        <is>
          <t>U5θ</t>
        </is>
      </c>
    </row>
    <row r="196">
      <c r="A196" s="118" t="inlineStr">
        <is>
          <t>K4 =</t>
        </is>
      </c>
      <c r="B196" s="189" t="n"/>
      <c r="C196" s="189" t="n"/>
      <c r="D196" s="189" t="n"/>
      <c r="E196" s="189" t="n"/>
      <c r="F196" s="189" t="n"/>
      <c r="G196" s="189" t="n"/>
      <c r="H196" s="189" t="n"/>
      <c r="I196" s="189" t="n"/>
      <c r="J196" s="189" t="n"/>
      <c r="K196" s="189" t="n"/>
      <c r="L196" s="189" t="n"/>
      <c r="M196" s="189" t="n"/>
      <c r="N196" s="189" t="n"/>
      <c r="O196" s="189" t="n"/>
      <c r="P196" s="189" t="n"/>
      <c r="Q196" s="189" t="n"/>
      <c r="R196" s="189" t="n"/>
      <c r="S196" s="189" t="n"/>
      <c r="T196" s="189" t="n"/>
      <c r="U196" s="189" t="n"/>
      <c r="V196" s="189" t="n"/>
      <c r="W196" s="189" t="n"/>
      <c r="X196" s="189" t="n"/>
      <c r="Y196" s="189" t="n"/>
      <c r="Z196" s="189" t="n"/>
      <c r="AA196" s="189" t="n"/>
      <c r="AB196" s="189" t="n"/>
      <c r="AC196" s="189" t="n"/>
      <c r="AD196" s="189" t="n"/>
      <c r="AE196" s="189" t="n"/>
      <c r="AF196" s="189" t="n"/>
      <c r="AG196" s="189" t="n"/>
      <c r="AH196" s="189" t="n"/>
      <c r="AI196" s="51" t="inlineStr">
        <is>
          <t>U6X</t>
        </is>
      </c>
    </row>
    <row r="197">
      <c r="B197" s="189" t="n"/>
      <c r="C197" s="189" t="n"/>
      <c r="D197" s="189" t="n"/>
      <c r="E197" s="189" t="n"/>
      <c r="F197" s="189" t="n"/>
      <c r="G197" s="189" t="n"/>
      <c r="H197" s="189" t="n"/>
      <c r="I197" s="189" t="n"/>
      <c r="J197" s="189" t="n"/>
      <c r="K197" s="189" t="n"/>
      <c r="L197" s="189" t="n"/>
      <c r="M197" s="189" t="n"/>
      <c r="N197" s="189" t="n"/>
      <c r="O197" s="189" t="n"/>
      <c r="P197" s="189" t="n"/>
      <c r="Q197" s="189" t="n"/>
      <c r="R197" s="189" t="n"/>
      <c r="S197" s="189" t="n"/>
      <c r="T197" s="189" t="n"/>
      <c r="U197" s="189" t="n"/>
      <c r="V197" s="189" t="n"/>
      <c r="W197" s="189" t="n"/>
      <c r="X197" s="189" t="n"/>
      <c r="Y197" s="189" t="n"/>
      <c r="Z197" s="189" t="n"/>
      <c r="AA197" s="189" t="n"/>
      <c r="AB197" s="189" t="n"/>
      <c r="AC197" s="189" t="n"/>
      <c r="AD197" s="189" t="n"/>
      <c r="AE197" s="189" t="n"/>
      <c r="AF197" s="189" t="n"/>
      <c r="AG197" s="189" t="n"/>
      <c r="AH197" s="189" t="n"/>
      <c r="AI197" s="51" t="inlineStr">
        <is>
          <t>U6Y</t>
        </is>
      </c>
    </row>
    <row r="198">
      <c r="B198" s="189" t="n"/>
      <c r="C198" s="189" t="n"/>
      <c r="D198" s="189" t="n"/>
      <c r="E198" s="189" t="n"/>
      <c r="F198" s="189" t="n"/>
      <c r="G198" s="189" t="n"/>
      <c r="H198" s="189" t="n"/>
      <c r="I198" s="189" t="n"/>
      <c r="J198" s="189" t="n"/>
      <c r="K198" s="189" t="n"/>
      <c r="L198" s="189" t="n"/>
      <c r="M198" s="189" t="n"/>
      <c r="N198" s="189" t="n"/>
      <c r="O198" s="189" t="n"/>
      <c r="P198" s="189" t="n"/>
      <c r="Q198" s="189" t="n"/>
      <c r="R198" s="189" t="n"/>
      <c r="S198" s="189" t="n"/>
      <c r="T198" s="189" t="n"/>
      <c r="U198" s="189" t="n"/>
      <c r="V198" s="189" t="n"/>
      <c r="W198" s="189" t="n"/>
      <c r="X198" s="189" t="n"/>
      <c r="Y198" s="189" t="n"/>
      <c r="Z198" s="189" t="n"/>
      <c r="AA198" s="189" t="n"/>
      <c r="AB198" s="189" t="n"/>
      <c r="AC198" s="189" t="n"/>
      <c r="AD198" s="189" t="n"/>
      <c r="AE198" s="189" t="n"/>
      <c r="AF198" s="189" t="n"/>
      <c r="AG198" s="189" t="n"/>
      <c r="AH198" s="189" t="n"/>
      <c r="AI198" s="51" t="inlineStr">
        <is>
          <t>U6θ</t>
        </is>
      </c>
    </row>
    <row r="199">
      <c r="B199" s="189" t="n"/>
      <c r="C199" s="189" t="n"/>
      <c r="D199" s="189" t="n"/>
      <c r="E199" s="189" t="n"/>
      <c r="F199" s="189" t="n"/>
      <c r="G199" s="189" t="n"/>
      <c r="H199" s="189" t="n"/>
      <c r="I199" s="189" t="n"/>
      <c r="J199" s="189" t="n"/>
      <c r="K199" s="189" t="n"/>
      <c r="L199" s="189" t="n"/>
      <c r="M199" s="189" t="n"/>
      <c r="N199" s="189" t="n"/>
      <c r="O199" s="189" t="n"/>
      <c r="P199" s="189" t="n"/>
      <c r="Q199" s="189" t="n"/>
      <c r="R199" s="189" t="n"/>
      <c r="S199" s="189" t="n"/>
      <c r="T199" s="189" t="n"/>
      <c r="U199" s="189" t="n"/>
      <c r="V199" s="189" t="n"/>
      <c r="W199" s="189" t="n"/>
      <c r="X199" s="189" t="n"/>
      <c r="Y199" s="189" t="n"/>
      <c r="Z199" s="189" t="n"/>
      <c r="AA199" s="189" t="n"/>
      <c r="AB199" s="189" t="n"/>
      <c r="AC199" s="189" t="n"/>
      <c r="AD199" s="189" t="n"/>
      <c r="AE199" s="189" t="n"/>
      <c r="AF199" s="189" t="n"/>
      <c r="AG199" s="189" t="n"/>
      <c r="AH199" s="189" t="n"/>
      <c r="AI199" s="51" t="inlineStr">
        <is>
          <t>U7X</t>
        </is>
      </c>
    </row>
    <row r="200">
      <c r="B200" s="189" t="n"/>
      <c r="C200" s="189" t="n"/>
      <c r="D200" s="189" t="n"/>
      <c r="E200" s="189" t="n"/>
      <c r="F200" s="189" t="n"/>
      <c r="G200" s="189" t="n"/>
      <c r="H200" s="189" t="n"/>
      <c r="I200" s="189" t="n"/>
      <c r="J200" s="189" t="n"/>
      <c r="K200" s="189" t="n"/>
      <c r="L200" s="189" t="n"/>
      <c r="M200" s="189" t="n"/>
      <c r="N200" s="189" t="n"/>
      <c r="O200" s="189" t="n"/>
      <c r="P200" s="189" t="n"/>
      <c r="Q200" s="189" t="n"/>
      <c r="R200" s="189" t="n"/>
      <c r="S200" s="189" t="n"/>
      <c r="T200" s="189" t="n"/>
      <c r="U200" s="189" t="n"/>
      <c r="V200" s="189" t="n"/>
      <c r="W200" s="189" t="n"/>
      <c r="X200" s="189" t="n"/>
      <c r="Y200" s="189" t="n"/>
      <c r="Z200" s="189" t="n"/>
      <c r="AA200" s="189" t="n"/>
      <c r="AB200" s="189" t="n"/>
      <c r="AC200" s="189" t="n"/>
      <c r="AD200" s="189" t="n"/>
      <c r="AE200" s="189" t="n"/>
      <c r="AF200" s="189" t="n"/>
      <c r="AG200" s="189" t="n"/>
      <c r="AH200" s="189" t="n"/>
      <c r="AI200" s="51" t="inlineStr">
        <is>
          <t>U7Y</t>
        </is>
      </c>
    </row>
    <row r="201">
      <c r="B201" s="189" t="n"/>
      <c r="C201" s="189" t="n"/>
      <c r="D201" s="189" t="n"/>
      <c r="E201" s="189" t="n"/>
      <c r="F201" s="189" t="n"/>
      <c r="G201" s="189" t="n"/>
      <c r="H201" s="189" t="n"/>
      <c r="I201" s="189" t="n"/>
      <c r="J201" s="189" t="n"/>
      <c r="K201" s="189" t="n"/>
      <c r="L201" s="189" t="n"/>
      <c r="M201" s="189" t="n"/>
      <c r="N201" s="189" t="n"/>
      <c r="O201" s="189" t="n"/>
      <c r="P201" s="189" t="n"/>
      <c r="Q201" s="189" t="n"/>
      <c r="R201" s="189" t="n"/>
      <c r="S201" s="189" t="n"/>
      <c r="T201" s="189" t="n"/>
      <c r="U201" s="189" t="n"/>
      <c r="V201" s="189" t="n"/>
      <c r="W201" s="189" t="n"/>
      <c r="X201" s="189" t="n"/>
      <c r="Y201" s="189" t="n"/>
      <c r="Z201" s="189" t="n"/>
      <c r="AA201" s="189" t="n"/>
      <c r="AB201" s="189" t="n"/>
      <c r="AC201" s="189" t="n"/>
      <c r="AD201" s="189" t="n"/>
      <c r="AE201" s="189" t="n"/>
      <c r="AF201" s="189" t="n"/>
      <c r="AG201" s="189" t="n"/>
      <c r="AH201" s="189" t="n"/>
      <c r="AI201" s="51" t="inlineStr">
        <is>
          <t>U7θ</t>
        </is>
      </c>
    </row>
    <row r="202">
      <c r="B202" s="189" t="n"/>
      <c r="C202" s="189" t="n"/>
      <c r="D202" s="189" t="n"/>
      <c r="E202" s="189" t="n"/>
      <c r="F202" s="189" t="n"/>
      <c r="G202" s="189" t="n"/>
      <c r="H202" s="189" t="n"/>
      <c r="I202" s="189" t="n"/>
      <c r="J202" s="189" t="n"/>
      <c r="K202" s="189" t="n"/>
      <c r="L202" s="189" t="n"/>
      <c r="M202" s="189" t="n"/>
      <c r="N202" s="189" t="n"/>
      <c r="O202" s="189" t="n"/>
      <c r="P202" s="189" t="n"/>
      <c r="Q202" s="189" t="n"/>
      <c r="R202" s="189" t="n"/>
      <c r="S202" s="189" t="n"/>
      <c r="T202" s="189" t="n"/>
      <c r="U202" s="189" t="n"/>
      <c r="V202" s="189" t="n"/>
      <c r="W202" s="189" t="n"/>
      <c r="X202" s="189" t="n"/>
      <c r="Y202" s="189" t="n"/>
      <c r="Z202" s="189" t="n"/>
      <c r="AA202" s="189" t="n"/>
      <c r="AB202" s="189" t="n"/>
      <c r="AC202" s="189" t="n"/>
      <c r="AD202" s="189" t="n"/>
      <c r="AE202" s="189" t="n"/>
      <c r="AF202" s="189" t="n"/>
      <c r="AG202" s="189" t="n"/>
      <c r="AH202" s="189" t="n"/>
      <c r="AI202" s="51" t="inlineStr">
        <is>
          <t>U8X</t>
        </is>
      </c>
    </row>
    <row r="203">
      <c r="B203" s="189" t="n"/>
      <c r="C203" s="189" t="n"/>
      <c r="D203" s="189" t="n"/>
      <c r="E203" s="189" t="n"/>
      <c r="F203" s="189" t="n"/>
      <c r="G203" s="189" t="n"/>
      <c r="H203" s="189" t="n"/>
      <c r="I203" s="189" t="n"/>
      <c r="J203" s="189" t="n"/>
      <c r="K203" s="189" t="n"/>
      <c r="L203" s="189" t="n"/>
      <c r="M203" s="189" t="n"/>
      <c r="N203" s="189" t="n"/>
      <c r="O203" s="189" t="n"/>
      <c r="P203" s="189" t="n"/>
      <c r="Q203" s="189" t="n"/>
      <c r="R203" s="189" t="n"/>
      <c r="S203" s="189" t="n"/>
      <c r="T203" s="189" t="n"/>
      <c r="U203" s="189" t="n"/>
      <c r="V203" s="189" t="n"/>
      <c r="W203" s="189" t="n"/>
      <c r="X203" s="189" t="n"/>
      <c r="Y203" s="189" t="n"/>
      <c r="Z203" s="189" t="n"/>
      <c r="AA203" s="189" t="n"/>
      <c r="AB203" s="189" t="n"/>
      <c r="AC203" s="189" t="n"/>
      <c r="AD203" s="189" t="n"/>
      <c r="AE203" s="189" t="n"/>
      <c r="AF203" s="189" t="n"/>
      <c r="AG203" s="189" t="n"/>
      <c r="AH203" s="189" t="n"/>
      <c r="AI203" s="51" t="inlineStr">
        <is>
          <t>U8Y</t>
        </is>
      </c>
    </row>
    <row r="204">
      <c r="B204" s="189" t="n"/>
      <c r="C204" s="189" t="n"/>
      <c r="D204" s="189" t="n"/>
      <c r="E204" s="189" t="n"/>
      <c r="F204" s="189" t="n"/>
      <c r="G204" s="189" t="n"/>
      <c r="H204" s="189" t="n"/>
      <c r="I204" s="189" t="n"/>
      <c r="J204" s="189" t="n"/>
      <c r="K204" s="189" t="n"/>
      <c r="L204" s="189" t="n"/>
      <c r="M204" s="189" t="n"/>
      <c r="N204" s="189" t="n"/>
      <c r="O204" s="189" t="n"/>
      <c r="P204" s="189" t="n"/>
      <c r="Q204" s="189" t="n"/>
      <c r="R204" s="189" t="n"/>
      <c r="S204" s="189" t="n"/>
      <c r="T204" s="189" t="n"/>
      <c r="U204" s="189" t="n"/>
      <c r="V204" s="189" t="n"/>
      <c r="W204" s="189" t="n"/>
      <c r="X204" s="189" t="n"/>
      <c r="Y204" s="189" t="n"/>
      <c r="Z204" s="189" t="n"/>
      <c r="AA204" s="189" t="n"/>
      <c r="AB204" s="189" t="n"/>
      <c r="AC204" s="189" t="n"/>
      <c r="AD204" s="189" t="n"/>
      <c r="AE204" s="189" t="n"/>
      <c r="AF204" s="189" t="n"/>
      <c r="AG204" s="189" t="n"/>
      <c r="AH204" s="189" t="n"/>
      <c r="AI204" s="51" t="inlineStr">
        <is>
          <t>U8θ</t>
        </is>
      </c>
    </row>
    <row r="205">
      <c r="B205" s="189" t="n"/>
      <c r="C205" s="189" t="n"/>
      <c r="D205" s="189" t="n"/>
      <c r="E205" s="189" t="n"/>
      <c r="F205" s="189" t="n"/>
      <c r="G205" s="189" t="n"/>
      <c r="H205" s="189" t="n"/>
      <c r="I205" s="189" t="n"/>
      <c r="J205" s="189" t="n"/>
      <c r="K205" s="189" t="n"/>
      <c r="L205" s="189" t="n"/>
      <c r="M205" s="189" t="n"/>
      <c r="N205" s="189" t="n"/>
      <c r="O205" s="189" t="n"/>
      <c r="P205" s="189" t="n"/>
      <c r="Q205" s="189" t="n"/>
      <c r="R205" s="189" t="n"/>
      <c r="S205" s="189" t="n"/>
      <c r="T205" s="189" t="n"/>
      <c r="U205" s="189" t="n"/>
      <c r="V205" s="189" t="n"/>
      <c r="W205" s="189" t="n"/>
      <c r="X205" s="189" t="n"/>
      <c r="Y205" s="189" t="n"/>
      <c r="Z205" s="189" t="n"/>
      <c r="AA205" s="189" t="n"/>
      <c r="AB205" s="189" t="n"/>
      <c r="AC205" s="189" t="n"/>
      <c r="AD205" s="189" t="n"/>
      <c r="AE205" s="189" t="n"/>
      <c r="AF205" s="189" t="n"/>
      <c r="AG205" s="189" t="n"/>
      <c r="AH205" s="189" t="n"/>
      <c r="AI205" s="51" t="inlineStr">
        <is>
          <t>U9X</t>
        </is>
      </c>
    </row>
    <row r="206">
      <c r="B206" s="189" t="n"/>
      <c r="C206" s="189" t="n"/>
      <c r="D206" s="189" t="n"/>
      <c r="E206" s="189" t="n"/>
      <c r="F206" s="189" t="n"/>
      <c r="G206" s="189" t="n"/>
      <c r="H206" s="189" t="n"/>
      <c r="I206" s="189" t="n"/>
      <c r="J206" s="189" t="n"/>
      <c r="K206" s="189" t="n"/>
      <c r="L206" s="189" t="n"/>
      <c r="M206" s="189" t="n"/>
      <c r="N206" s="189" t="n"/>
      <c r="O206" s="189" t="n"/>
      <c r="P206" s="189" t="n"/>
      <c r="Q206" s="189" t="n"/>
      <c r="R206" s="189" t="n"/>
      <c r="S206" s="189" t="n"/>
      <c r="T206" s="189" t="n"/>
      <c r="U206" s="189" t="n"/>
      <c r="V206" s="189" t="n"/>
      <c r="W206" s="189" t="n"/>
      <c r="X206" s="189" t="n"/>
      <c r="Y206" s="189" t="n"/>
      <c r="Z206" s="189" t="n"/>
      <c r="AA206" s="189" t="n"/>
      <c r="AB206" s="189" t="n"/>
      <c r="AC206" s="189" t="n"/>
      <c r="AD206" s="189" t="n"/>
      <c r="AE206" s="189" t="n"/>
      <c r="AF206" s="189" t="n"/>
      <c r="AG206" s="189" t="n"/>
      <c r="AH206" s="189" t="n"/>
      <c r="AI206" s="51" t="inlineStr">
        <is>
          <t>U9Y</t>
        </is>
      </c>
    </row>
    <row r="207">
      <c r="B207" s="189" t="n"/>
      <c r="C207" s="189" t="n"/>
      <c r="D207" s="189" t="n"/>
      <c r="E207" s="189" t="n"/>
      <c r="F207" s="189" t="n"/>
      <c r="G207" s="189" t="n"/>
      <c r="H207" s="189" t="n"/>
      <c r="I207" s="189" t="n"/>
      <c r="J207" s="189" t="n"/>
      <c r="K207" s="189" t="n"/>
      <c r="L207" s="189" t="n"/>
      <c r="M207" s="189" t="n"/>
      <c r="N207" s="189" t="n"/>
      <c r="O207" s="189" t="n"/>
      <c r="P207" s="189" t="n"/>
      <c r="Q207" s="189" t="n"/>
      <c r="R207" s="189" t="n"/>
      <c r="S207" s="189" t="n"/>
      <c r="T207" s="189" t="n"/>
      <c r="U207" s="189" t="n"/>
      <c r="V207" s="189" t="n"/>
      <c r="W207" s="189" t="n"/>
      <c r="X207" s="189" t="n"/>
      <c r="Y207" s="189" t="n"/>
      <c r="Z207" s="189" t="n"/>
      <c r="AA207" s="189" t="n"/>
      <c r="AB207" s="189" t="n"/>
      <c r="AC207" s="189" t="n"/>
      <c r="AD207" s="189" t="n"/>
      <c r="AE207" s="189" t="n"/>
      <c r="AF207" s="189" t="n"/>
      <c r="AG207" s="189" t="n"/>
      <c r="AH207" s="189" t="n"/>
      <c r="AI207" s="51" t="inlineStr">
        <is>
          <t>U9θ</t>
        </is>
      </c>
    </row>
    <row r="208">
      <c r="B208" s="189" t="n"/>
      <c r="C208" s="189" t="n"/>
      <c r="D208" s="189" t="n"/>
      <c r="E208" s="189" t="n"/>
      <c r="F208" s="189" t="n"/>
      <c r="G208" s="189" t="n"/>
      <c r="H208" s="189" t="n"/>
      <c r="I208" s="189" t="n"/>
      <c r="J208" s="189" t="n"/>
      <c r="K208" s="189" t="n"/>
      <c r="L208" s="189" t="n"/>
      <c r="M208" s="189" t="n"/>
      <c r="N208" s="189" t="n"/>
      <c r="O208" s="189" t="n"/>
      <c r="P208" s="189" t="n"/>
      <c r="Q208" s="189" t="n"/>
      <c r="R208" s="189" t="n"/>
      <c r="S208" s="189" t="n"/>
      <c r="T208" s="189" t="n"/>
      <c r="U208" s="189" t="n"/>
      <c r="V208" s="189" t="n"/>
      <c r="W208" s="189" t="n"/>
      <c r="X208" s="189" t="n"/>
      <c r="Y208" s="189" t="n"/>
      <c r="Z208" s="189" t="n"/>
      <c r="AA208" s="189" t="n"/>
      <c r="AB208" s="189" t="n"/>
      <c r="AC208" s="189" t="n"/>
      <c r="AD208" s="189" t="n"/>
      <c r="AE208" s="189" t="n"/>
      <c r="AF208" s="189" t="n"/>
      <c r="AG208" s="189" t="n"/>
      <c r="AH208" s="189" t="n"/>
      <c r="AI208" s="51" t="inlineStr">
        <is>
          <t>U10X</t>
        </is>
      </c>
    </row>
    <row r="209">
      <c r="B209" s="189" t="n"/>
      <c r="C209" s="189" t="n"/>
      <c r="D209" s="189" t="n"/>
      <c r="E209" s="189" t="n"/>
      <c r="F209" s="189" t="n"/>
      <c r="G209" s="189" t="n"/>
      <c r="H209" s="189" t="n"/>
      <c r="I209" s="189" t="n"/>
      <c r="J209" s="189" t="n"/>
      <c r="K209" s="189" t="n"/>
      <c r="L209" s="189" t="n"/>
      <c r="M209" s="189" t="n"/>
      <c r="N209" s="189" t="n"/>
      <c r="O209" s="189" t="n"/>
      <c r="P209" s="189" t="n"/>
      <c r="Q209" s="189" t="n"/>
      <c r="R209" s="189" t="n"/>
      <c r="S209" s="189" t="n"/>
      <c r="T209" s="189" t="n"/>
      <c r="U209" s="189" t="n"/>
      <c r="V209" s="189" t="n"/>
      <c r="W209" s="189" t="n"/>
      <c r="X209" s="189" t="n"/>
      <c r="Y209" s="189" t="n"/>
      <c r="Z209" s="189" t="n"/>
      <c r="AA209" s="189" t="n"/>
      <c r="AB209" s="189" t="n"/>
      <c r="AC209" s="189" t="n"/>
      <c r="AD209" s="189" t="n"/>
      <c r="AE209" s="189" t="n"/>
      <c r="AF209" s="189" t="n"/>
      <c r="AG209" s="189" t="n"/>
      <c r="AH209" s="189" t="n"/>
      <c r="AI209" s="51" t="inlineStr">
        <is>
          <t>U10Y</t>
        </is>
      </c>
    </row>
    <row r="210">
      <c r="B210" s="189" t="n"/>
      <c r="C210" s="189" t="n"/>
      <c r="D210" s="189" t="n"/>
      <c r="E210" s="189" t="n"/>
      <c r="F210" s="189" t="n"/>
      <c r="G210" s="189" t="n"/>
      <c r="H210" s="189" t="n"/>
      <c r="I210" s="189" t="n"/>
      <c r="J210" s="189" t="n"/>
      <c r="K210" s="189" t="n"/>
      <c r="L210" s="189" t="n"/>
      <c r="M210" s="189" t="n"/>
      <c r="N210" s="189" t="n"/>
      <c r="O210" s="189" t="n"/>
      <c r="P210" s="189" t="n"/>
      <c r="Q210" s="189" t="n"/>
      <c r="R210" s="189" t="n"/>
      <c r="S210" s="189" t="n"/>
      <c r="T210" s="189" t="n"/>
      <c r="U210" s="189" t="n"/>
      <c r="V210" s="189" t="n"/>
      <c r="W210" s="189" t="n"/>
      <c r="X210" s="189" t="n"/>
      <c r="Y210" s="189" t="n"/>
      <c r="Z210" s="189" t="n"/>
      <c r="AA210" s="189" t="n"/>
      <c r="AB210" s="189" t="n"/>
      <c r="AC210" s="189" t="n"/>
      <c r="AD210" s="189" t="n"/>
      <c r="AE210" s="189" t="n"/>
      <c r="AF210" s="189" t="n"/>
      <c r="AG210" s="189" t="n"/>
      <c r="AH210" s="189" t="n"/>
      <c r="AI210" s="51" t="inlineStr">
        <is>
          <t>U10θ</t>
        </is>
      </c>
    </row>
    <row r="211">
      <c r="B211" s="189" t="n"/>
      <c r="C211" s="189" t="n"/>
      <c r="D211" s="189" t="n"/>
      <c r="E211" s="189" t="n"/>
      <c r="F211" s="189" t="n"/>
      <c r="G211" s="189" t="n"/>
      <c r="H211" s="189" t="n"/>
      <c r="I211" s="189" t="n"/>
      <c r="J211" s="189" t="n"/>
      <c r="K211" s="189" t="n"/>
      <c r="L211" s="189" t="n"/>
      <c r="M211" s="189" t="n"/>
      <c r="N211" s="189" t="n"/>
      <c r="O211" s="189" t="n"/>
      <c r="P211" s="189" t="n"/>
      <c r="Q211" s="189" t="n"/>
      <c r="R211" s="189" t="n"/>
      <c r="S211" s="189" t="n"/>
      <c r="T211" s="189" t="n"/>
      <c r="U211" s="189" t="n"/>
      <c r="V211" s="189" t="n"/>
      <c r="W211" s="189" t="n"/>
      <c r="X211" s="189" t="n"/>
      <c r="Y211" s="189" t="n"/>
      <c r="Z211" s="189" t="n"/>
      <c r="AA211" s="189" t="n"/>
      <c r="AB211" s="189" t="n"/>
      <c r="AC211" s="189" t="n"/>
      <c r="AD211" s="189" t="n"/>
      <c r="AE211" s="189" t="n"/>
      <c r="AF211" s="189" t="n"/>
      <c r="AG211" s="189" t="n"/>
      <c r="AH211" s="189" t="n"/>
      <c r="AI211" s="51" t="inlineStr">
        <is>
          <t>U11X</t>
        </is>
      </c>
    </row>
    <row r="212">
      <c r="B212" s="189" t="n"/>
      <c r="C212" s="189" t="n"/>
      <c r="D212" s="189" t="n"/>
      <c r="E212" s="189" t="n"/>
      <c r="F212" s="189" t="n"/>
      <c r="G212" s="189" t="n"/>
      <c r="H212" s="189" t="n"/>
      <c r="I212" s="189" t="n"/>
      <c r="J212" s="189" t="n"/>
      <c r="K212" s="189" t="n"/>
      <c r="L212" s="189" t="n"/>
      <c r="M212" s="189" t="n"/>
      <c r="N212" s="189" t="n"/>
      <c r="O212" s="189" t="n"/>
      <c r="P212" s="189" t="n"/>
      <c r="Q212" s="189" t="n"/>
      <c r="R212" s="189" t="n"/>
      <c r="S212" s="189" t="n"/>
      <c r="T212" s="189" t="n"/>
      <c r="U212" s="189" t="n"/>
      <c r="V212" s="189" t="n"/>
      <c r="W212" s="189" t="n"/>
      <c r="X212" s="189" t="n"/>
      <c r="Y212" s="189" t="n"/>
      <c r="Z212" s="189" t="n"/>
      <c r="AA212" s="189" t="n"/>
      <c r="AB212" s="189" t="n"/>
      <c r="AC212" s="189" t="n"/>
      <c r="AD212" s="189" t="n"/>
      <c r="AE212" s="189" t="n"/>
      <c r="AF212" s="189" t="n"/>
      <c r="AG212" s="189" t="n"/>
      <c r="AH212" s="189" t="n"/>
      <c r="AI212" s="51" t="inlineStr">
        <is>
          <t>U11Y</t>
        </is>
      </c>
    </row>
    <row r="213">
      <c r="B213" s="189" t="n"/>
      <c r="C213" s="189" t="n"/>
      <c r="D213" s="189" t="n"/>
      <c r="E213" s="189" t="n"/>
      <c r="F213" s="189" t="n"/>
      <c r="G213" s="189" t="n"/>
      <c r="H213" s="189" t="n"/>
      <c r="I213" s="189" t="n"/>
      <c r="J213" s="189" t="n"/>
      <c r="K213" s="189" t="n"/>
      <c r="L213" s="189" t="n"/>
      <c r="M213" s="189" t="n"/>
      <c r="N213" s="189" t="n"/>
      <c r="O213" s="189" t="n"/>
      <c r="P213" s="189" t="n"/>
      <c r="Q213" s="189" t="n"/>
      <c r="R213" s="189" t="n"/>
      <c r="S213" s="189" t="n"/>
      <c r="T213" s="189" t="n"/>
      <c r="U213" s="189" t="n"/>
      <c r="V213" s="189" t="n"/>
      <c r="W213" s="189" t="n"/>
      <c r="X213" s="189" t="n"/>
      <c r="Y213" s="189" t="n"/>
      <c r="Z213" s="189" t="n"/>
      <c r="AA213" s="189" t="n"/>
      <c r="AB213" s="189" t="n"/>
      <c r="AC213" s="189" t="n"/>
      <c r="AD213" s="189" t="n"/>
      <c r="AE213" s="189" t="n"/>
      <c r="AF213" s="189" t="n"/>
      <c r="AG213" s="189" t="n"/>
      <c r="AH213" s="189" t="n"/>
      <c r="AI213" s="51" t="inlineStr">
        <is>
          <t>U11θ</t>
        </is>
      </c>
    </row>
    <row r="215">
      <c r="B215" s="51">
        <f>IF(C35="","", CONCATENATE("U",C35,C$30))</f>
        <v/>
      </c>
      <c r="C215" s="51">
        <f>IF(D35="","", CONCATENATE("U",D35,D$30))</f>
        <v/>
      </c>
      <c r="D215" s="51">
        <f>IF(E35="","", CONCATENATE("U",E35,E$30))</f>
        <v/>
      </c>
      <c r="E215" s="51">
        <f>IF(F35="","", CONCATENATE("U",F35,F$30))</f>
        <v/>
      </c>
      <c r="F215" s="51">
        <f>IF(G35="","", CONCATENATE("U",G35,G$30))</f>
        <v/>
      </c>
      <c r="G215" s="51">
        <f>IF(H35="","", CONCATENATE("U",H35,H$30))</f>
        <v/>
      </c>
    </row>
    <row r="216">
      <c r="B216" s="8">
        <f>IF(I22="", 0, M22*K22*K22+N22*L22*L22)</f>
        <v/>
      </c>
      <c r="C216" s="189">
        <f>IF(I22="", 0, (M22-N22)*(K22*L22))</f>
        <v/>
      </c>
      <c r="D216" s="189">
        <f>IF(I22="", 0, -O22*L22)</f>
        <v/>
      </c>
      <c r="E216" s="189">
        <f>-B216</f>
        <v/>
      </c>
      <c r="F216" s="189">
        <f>-C216</f>
        <v/>
      </c>
      <c r="G216" s="189">
        <f>D216</f>
        <v/>
      </c>
      <c r="H216" s="51">
        <f>B215</f>
        <v/>
      </c>
    </row>
    <row r="217">
      <c r="B217" s="189">
        <f>C216</f>
        <v/>
      </c>
      <c r="C217" s="8">
        <f>IF(I22="", 0, M22*L22*L22+N22*K22*K22)</f>
        <v/>
      </c>
      <c r="D217" s="189">
        <f>IF(I22="", 0, O22*K22)</f>
        <v/>
      </c>
      <c r="E217" s="189">
        <f>-B217</f>
        <v/>
      </c>
      <c r="F217" s="189">
        <f>-C217</f>
        <v/>
      </c>
      <c r="G217" s="189">
        <f>D217</f>
        <v/>
      </c>
      <c r="H217" s="51">
        <f>C215</f>
        <v/>
      </c>
    </row>
    <row r="218">
      <c r="A218" s="118" t="inlineStr">
        <is>
          <t>K5 =</t>
        </is>
      </c>
      <c r="B218" s="189">
        <f>D216</f>
        <v/>
      </c>
      <c r="C218" s="189">
        <f>D217</f>
        <v/>
      </c>
      <c r="D218" s="8">
        <f>IF(I22="", 0, P22)</f>
        <v/>
      </c>
      <c r="E218" s="189">
        <f>-B218</f>
        <v/>
      </c>
      <c r="F218" s="189">
        <f>-C218</f>
        <v/>
      </c>
      <c r="G218" s="189">
        <f>IF(I22="", 0, Q22)</f>
        <v/>
      </c>
      <c r="H218" s="51">
        <f>D215</f>
        <v/>
      </c>
    </row>
    <row r="219">
      <c r="B219" s="189">
        <f>E216</f>
        <v/>
      </c>
      <c r="C219" s="189">
        <f>E217</f>
        <v/>
      </c>
      <c r="D219" s="189">
        <f>E218</f>
        <v/>
      </c>
      <c r="E219" s="8">
        <f>B216</f>
        <v/>
      </c>
      <c r="F219" s="189">
        <f>C216</f>
        <v/>
      </c>
      <c r="G219" s="189">
        <f>-D216</f>
        <v/>
      </c>
      <c r="H219" s="51">
        <f>E215</f>
        <v/>
      </c>
    </row>
    <row r="220">
      <c r="B220" s="189">
        <f>F216</f>
        <v/>
      </c>
      <c r="C220" s="189">
        <f>F217</f>
        <v/>
      </c>
      <c r="D220" s="189">
        <f>F218</f>
        <v/>
      </c>
      <c r="E220" s="189">
        <f>F219</f>
        <v/>
      </c>
      <c r="F220" s="8">
        <f>C217</f>
        <v/>
      </c>
      <c r="G220" s="189">
        <f>-D217</f>
        <v/>
      </c>
      <c r="H220" s="51">
        <f>F215</f>
        <v/>
      </c>
    </row>
    <row r="221">
      <c r="B221" s="189">
        <f>G216</f>
        <v/>
      </c>
      <c r="C221" s="189">
        <f>G217</f>
        <v/>
      </c>
      <c r="D221" s="189">
        <f>G218</f>
        <v/>
      </c>
      <c r="E221" s="189">
        <f>G219</f>
        <v/>
      </c>
      <c r="F221" s="189">
        <f>G220</f>
        <v/>
      </c>
      <c r="G221" s="8">
        <f>D218</f>
        <v/>
      </c>
      <c r="H221" s="51">
        <f>G215</f>
        <v/>
      </c>
    </row>
    <row r="223">
      <c r="B223" s="51" t="inlineStr">
        <is>
          <t>U1X</t>
        </is>
      </c>
      <c r="C223" s="51" t="inlineStr">
        <is>
          <t>U1Y</t>
        </is>
      </c>
      <c r="D223" s="51" t="inlineStr">
        <is>
          <t>U1θ</t>
        </is>
      </c>
      <c r="E223" s="51" t="inlineStr">
        <is>
          <t>U2X</t>
        </is>
      </c>
      <c r="F223" s="51" t="inlineStr">
        <is>
          <t>U2Y</t>
        </is>
      </c>
      <c r="G223" s="51" t="inlineStr">
        <is>
          <t>U2θ</t>
        </is>
      </c>
      <c r="H223" s="51" t="inlineStr">
        <is>
          <t>U3X</t>
        </is>
      </c>
      <c r="I223" s="51" t="inlineStr">
        <is>
          <t>U3Y</t>
        </is>
      </c>
      <c r="J223" s="51" t="inlineStr">
        <is>
          <t>U3θ</t>
        </is>
      </c>
      <c r="K223" s="51" t="inlineStr">
        <is>
          <t>U4X</t>
        </is>
      </c>
      <c r="L223" s="51" t="inlineStr">
        <is>
          <t>U4Y</t>
        </is>
      </c>
      <c r="M223" s="51" t="inlineStr">
        <is>
          <t>U4θ</t>
        </is>
      </c>
      <c r="N223" s="51" t="inlineStr">
        <is>
          <t>U5X</t>
        </is>
      </c>
      <c r="O223" s="51" t="inlineStr">
        <is>
          <t>U5Y</t>
        </is>
      </c>
      <c r="P223" s="51" t="inlineStr">
        <is>
          <t>U5θ</t>
        </is>
      </c>
      <c r="Q223" s="51" t="inlineStr">
        <is>
          <t>U6X</t>
        </is>
      </c>
      <c r="R223" s="51" t="inlineStr">
        <is>
          <t>U6Y</t>
        </is>
      </c>
      <c r="S223" s="51" t="inlineStr">
        <is>
          <t>U6θ</t>
        </is>
      </c>
      <c r="T223" s="51" t="inlineStr">
        <is>
          <t>U7X</t>
        </is>
      </c>
      <c r="U223" s="51" t="inlineStr">
        <is>
          <t>U7Y</t>
        </is>
      </c>
      <c r="V223" s="51" t="inlineStr">
        <is>
          <t>U7θ</t>
        </is>
      </c>
      <c r="W223" s="51" t="inlineStr">
        <is>
          <t>U8X</t>
        </is>
      </c>
      <c r="X223" s="51" t="inlineStr">
        <is>
          <t>U8Y</t>
        </is>
      </c>
      <c r="Y223" s="51" t="inlineStr">
        <is>
          <t>U8θ</t>
        </is>
      </c>
      <c r="Z223" s="51" t="inlineStr">
        <is>
          <t>U9X</t>
        </is>
      </c>
      <c r="AA223" s="51" t="inlineStr">
        <is>
          <t>U9Y</t>
        </is>
      </c>
      <c r="AB223" s="51" t="inlineStr">
        <is>
          <t>U9θ</t>
        </is>
      </c>
      <c r="AC223" s="51" t="inlineStr">
        <is>
          <t>U10X</t>
        </is>
      </c>
      <c r="AD223" s="51" t="inlineStr">
        <is>
          <t>U10Y</t>
        </is>
      </c>
      <c r="AE223" s="51" t="inlineStr">
        <is>
          <t>U10θ</t>
        </is>
      </c>
      <c r="AF223" s="51" t="inlineStr">
        <is>
          <t>U11X</t>
        </is>
      </c>
      <c r="AG223" s="51" t="inlineStr">
        <is>
          <t>U11Y</t>
        </is>
      </c>
      <c r="AH223" s="51" t="inlineStr">
        <is>
          <t>U11θ</t>
        </is>
      </c>
    </row>
    <row r="224">
      <c r="B224" s="189" t="n"/>
      <c r="C224" s="189" t="n"/>
      <c r="D224" s="189" t="n"/>
      <c r="E224" s="189" t="n"/>
      <c r="F224" s="189" t="n"/>
      <c r="G224" s="189" t="n"/>
      <c r="H224" s="189" t="n"/>
      <c r="I224" s="189" t="n"/>
      <c r="J224" s="189" t="n"/>
      <c r="K224" s="189" t="n"/>
      <c r="L224" s="189" t="n"/>
      <c r="M224" s="189" t="n"/>
      <c r="N224" s="189" t="n"/>
      <c r="O224" s="189" t="n"/>
      <c r="P224" s="189" t="n"/>
      <c r="Q224" s="189" t="n"/>
      <c r="R224" s="189" t="n"/>
      <c r="S224" s="189" t="n"/>
      <c r="T224" s="189" t="n"/>
      <c r="U224" s="189" t="n"/>
      <c r="V224" s="189" t="n"/>
      <c r="W224" s="189" t="n"/>
      <c r="X224" s="189" t="n"/>
      <c r="Y224" s="189" t="n"/>
      <c r="Z224" s="189" t="n"/>
      <c r="AA224" s="189" t="n"/>
      <c r="AB224" s="189" t="n"/>
      <c r="AC224" s="189" t="n"/>
      <c r="AD224" s="189" t="n"/>
      <c r="AE224" s="189" t="n"/>
      <c r="AF224" s="189" t="n"/>
      <c r="AG224" s="189" t="n"/>
      <c r="AH224" s="189" t="n"/>
      <c r="AI224" s="51" t="inlineStr">
        <is>
          <t>U1X</t>
        </is>
      </c>
    </row>
    <row r="225">
      <c r="B225" s="189" t="n"/>
      <c r="C225" s="189" t="n"/>
      <c r="D225" s="189" t="n"/>
      <c r="E225" s="189" t="n"/>
      <c r="F225" s="189" t="n"/>
      <c r="G225" s="189" t="n"/>
      <c r="H225" s="189" t="n"/>
      <c r="I225" s="189" t="n"/>
      <c r="J225" s="189" t="n"/>
      <c r="K225" s="189" t="n"/>
      <c r="L225" s="189" t="n"/>
      <c r="M225" s="189" t="n"/>
      <c r="N225" s="189" t="n"/>
      <c r="O225" s="189" t="n"/>
      <c r="P225" s="189" t="n"/>
      <c r="Q225" s="189" t="n"/>
      <c r="R225" s="189" t="n"/>
      <c r="S225" s="189" t="n"/>
      <c r="T225" s="189" t="n"/>
      <c r="U225" s="189" t="n"/>
      <c r="V225" s="189" t="n"/>
      <c r="W225" s="189" t="n"/>
      <c r="X225" s="189" t="n"/>
      <c r="Y225" s="189" t="n"/>
      <c r="Z225" s="189" t="n"/>
      <c r="AA225" s="189" t="n"/>
      <c r="AB225" s="189" t="n"/>
      <c r="AC225" s="189" t="n"/>
      <c r="AD225" s="189" t="n"/>
      <c r="AE225" s="189" t="n"/>
      <c r="AF225" s="189" t="n"/>
      <c r="AG225" s="189" t="n"/>
      <c r="AH225" s="189" t="n"/>
      <c r="AI225" s="51" t="inlineStr">
        <is>
          <t>U1Y</t>
        </is>
      </c>
    </row>
    <row r="226">
      <c r="B226" s="189" t="n"/>
      <c r="C226" s="189" t="n"/>
      <c r="D226" s="189" t="n"/>
      <c r="E226" s="189" t="n"/>
      <c r="F226" s="189" t="n"/>
      <c r="G226" s="189" t="n"/>
      <c r="H226" s="189" t="n"/>
      <c r="I226" s="189" t="n"/>
      <c r="J226" s="189" t="n"/>
      <c r="K226" s="189" t="n"/>
      <c r="L226" s="189" t="n"/>
      <c r="M226" s="189" t="n"/>
      <c r="N226" s="189" t="n"/>
      <c r="O226" s="189" t="n"/>
      <c r="P226" s="189" t="n"/>
      <c r="Q226" s="189" t="n"/>
      <c r="R226" s="189" t="n"/>
      <c r="S226" s="189" t="n"/>
      <c r="T226" s="189" t="n"/>
      <c r="U226" s="189" t="n"/>
      <c r="V226" s="189" t="n"/>
      <c r="W226" s="189" t="n"/>
      <c r="X226" s="189" t="n"/>
      <c r="Y226" s="189" t="n"/>
      <c r="Z226" s="189" t="n"/>
      <c r="AA226" s="189" t="n"/>
      <c r="AB226" s="189" t="n"/>
      <c r="AC226" s="189" t="n"/>
      <c r="AD226" s="189" t="n"/>
      <c r="AE226" s="189" t="n"/>
      <c r="AF226" s="189" t="n"/>
      <c r="AG226" s="189" t="n"/>
      <c r="AH226" s="189" t="n"/>
      <c r="AI226" s="51" t="inlineStr">
        <is>
          <t>U1θ</t>
        </is>
      </c>
    </row>
    <row r="227">
      <c r="B227" s="189" t="n"/>
      <c r="C227" s="189" t="n"/>
      <c r="D227" s="189" t="n"/>
      <c r="E227" s="189" t="n"/>
      <c r="F227" s="189" t="n"/>
      <c r="G227" s="189" t="n"/>
      <c r="H227" s="189" t="n"/>
      <c r="I227" s="189" t="n"/>
      <c r="J227" s="189" t="n"/>
      <c r="K227" s="189" t="n"/>
      <c r="L227" s="189" t="n"/>
      <c r="M227" s="189" t="n"/>
      <c r="N227" s="189" t="n"/>
      <c r="O227" s="189" t="n"/>
      <c r="P227" s="189" t="n"/>
      <c r="Q227" s="189" t="n"/>
      <c r="R227" s="189" t="n"/>
      <c r="S227" s="189" t="n"/>
      <c r="T227" s="189" t="n"/>
      <c r="U227" s="189" t="n"/>
      <c r="V227" s="189" t="n"/>
      <c r="W227" s="189" t="n"/>
      <c r="X227" s="189" t="n"/>
      <c r="Y227" s="189" t="n"/>
      <c r="Z227" s="189" t="n"/>
      <c r="AA227" s="189" t="n"/>
      <c r="AB227" s="189" t="n"/>
      <c r="AC227" s="189" t="n"/>
      <c r="AD227" s="189" t="n"/>
      <c r="AE227" s="189" t="n"/>
      <c r="AF227" s="189" t="n"/>
      <c r="AG227" s="189" t="n"/>
      <c r="AH227" s="189" t="n"/>
      <c r="AI227" s="51" t="inlineStr">
        <is>
          <t>U2X</t>
        </is>
      </c>
    </row>
    <row r="228">
      <c r="B228" s="189" t="n"/>
      <c r="C228" s="189" t="n"/>
      <c r="D228" s="189" t="n"/>
      <c r="E228" s="189" t="n"/>
      <c r="F228" s="189" t="n"/>
      <c r="G228" s="189" t="n"/>
      <c r="H228" s="189" t="n"/>
      <c r="I228" s="189" t="n"/>
      <c r="J228" s="189" t="n"/>
      <c r="K228" s="189" t="n"/>
      <c r="L228" s="189" t="n"/>
      <c r="M228" s="189" t="n"/>
      <c r="N228" s="189" t="n"/>
      <c r="O228" s="189" t="n"/>
      <c r="P228" s="189" t="n"/>
      <c r="Q228" s="189" t="n"/>
      <c r="R228" s="189" t="n"/>
      <c r="S228" s="189" t="n"/>
      <c r="T228" s="189" t="n"/>
      <c r="U228" s="189" t="n"/>
      <c r="V228" s="189" t="n"/>
      <c r="W228" s="189" t="n"/>
      <c r="X228" s="189" t="n"/>
      <c r="Y228" s="189" t="n"/>
      <c r="Z228" s="189" t="n"/>
      <c r="AA228" s="189" t="n"/>
      <c r="AB228" s="189" t="n"/>
      <c r="AC228" s="189" t="n"/>
      <c r="AD228" s="189" t="n"/>
      <c r="AE228" s="189" t="n"/>
      <c r="AF228" s="189" t="n"/>
      <c r="AG228" s="189" t="n"/>
      <c r="AH228" s="189" t="n"/>
      <c r="AI228" s="51" t="inlineStr">
        <is>
          <t>U2Y</t>
        </is>
      </c>
    </row>
    <row r="229">
      <c r="B229" s="189" t="n"/>
      <c r="C229" s="189" t="n"/>
      <c r="D229" s="189" t="n"/>
      <c r="E229" s="189" t="n"/>
      <c r="F229" s="189" t="n"/>
      <c r="G229" s="189" t="n"/>
      <c r="H229" s="189" t="n"/>
      <c r="I229" s="189" t="n"/>
      <c r="J229" s="189" t="n"/>
      <c r="K229" s="189" t="n"/>
      <c r="L229" s="189" t="n"/>
      <c r="M229" s="189" t="n"/>
      <c r="N229" s="189" t="n"/>
      <c r="O229" s="189" t="n"/>
      <c r="P229" s="189" t="n"/>
      <c r="Q229" s="189" t="n"/>
      <c r="R229" s="189" t="n"/>
      <c r="S229" s="189" t="n"/>
      <c r="T229" s="189" t="n"/>
      <c r="U229" s="189" t="n"/>
      <c r="V229" s="189" t="n"/>
      <c r="W229" s="189" t="n"/>
      <c r="X229" s="189" t="n"/>
      <c r="Y229" s="189" t="n"/>
      <c r="Z229" s="189" t="n"/>
      <c r="AA229" s="189" t="n"/>
      <c r="AB229" s="189" t="n"/>
      <c r="AC229" s="189" t="n"/>
      <c r="AD229" s="189" t="n"/>
      <c r="AE229" s="189" t="n"/>
      <c r="AF229" s="189" t="n"/>
      <c r="AG229" s="189" t="n"/>
      <c r="AH229" s="189" t="n"/>
      <c r="AI229" s="51" t="inlineStr">
        <is>
          <t>U2θ</t>
        </is>
      </c>
    </row>
    <row r="230">
      <c r="B230" s="189" t="n"/>
      <c r="C230" s="189" t="n"/>
      <c r="D230" s="189" t="n"/>
      <c r="E230" s="189" t="n"/>
      <c r="F230" s="189" t="n"/>
      <c r="G230" s="189" t="n"/>
      <c r="H230" s="189" t="n"/>
      <c r="I230" s="189" t="n"/>
      <c r="J230" s="189" t="n"/>
      <c r="K230" s="189" t="n"/>
      <c r="L230" s="189" t="n"/>
      <c r="M230" s="189" t="n"/>
      <c r="N230" s="189" t="n"/>
      <c r="O230" s="189" t="n"/>
      <c r="P230" s="189" t="n"/>
      <c r="Q230" s="189" t="n"/>
      <c r="R230" s="189" t="n"/>
      <c r="S230" s="189" t="n"/>
      <c r="T230" s="189" t="n"/>
      <c r="U230" s="189" t="n"/>
      <c r="V230" s="189" t="n"/>
      <c r="W230" s="189" t="n"/>
      <c r="X230" s="189" t="n"/>
      <c r="Y230" s="189" t="n"/>
      <c r="Z230" s="189" t="n"/>
      <c r="AA230" s="189" t="n"/>
      <c r="AB230" s="189" t="n"/>
      <c r="AC230" s="189" t="n"/>
      <c r="AD230" s="189" t="n"/>
      <c r="AE230" s="189" t="n"/>
      <c r="AF230" s="189" t="n"/>
      <c r="AG230" s="189" t="n"/>
      <c r="AH230" s="189" t="n"/>
      <c r="AI230" s="51" t="inlineStr">
        <is>
          <t>U3X</t>
        </is>
      </c>
    </row>
    <row r="231">
      <c r="B231" s="189" t="n"/>
      <c r="C231" s="189" t="n"/>
      <c r="D231" s="189" t="n"/>
      <c r="E231" s="189" t="n"/>
      <c r="F231" s="189" t="n"/>
      <c r="G231" s="189" t="n"/>
      <c r="H231" s="189" t="n"/>
      <c r="I231" s="189" t="n"/>
      <c r="J231" s="189" t="n"/>
      <c r="K231" s="189" t="n"/>
      <c r="L231" s="189" t="n"/>
      <c r="M231" s="189" t="n"/>
      <c r="N231" s="189" t="n"/>
      <c r="O231" s="189" t="n"/>
      <c r="P231" s="189" t="n"/>
      <c r="Q231" s="189" t="n"/>
      <c r="R231" s="189" t="n"/>
      <c r="S231" s="189" t="n"/>
      <c r="T231" s="189" t="n"/>
      <c r="U231" s="189" t="n"/>
      <c r="V231" s="189" t="n"/>
      <c r="W231" s="189" t="n"/>
      <c r="X231" s="189" t="n"/>
      <c r="Y231" s="189" t="n"/>
      <c r="Z231" s="189" t="n"/>
      <c r="AA231" s="189" t="n"/>
      <c r="AB231" s="189" t="n"/>
      <c r="AC231" s="189" t="n"/>
      <c r="AD231" s="189" t="n"/>
      <c r="AE231" s="189" t="n"/>
      <c r="AF231" s="189" t="n"/>
      <c r="AG231" s="189" t="n"/>
      <c r="AH231" s="189" t="n"/>
      <c r="AI231" s="51" t="inlineStr">
        <is>
          <t>U3Y</t>
        </is>
      </c>
    </row>
    <row r="232">
      <c r="B232" s="189" t="n"/>
      <c r="C232" s="189" t="n"/>
      <c r="D232" s="189" t="n"/>
      <c r="E232" s="189" t="n"/>
      <c r="F232" s="189" t="n"/>
      <c r="G232" s="189" t="n"/>
      <c r="H232" s="189" t="n"/>
      <c r="I232" s="189" t="n"/>
      <c r="J232" s="189" t="n"/>
      <c r="K232" s="189" t="n"/>
      <c r="L232" s="189" t="n"/>
      <c r="M232" s="189" t="n"/>
      <c r="N232" s="189" t="n"/>
      <c r="O232" s="189" t="n"/>
      <c r="P232" s="189" t="n"/>
      <c r="Q232" s="189" t="n"/>
      <c r="R232" s="189" t="n"/>
      <c r="S232" s="189" t="n"/>
      <c r="T232" s="189" t="n"/>
      <c r="U232" s="189" t="n"/>
      <c r="V232" s="189" t="n"/>
      <c r="W232" s="189" t="n"/>
      <c r="X232" s="189" t="n"/>
      <c r="Y232" s="189" t="n"/>
      <c r="Z232" s="189" t="n"/>
      <c r="AA232" s="189" t="n"/>
      <c r="AB232" s="189" t="n"/>
      <c r="AC232" s="189" t="n"/>
      <c r="AD232" s="189" t="n"/>
      <c r="AE232" s="189" t="n"/>
      <c r="AF232" s="189" t="n"/>
      <c r="AG232" s="189" t="n"/>
      <c r="AH232" s="189" t="n"/>
      <c r="AI232" s="51" t="inlineStr">
        <is>
          <t>U3θ</t>
        </is>
      </c>
    </row>
    <row r="233">
      <c r="B233" s="189" t="n"/>
      <c r="C233" s="189" t="n"/>
      <c r="D233" s="189" t="n"/>
      <c r="E233" s="189" t="n"/>
      <c r="F233" s="189" t="n"/>
      <c r="G233" s="189" t="n"/>
      <c r="H233" s="189" t="n"/>
      <c r="I233" s="189" t="n"/>
      <c r="J233" s="189" t="n"/>
      <c r="K233" s="189" t="n"/>
      <c r="L233" s="189" t="n"/>
      <c r="M233" s="189" t="n"/>
      <c r="N233" s="189" t="n"/>
      <c r="O233" s="189" t="n"/>
      <c r="P233" s="189" t="n"/>
      <c r="Q233" s="189" t="n"/>
      <c r="R233" s="189" t="n"/>
      <c r="S233" s="189" t="n"/>
      <c r="T233" s="189" t="n"/>
      <c r="U233" s="189" t="n"/>
      <c r="V233" s="189" t="n"/>
      <c r="W233" s="189" t="n"/>
      <c r="X233" s="189" t="n"/>
      <c r="Y233" s="189" t="n"/>
      <c r="Z233" s="189" t="n"/>
      <c r="AA233" s="189" t="n"/>
      <c r="AB233" s="189" t="n"/>
      <c r="AC233" s="189" t="n"/>
      <c r="AD233" s="189" t="n"/>
      <c r="AE233" s="189" t="n"/>
      <c r="AF233" s="189" t="n"/>
      <c r="AG233" s="189" t="n"/>
      <c r="AH233" s="189" t="n"/>
      <c r="AI233" s="51" t="inlineStr">
        <is>
          <t>U4X</t>
        </is>
      </c>
    </row>
    <row r="234">
      <c r="B234" s="189" t="n"/>
      <c r="C234" s="189" t="n"/>
      <c r="D234" s="189" t="n"/>
      <c r="E234" s="189" t="n"/>
      <c r="F234" s="189" t="n"/>
      <c r="G234" s="189" t="n"/>
      <c r="H234" s="189" t="n"/>
      <c r="I234" s="189" t="n"/>
      <c r="J234" s="189" t="n"/>
      <c r="K234" s="189" t="n"/>
      <c r="L234" s="189" t="n"/>
      <c r="M234" s="189" t="n"/>
      <c r="N234" s="189" t="n"/>
      <c r="O234" s="189" t="n"/>
      <c r="P234" s="189" t="n"/>
      <c r="Q234" s="189" t="n"/>
      <c r="R234" s="189" t="n"/>
      <c r="S234" s="189" t="n"/>
      <c r="T234" s="189" t="n"/>
      <c r="U234" s="189" t="n"/>
      <c r="V234" s="189" t="n"/>
      <c r="W234" s="189" t="n"/>
      <c r="X234" s="189" t="n"/>
      <c r="Y234" s="189" t="n"/>
      <c r="Z234" s="189" t="n"/>
      <c r="AA234" s="189" t="n"/>
      <c r="AB234" s="189" t="n"/>
      <c r="AC234" s="189" t="n"/>
      <c r="AD234" s="189" t="n"/>
      <c r="AE234" s="189" t="n"/>
      <c r="AF234" s="189" t="n"/>
      <c r="AG234" s="189" t="n"/>
      <c r="AH234" s="189" t="n"/>
      <c r="AI234" s="51" t="inlineStr">
        <is>
          <t>U4Y</t>
        </is>
      </c>
    </row>
    <row r="235">
      <c r="B235" s="189" t="n"/>
      <c r="C235" s="189" t="n"/>
      <c r="D235" s="189" t="n"/>
      <c r="E235" s="189" t="n"/>
      <c r="F235" s="189" t="n"/>
      <c r="G235" s="189" t="n"/>
      <c r="H235" s="189" t="n"/>
      <c r="I235" s="189" t="n"/>
      <c r="J235" s="189" t="n"/>
      <c r="K235" s="189" t="n"/>
      <c r="L235" s="189" t="n"/>
      <c r="M235" s="189" t="n"/>
      <c r="N235" s="189" t="n"/>
      <c r="O235" s="189" t="n"/>
      <c r="P235" s="189" t="n"/>
      <c r="Q235" s="189" t="n"/>
      <c r="R235" s="189" t="n"/>
      <c r="S235" s="189" t="n"/>
      <c r="T235" s="189" t="n"/>
      <c r="U235" s="189" t="n"/>
      <c r="V235" s="189" t="n"/>
      <c r="W235" s="189" t="n"/>
      <c r="X235" s="189" t="n"/>
      <c r="Y235" s="189" t="n"/>
      <c r="Z235" s="189" t="n"/>
      <c r="AA235" s="189" t="n"/>
      <c r="AB235" s="189" t="n"/>
      <c r="AC235" s="189" t="n"/>
      <c r="AD235" s="189" t="n"/>
      <c r="AE235" s="189" t="n"/>
      <c r="AF235" s="189" t="n"/>
      <c r="AG235" s="189" t="n"/>
      <c r="AH235" s="189" t="n"/>
      <c r="AI235" s="51" t="inlineStr">
        <is>
          <t>U4θ</t>
        </is>
      </c>
    </row>
    <row r="236">
      <c r="B236" s="189" t="n"/>
      <c r="C236" s="189" t="n"/>
      <c r="D236" s="189" t="n"/>
      <c r="E236" s="189" t="n"/>
      <c r="F236" s="189" t="n"/>
      <c r="G236" s="189" t="n"/>
      <c r="H236" s="189" t="n"/>
      <c r="I236" s="189" t="n"/>
      <c r="J236" s="189" t="n"/>
      <c r="K236" s="189" t="n"/>
      <c r="L236" s="189" t="n"/>
      <c r="M236" s="189" t="n"/>
      <c r="N236" s="189">
        <f>B216</f>
        <v/>
      </c>
      <c r="O236" s="189">
        <f>C216</f>
        <v/>
      </c>
      <c r="P236" s="189">
        <f>D216</f>
        <v/>
      </c>
      <c r="Q236" s="189">
        <f>E216</f>
        <v/>
      </c>
      <c r="R236" s="189">
        <f>F216</f>
        <v/>
      </c>
      <c r="S236" s="189">
        <f>G216</f>
        <v/>
      </c>
      <c r="T236" s="189" t="n"/>
      <c r="U236" s="189" t="n"/>
      <c r="V236" s="189" t="n"/>
      <c r="W236" s="189" t="n"/>
      <c r="X236" s="189" t="n"/>
      <c r="Y236" s="189" t="n"/>
      <c r="Z236" s="189" t="n"/>
      <c r="AA236" s="189" t="n"/>
      <c r="AB236" s="189" t="n"/>
      <c r="AC236" s="189" t="n"/>
      <c r="AD236" s="189" t="n"/>
      <c r="AE236" s="189" t="n"/>
      <c r="AF236" s="189" t="n"/>
      <c r="AG236" s="189" t="n"/>
      <c r="AH236" s="189" t="n"/>
      <c r="AI236" s="51" t="inlineStr">
        <is>
          <t>U5X</t>
        </is>
      </c>
    </row>
    <row r="237">
      <c r="B237" s="189" t="n"/>
      <c r="C237" s="189" t="n"/>
      <c r="D237" s="189" t="n"/>
      <c r="E237" s="189" t="n"/>
      <c r="F237" s="189" t="n"/>
      <c r="G237" s="189" t="n"/>
      <c r="H237" s="189" t="n"/>
      <c r="I237" s="189" t="n"/>
      <c r="J237" s="189" t="n"/>
      <c r="K237" s="189" t="n"/>
      <c r="L237" s="189" t="n"/>
      <c r="M237" s="189" t="n"/>
      <c r="N237" s="189">
        <f>B217</f>
        <v/>
      </c>
      <c r="O237" s="189">
        <f>C217</f>
        <v/>
      </c>
      <c r="P237" s="189">
        <f>D217</f>
        <v/>
      </c>
      <c r="Q237" s="189">
        <f>E217</f>
        <v/>
      </c>
      <c r="R237" s="189">
        <f>F217</f>
        <v/>
      </c>
      <c r="S237" s="189">
        <f>G217</f>
        <v/>
      </c>
      <c r="T237" s="189" t="n"/>
      <c r="U237" s="189" t="n"/>
      <c r="V237" s="189" t="n"/>
      <c r="W237" s="189" t="n"/>
      <c r="X237" s="189" t="n"/>
      <c r="Y237" s="189" t="n"/>
      <c r="Z237" s="189" t="n"/>
      <c r="AA237" s="189" t="n"/>
      <c r="AB237" s="189" t="n"/>
      <c r="AC237" s="189" t="n"/>
      <c r="AD237" s="189" t="n"/>
      <c r="AE237" s="189" t="n"/>
      <c r="AF237" s="189" t="n"/>
      <c r="AG237" s="189" t="n"/>
      <c r="AH237" s="189" t="n"/>
      <c r="AI237" s="51" t="inlineStr">
        <is>
          <t>U5Y</t>
        </is>
      </c>
    </row>
    <row r="238">
      <c r="B238" s="189" t="n"/>
      <c r="C238" s="189" t="n"/>
      <c r="D238" s="189" t="n"/>
      <c r="E238" s="189" t="n"/>
      <c r="F238" s="189" t="n"/>
      <c r="G238" s="189" t="n"/>
      <c r="H238" s="189" t="n"/>
      <c r="I238" s="189" t="n"/>
      <c r="J238" s="189" t="n"/>
      <c r="K238" s="189" t="n"/>
      <c r="L238" s="189" t="n"/>
      <c r="M238" s="189" t="n"/>
      <c r="N238" s="189">
        <f>B218</f>
        <v/>
      </c>
      <c r="O238" s="189">
        <f>C218</f>
        <v/>
      </c>
      <c r="P238" s="189">
        <f>D218</f>
        <v/>
      </c>
      <c r="Q238" s="189">
        <f>E218</f>
        <v/>
      </c>
      <c r="R238" s="189">
        <f>F218</f>
        <v/>
      </c>
      <c r="S238" s="189">
        <f>G218</f>
        <v/>
      </c>
      <c r="T238" s="189" t="n"/>
      <c r="U238" s="189" t="n"/>
      <c r="V238" s="189" t="n"/>
      <c r="W238" s="189" t="n"/>
      <c r="X238" s="189" t="n"/>
      <c r="Y238" s="189" t="n"/>
      <c r="Z238" s="189" t="n"/>
      <c r="AA238" s="189" t="n"/>
      <c r="AB238" s="189" t="n"/>
      <c r="AC238" s="189" t="n"/>
      <c r="AD238" s="189" t="n"/>
      <c r="AE238" s="189" t="n"/>
      <c r="AF238" s="189" t="n"/>
      <c r="AG238" s="189" t="n"/>
      <c r="AH238" s="189" t="n"/>
      <c r="AI238" s="51" t="inlineStr">
        <is>
          <t>U5θ</t>
        </is>
      </c>
    </row>
    <row r="239">
      <c r="A239" s="118" t="inlineStr">
        <is>
          <t>K5 =</t>
        </is>
      </c>
      <c r="B239" s="189" t="n"/>
      <c r="C239" s="189" t="n"/>
      <c r="D239" s="189" t="n"/>
      <c r="E239" s="189" t="n"/>
      <c r="F239" s="189" t="n"/>
      <c r="G239" s="189" t="n"/>
      <c r="H239" s="189" t="n"/>
      <c r="I239" s="189" t="n"/>
      <c r="J239" s="189" t="n"/>
      <c r="K239" s="189" t="n"/>
      <c r="L239" s="189" t="n"/>
      <c r="M239" s="189" t="n"/>
      <c r="N239" s="189">
        <f>B219</f>
        <v/>
      </c>
      <c r="O239" s="189">
        <f>C219</f>
        <v/>
      </c>
      <c r="P239" s="189">
        <f>D219</f>
        <v/>
      </c>
      <c r="Q239" s="189">
        <f>E219</f>
        <v/>
      </c>
      <c r="R239" s="189">
        <f>F219</f>
        <v/>
      </c>
      <c r="S239" s="189">
        <f>G219</f>
        <v/>
      </c>
      <c r="T239" s="189" t="n"/>
      <c r="U239" s="189" t="n"/>
      <c r="V239" s="189" t="n"/>
      <c r="W239" s="189" t="n"/>
      <c r="X239" s="189" t="n"/>
      <c r="Y239" s="189" t="n"/>
      <c r="Z239" s="189" t="n"/>
      <c r="AA239" s="189" t="n"/>
      <c r="AB239" s="189" t="n"/>
      <c r="AC239" s="189" t="n"/>
      <c r="AD239" s="189" t="n"/>
      <c r="AE239" s="189" t="n"/>
      <c r="AF239" s="189" t="n"/>
      <c r="AG239" s="189" t="n"/>
      <c r="AH239" s="189" t="n"/>
      <c r="AI239" s="51" t="inlineStr">
        <is>
          <t>U6X</t>
        </is>
      </c>
    </row>
    <row r="240">
      <c r="B240" s="189" t="n"/>
      <c r="C240" s="189" t="n"/>
      <c r="D240" s="189" t="n"/>
      <c r="E240" s="189" t="n"/>
      <c r="F240" s="189" t="n"/>
      <c r="G240" s="189" t="n"/>
      <c r="H240" s="189" t="n"/>
      <c r="I240" s="189" t="n"/>
      <c r="J240" s="189" t="n"/>
      <c r="K240" s="189" t="n"/>
      <c r="L240" s="189" t="n"/>
      <c r="M240" s="189" t="n"/>
      <c r="N240" s="189">
        <f>B220</f>
        <v/>
      </c>
      <c r="O240" s="189">
        <f>C220</f>
        <v/>
      </c>
      <c r="P240" s="189">
        <f>D220</f>
        <v/>
      </c>
      <c r="Q240" s="189">
        <f>E220</f>
        <v/>
      </c>
      <c r="R240" s="189">
        <f>F220</f>
        <v/>
      </c>
      <c r="S240" s="189">
        <f>G220</f>
        <v/>
      </c>
      <c r="T240" s="189" t="n"/>
      <c r="U240" s="189" t="n"/>
      <c r="V240" s="189" t="n"/>
      <c r="W240" s="189" t="n"/>
      <c r="X240" s="189" t="n"/>
      <c r="Y240" s="189" t="n"/>
      <c r="Z240" s="189" t="n"/>
      <c r="AA240" s="189" t="n"/>
      <c r="AB240" s="189" t="n"/>
      <c r="AC240" s="189" t="n"/>
      <c r="AD240" s="189" t="n"/>
      <c r="AE240" s="189" t="n"/>
      <c r="AF240" s="189" t="n"/>
      <c r="AG240" s="189" t="n"/>
      <c r="AH240" s="189" t="n"/>
      <c r="AI240" s="51" t="inlineStr">
        <is>
          <t>U6Y</t>
        </is>
      </c>
    </row>
    <row r="241">
      <c r="B241" s="189" t="n"/>
      <c r="C241" s="189" t="n"/>
      <c r="D241" s="189" t="n"/>
      <c r="E241" s="189" t="n"/>
      <c r="F241" s="189" t="n"/>
      <c r="G241" s="189" t="n"/>
      <c r="H241" s="189" t="n"/>
      <c r="I241" s="189" t="n"/>
      <c r="J241" s="189" t="n"/>
      <c r="K241" s="189" t="n"/>
      <c r="L241" s="189" t="n"/>
      <c r="M241" s="189" t="n"/>
      <c r="N241" s="189">
        <f>B221</f>
        <v/>
      </c>
      <c r="O241" s="189">
        <f>C221</f>
        <v/>
      </c>
      <c r="P241" s="189">
        <f>D221</f>
        <v/>
      </c>
      <c r="Q241" s="189">
        <f>E221</f>
        <v/>
      </c>
      <c r="R241" s="189">
        <f>F221</f>
        <v/>
      </c>
      <c r="S241" s="189">
        <f>G221</f>
        <v/>
      </c>
      <c r="T241" s="189" t="n"/>
      <c r="U241" s="189" t="n"/>
      <c r="V241" s="189" t="n"/>
      <c r="W241" s="189" t="n"/>
      <c r="X241" s="189" t="n"/>
      <c r="Y241" s="189" t="n"/>
      <c r="Z241" s="189" t="n"/>
      <c r="AA241" s="189" t="n"/>
      <c r="AB241" s="189" t="n"/>
      <c r="AC241" s="189" t="n"/>
      <c r="AD241" s="189" t="n"/>
      <c r="AE241" s="189" t="n"/>
      <c r="AF241" s="189" t="n"/>
      <c r="AG241" s="189" t="n"/>
      <c r="AH241" s="189" t="n"/>
      <c r="AI241" s="51" t="inlineStr">
        <is>
          <t>U6θ</t>
        </is>
      </c>
    </row>
    <row r="242">
      <c r="B242" s="189" t="n"/>
      <c r="C242" s="189" t="n"/>
      <c r="D242" s="189" t="n"/>
      <c r="E242" s="189" t="n"/>
      <c r="F242" s="189" t="n"/>
      <c r="G242" s="189" t="n"/>
      <c r="H242" s="189" t="n"/>
      <c r="I242" s="189" t="n"/>
      <c r="J242" s="189" t="n"/>
      <c r="K242" s="189" t="n"/>
      <c r="L242" s="189" t="n"/>
      <c r="M242" s="189" t="n"/>
      <c r="N242" s="189" t="n"/>
      <c r="O242" s="189" t="n"/>
      <c r="P242" s="189" t="n"/>
      <c r="Q242" s="189" t="n"/>
      <c r="R242" s="189" t="n"/>
      <c r="S242" s="189" t="n"/>
      <c r="T242" s="189" t="n"/>
      <c r="U242" s="189" t="n"/>
      <c r="V242" s="189" t="n"/>
      <c r="W242" s="189" t="n"/>
      <c r="X242" s="189" t="n"/>
      <c r="Y242" s="189" t="n"/>
      <c r="Z242" s="189" t="n"/>
      <c r="AA242" s="189" t="n"/>
      <c r="AB242" s="189" t="n"/>
      <c r="AC242" s="189" t="n"/>
      <c r="AD242" s="189" t="n"/>
      <c r="AE242" s="189" t="n"/>
      <c r="AF242" s="189" t="n"/>
      <c r="AG242" s="189" t="n"/>
      <c r="AH242" s="189" t="n"/>
      <c r="AI242" s="51" t="inlineStr">
        <is>
          <t>U7X</t>
        </is>
      </c>
    </row>
    <row r="243">
      <c r="B243" s="189" t="n"/>
      <c r="C243" s="189" t="n"/>
      <c r="D243" s="189" t="n"/>
      <c r="E243" s="189" t="n"/>
      <c r="F243" s="189" t="n"/>
      <c r="G243" s="189" t="n"/>
      <c r="H243" s="189" t="n"/>
      <c r="I243" s="189" t="n"/>
      <c r="J243" s="189" t="n"/>
      <c r="K243" s="189" t="n"/>
      <c r="L243" s="189" t="n"/>
      <c r="M243" s="189" t="n"/>
      <c r="N243" s="189" t="n"/>
      <c r="O243" s="189" t="n"/>
      <c r="P243" s="189" t="n"/>
      <c r="Q243" s="189" t="n"/>
      <c r="R243" s="189" t="n"/>
      <c r="S243" s="189" t="n"/>
      <c r="T243" s="189" t="n"/>
      <c r="U243" s="189" t="n"/>
      <c r="V243" s="189" t="n"/>
      <c r="W243" s="189" t="n"/>
      <c r="X243" s="189" t="n"/>
      <c r="Y243" s="189" t="n"/>
      <c r="Z243" s="189" t="n"/>
      <c r="AA243" s="189" t="n"/>
      <c r="AB243" s="189" t="n"/>
      <c r="AC243" s="189" t="n"/>
      <c r="AD243" s="189" t="n"/>
      <c r="AE243" s="189" t="n"/>
      <c r="AF243" s="189" t="n"/>
      <c r="AG243" s="189" t="n"/>
      <c r="AH243" s="189" t="n"/>
      <c r="AI243" s="51" t="inlineStr">
        <is>
          <t>U7Y</t>
        </is>
      </c>
    </row>
    <row r="244">
      <c r="B244" s="189" t="n"/>
      <c r="C244" s="189" t="n"/>
      <c r="D244" s="189" t="n"/>
      <c r="E244" s="189" t="n"/>
      <c r="F244" s="189" t="n"/>
      <c r="G244" s="189" t="n"/>
      <c r="H244" s="189" t="n"/>
      <c r="I244" s="189" t="n"/>
      <c r="J244" s="189" t="n"/>
      <c r="K244" s="189" t="n"/>
      <c r="L244" s="189" t="n"/>
      <c r="M244" s="189" t="n"/>
      <c r="N244" s="189" t="n"/>
      <c r="O244" s="189" t="n"/>
      <c r="P244" s="189" t="n"/>
      <c r="Q244" s="189" t="n"/>
      <c r="R244" s="189" t="n"/>
      <c r="S244" s="189" t="n"/>
      <c r="T244" s="189" t="n"/>
      <c r="U244" s="189" t="n"/>
      <c r="V244" s="189" t="n"/>
      <c r="W244" s="189" t="n"/>
      <c r="X244" s="189" t="n"/>
      <c r="Y244" s="189" t="n"/>
      <c r="Z244" s="189" t="n"/>
      <c r="AA244" s="189" t="n"/>
      <c r="AB244" s="189" t="n"/>
      <c r="AC244" s="189" t="n"/>
      <c r="AD244" s="189" t="n"/>
      <c r="AE244" s="189" t="n"/>
      <c r="AF244" s="189" t="n"/>
      <c r="AG244" s="189" t="n"/>
      <c r="AH244" s="189" t="n"/>
      <c r="AI244" s="51" t="inlineStr">
        <is>
          <t>U7θ</t>
        </is>
      </c>
    </row>
    <row r="245">
      <c r="B245" s="189" t="n"/>
      <c r="C245" s="189" t="n"/>
      <c r="D245" s="189" t="n"/>
      <c r="E245" s="189" t="n"/>
      <c r="F245" s="189" t="n"/>
      <c r="G245" s="189" t="n"/>
      <c r="H245" s="189" t="n"/>
      <c r="I245" s="189" t="n"/>
      <c r="J245" s="189" t="n"/>
      <c r="K245" s="189" t="n"/>
      <c r="L245" s="189" t="n"/>
      <c r="M245" s="189" t="n"/>
      <c r="N245" s="189" t="n"/>
      <c r="O245" s="189" t="n"/>
      <c r="P245" s="189" t="n"/>
      <c r="Q245" s="189" t="n"/>
      <c r="R245" s="189" t="n"/>
      <c r="S245" s="189" t="n"/>
      <c r="T245" s="189" t="n"/>
      <c r="U245" s="189" t="n"/>
      <c r="V245" s="189" t="n"/>
      <c r="W245" s="189" t="n"/>
      <c r="X245" s="189" t="n"/>
      <c r="Y245" s="189" t="n"/>
      <c r="Z245" s="189" t="n"/>
      <c r="AA245" s="189" t="n"/>
      <c r="AB245" s="189" t="n"/>
      <c r="AC245" s="189" t="n"/>
      <c r="AD245" s="189" t="n"/>
      <c r="AE245" s="189" t="n"/>
      <c r="AF245" s="189" t="n"/>
      <c r="AG245" s="189" t="n"/>
      <c r="AH245" s="189" t="n"/>
      <c r="AI245" s="51" t="inlineStr">
        <is>
          <t>U8X</t>
        </is>
      </c>
    </row>
    <row r="246">
      <c r="B246" s="189" t="n"/>
      <c r="C246" s="189" t="n"/>
      <c r="D246" s="189" t="n"/>
      <c r="E246" s="189" t="n"/>
      <c r="F246" s="189" t="n"/>
      <c r="G246" s="189" t="n"/>
      <c r="H246" s="189" t="n"/>
      <c r="I246" s="189" t="n"/>
      <c r="J246" s="189" t="n"/>
      <c r="K246" s="189" t="n"/>
      <c r="L246" s="189" t="n"/>
      <c r="M246" s="189" t="n"/>
      <c r="N246" s="189" t="n"/>
      <c r="O246" s="189" t="n"/>
      <c r="P246" s="189" t="n"/>
      <c r="Q246" s="189" t="n"/>
      <c r="R246" s="189" t="n"/>
      <c r="S246" s="189" t="n"/>
      <c r="T246" s="189" t="n"/>
      <c r="U246" s="189" t="n"/>
      <c r="V246" s="189" t="n"/>
      <c r="W246" s="189" t="n"/>
      <c r="X246" s="189" t="n"/>
      <c r="Y246" s="189" t="n"/>
      <c r="Z246" s="189" t="n"/>
      <c r="AA246" s="189" t="n"/>
      <c r="AB246" s="189" t="n"/>
      <c r="AC246" s="189" t="n"/>
      <c r="AD246" s="189" t="n"/>
      <c r="AE246" s="189" t="n"/>
      <c r="AF246" s="189" t="n"/>
      <c r="AG246" s="189" t="n"/>
      <c r="AH246" s="189" t="n"/>
      <c r="AI246" s="51" t="inlineStr">
        <is>
          <t>U8Y</t>
        </is>
      </c>
    </row>
    <row r="247">
      <c r="B247" s="189" t="n"/>
      <c r="C247" s="189" t="n"/>
      <c r="D247" s="189" t="n"/>
      <c r="E247" s="189" t="n"/>
      <c r="F247" s="189" t="n"/>
      <c r="G247" s="189" t="n"/>
      <c r="H247" s="189" t="n"/>
      <c r="I247" s="189" t="n"/>
      <c r="J247" s="189" t="n"/>
      <c r="K247" s="189" t="n"/>
      <c r="L247" s="189" t="n"/>
      <c r="M247" s="189" t="n"/>
      <c r="N247" s="189" t="n"/>
      <c r="O247" s="189" t="n"/>
      <c r="P247" s="189" t="n"/>
      <c r="Q247" s="189" t="n"/>
      <c r="R247" s="189" t="n"/>
      <c r="S247" s="189" t="n"/>
      <c r="T247" s="189" t="n"/>
      <c r="U247" s="189" t="n"/>
      <c r="V247" s="189" t="n"/>
      <c r="W247" s="189" t="n"/>
      <c r="X247" s="189" t="n"/>
      <c r="Y247" s="189" t="n"/>
      <c r="Z247" s="189" t="n"/>
      <c r="AA247" s="189" t="n"/>
      <c r="AB247" s="189" t="n"/>
      <c r="AC247" s="189" t="n"/>
      <c r="AD247" s="189" t="n"/>
      <c r="AE247" s="189" t="n"/>
      <c r="AF247" s="189" t="n"/>
      <c r="AG247" s="189" t="n"/>
      <c r="AH247" s="189" t="n"/>
      <c r="AI247" s="51" t="inlineStr">
        <is>
          <t>U8θ</t>
        </is>
      </c>
    </row>
    <row r="248">
      <c r="B248" s="189" t="n"/>
      <c r="C248" s="189" t="n"/>
      <c r="D248" s="189" t="n"/>
      <c r="E248" s="189" t="n"/>
      <c r="F248" s="189" t="n"/>
      <c r="G248" s="189" t="n"/>
      <c r="H248" s="189" t="n"/>
      <c r="I248" s="189" t="n"/>
      <c r="J248" s="189" t="n"/>
      <c r="K248" s="189" t="n"/>
      <c r="L248" s="189" t="n"/>
      <c r="M248" s="189" t="n"/>
      <c r="N248" s="189" t="n"/>
      <c r="O248" s="189" t="n"/>
      <c r="P248" s="189" t="n"/>
      <c r="Q248" s="189" t="n"/>
      <c r="R248" s="189" t="n"/>
      <c r="S248" s="189" t="n"/>
      <c r="T248" s="189" t="n"/>
      <c r="U248" s="189" t="n"/>
      <c r="V248" s="189" t="n"/>
      <c r="W248" s="189" t="n"/>
      <c r="X248" s="189" t="n"/>
      <c r="Y248" s="189" t="n"/>
      <c r="Z248" s="189" t="n"/>
      <c r="AA248" s="189" t="n"/>
      <c r="AB248" s="189" t="n"/>
      <c r="AC248" s="189" t="n"/>
      <c r="AD248" s="189" t="n"/>
      <c r="AE248" s="189" t="n"/>
      <c r="AF248" s="189" t="n"/>
      <c r="AG248" s="189" t="n"/>
      <c r="AH248" s="189" t="n"/>
      <c r="AI248" s="51" t="inlineStr">
        <is>
          <t>U9X</t>
        </is>
      </c>
    </row>
    <row r="249">
      <c r="B249" s="189" t="n"/>
      <c r="C249" s="189" t="n"/>
      <c r="D249" s="189" t="n"/>
      <c r="E249" s="189" t="n"/>
      <c r="F249" s="189" t="n"/>
      <c r="G249" s="189" t="n"/>
      <c r="H249" s="189" t="n"/>
      <c r="I249" s="189" t="n"/>
      <c r="J249" s="189" t="n"/>
      <c r="K249" s="189" t="n"/>
      <c r="L249" s="189" t="n"/>
      <c r="M249" s="189" t="n"/>
      <c r="N249" s="189" t="n"/>
      <c r="O249" s="189" t="n"/>
      <c r="P249" s="189" t="n"/>
      <c r="Q249" s="189" t="n"/>
      <c r="R249" s="189" t="n"/>
      <c r="S249" s="189" t="n"/>
      <c r="T249" s="189" t="n"/>
      <c r="U249" s="189" t="n"/>
      <c r="V249" s="189" t="n"/>
      <c r="W249" s="189" t="n"/>
      <c r="X249" s="189" t="n"/>
      <c r="Y249" s="189" t="n"/>
      <c r="Z249" s="189" t="n"/>
      <c r="AA249" s="189" t="n"/>
      <c r="AB249" s="189" t="n"/>
      <c r="AC249" s="189" t="n"/>
      <c r="AD249" s="189" t="n"/>
      <c r="AE249" s="189" t="n"/>
      <c r="AF249" s="189" t="n"/>
      <c r="AG249" s="189" t="n"/>
      <c r="AH249" s="189" t="n"/>
      <c r="AI249" s="51" t="inlineStr">
        <is>
          <t>U9Y</t>
        </is>
      </c>
    </row>
    <row r="250">
      <c r="B250" s="189" t="n"/>
      <c r="C250" s="189" t="n"/>
      <c r="D250" s="189" t="n"/>
      <c r="E250" s="189" t="n"/>
      <c r="F250" s="189" t="n"/>
      <c r="G250" s="189" t="n"/>
      <c r="H250" s="189" t="n"/>
      <c r="I250" s="189" t="n"/>
      <c r="J250" s="189" t="n"/>
      <c r="K250" s="189" t="n"/>
      <c r="L250" s="189" t="n"/>
      <c r="M250" s="189" t="n"/>
      <c r="N250" s="189" t="n"/>
      <c r="O250" s="189" t="n"/>
      <c r="P250" s="189" t="n"/>
      <c r="Q250" s="189" t="n"/>
      <c r="R250" s="189" t="n"/>
      <c r="S250" s="189" t="n"/>
      <c r="T250" s="189" t="n"/>
      <c r="U250" s="189" t="n"/>
      <c r="V250" s="189" t="n"/>
      <c r="W250" s="189" t="n"/>
      <c r="X250" s="189" t="n"/>
      <c r="Y250" s="189" t="n"/>
      <c r="Z250" s="189" t="n"/>
      <c r="AA250" s="189" t="n"/>
      <c r="AB250" s="189" t="n"/>
      <c r="AC250" s="189" t="n"/>
      <c r="AD250" s="189" t="n"/>
      <c r="AE250" s="189" t="n"/>
      <c r="AF250" s="189" t="n"/>
      <c r="AG250" s="189" t="n"/>
      <c r="AH250" s="189" t="n"/>
      <c r="AI250" s="51" t="inlineStr">
        <is>
          <t>U9θ</t>
        </is>
      </c>
    </row>
    <row r="251">
      <c r="B251" s="189" t="n"/>
      <c r="C251" s="189" t="n"/>
      <c r="D251" s="189" t="n"/>
      <c r="E251" s="189" t="n"/>
      <c r="F251" s="189" t="n"/>
      <c r="G251" s="189" t="n"/>
      <c r="H251" s="189" t="n"/>
      <c r="I251" s="189" t="n"/>
      <c r="J251" s="189" t="n"/>
      <c r="K251" s="189" t="n"/>
      <c r="L251" s="189" t="n"/>
      <c r="M251" s="189" t="n"/>
      <c r="N251" s="189" t="n"/>
      <c r="O251" s="189" t="n"/>
      <c r="P251" s="189" t="n"/>
      <c r="Q251" s="189" t="n"/>
      <c r="R251" s="189" t="n"/>
      <c r="S251" s="189" t="n"/>
      <c r="T251" s="189" t="n"/>
      <c r="U251" s="189" t="n"/>
      <c r="V251" s="189" t="n"/>
      <c r="W251" s="189" t="n"/>
      <c r="X251" s="189" t="n"/>
      <c r="Y251" s="189" t="n"/>
      <c r="Z251" s="189" t="n"/>
      <c r="AA251" s="189" t="n"/>
      <c r="AB251" s="189" t="n"/>
      <c r="AC251" s="189" t="n"/>
      <c r="AD251" s="189" t="n"/>
      <c r="AE251" s="189" t="n"/>
      <c r="AF251" s="189" t="n"/>
      <c r="AG251" s="189" t="n"/>
      <c r="AH251" s="189" t="n"/>
      <c r="AI251" s="51" t="inlineStr">
        <is>
          <t>U10X</t>
        </is>
      </c>
    </row>
    <row r="252">
      <c r="B252" s="189" t="n"/>
      <c r="C252" s="189" t="n"/>
      <c r="D252" s="189" t="n"/>
      <c r="E252" s="189" t="n"/>
      <c r="F252" s="189" t="n"/>
      <c r="G252" s="189" t="n"/>
      <c r="H252" s="189" t="n"/>
      <c r="I252" s="189" t="n"/>
      <c r="J252" s="189" t="n"/>
      <c r="K252" s="189" t="n"/>
      <c r="L252" s="189" t="n"/>
      <c r="M252" s="189" t="n"/>
      <c r="N252" s="189" t="n"/>
      <c r="O252" s="189" t="n"/>
      <c r="P252" s="189" t="n"/>
      <c r="Q252" s="189" t="n"/>
      <c r="R252" s="189" t="n"/>
      <c r="S252" s="189" t="n"/>
      <c r="T252" s="189" t="n"/>
      <c r="U252" s="189" t="n"/>
      <c r="V252" s="189" t="n"/>
      <c r="W252" s="189" t="n"/>
      <c r="X252" s="189" t="n"/>
      <c r="Y252" s="189" t="n"/>
      <c r="Z252" s="189" t="n"/>
      <c r="AA252" s="189" t="n"/>
      <c r="AB252" s="189" t="n"/>
      <c r="AC252" s="189" t="n"/>
      <c r="AD252" s="189" t="n"/>
      <c r="AE252" s="189" t="n"/>
      <c r="AF252" s="189" t="n"/>
      <c r="AG252" s="189" t="n"/>
      <c r="AH252" s="189" t="n"/>
      <c r="AI252" s="51" t="inlineStr">
        <is>
          <t>U10Y</t>
        </is>
      </c>
    </row>
    <row r="253">
      <c r="B253" s="189" t="n"/>
      <c r="C253" s="189" t="n"/>
      <c r="D253" s="189" t="n"/>
      <c r="E253" s="189" t="n"/>
      <c r="F253" s="189" t="n"/>
      <c r="G253" s="189" t="n"/>
      <c r="H253" s="189" t="n"/>
      <c r="I253" s="189" t="n"/>
      <c r="J253" s="189" t="n"/>
      <c r="K253" s="189" t="n"/>
      <c r="L253" s="189" t="n"/>
      <c r="M253" s="189" t="n"/>
      <c r="N253" s="189" t="n"/>
      <c r="O253" s="189" t="n"/>
      <c r="P253" s="189" t="n"/>
      <c r="Q253" s="189" t="n"/>
      <c r="R253" s="189" t="n"/>
      <c r="S253" s="189" t="n"/>
      <c r="T253" s="189" t="n"/>
      <c r="U253" s="189" t="n"/>
      <c r="V253" s="189" t="n"/>
      <c r="W253" s="189" t="n"/>
      <c r="X253" s="189" t="n"/>
      <c r="Y253" s="189" t="n"/>
      <c r="Z253" s="189" t="n"/>
      <c r="AA253" s="189" t="n"/>
      <c r="AB253" s="189" t="n"/>
      <c r="AC253" s="189" t="n"/>
      <c r="AD253" s="189" t="n"/>
      <c r="AE253" s="189" t="n"/>
      <c r="AF253" s="189" t="n"/>
      <c r="AG253" s="189" t="n"/>
      <c r="AH253" s="189" t="n"/>
      <c r="AI253" s="51" t="inlineStr">
        <is>
          <t>U10θ</t>
        </is>
      </c>
    </row>
    <row r="254">
      <c r="B254" s="189" t="n"/>
      <c r="C254" s="189" t="n"/>
      <c r="D254" s="189" t="n"/>
      <c r="E254" s="189" t="n"/>
      <c r="F254" s="189" t="n"/>
      <c r="G254" s="189" t="n"/>
      <c r="H254" s="189" t="n"/>
      <c r="I254" s="189" t="n"/>
      <c r="J254" s="189" t="n"/>
      <c r="K254" s="189" t="n"/>
      <c r="L254" s="189" t="n"/>
      <c r="M254" s="189" t="n"/>
      <c r="N254" s="189" t="n"/>
      <c r="O254" s="189" t="n"/>
      <c r="P254" s="189" t="n"/>
      <c r="Q254" s="189" t="n"/>
      <c r="R254" s="189" t="n"/>
      <c r="S254" s="189" t="n"/>
      <c r="T254" s="189" t="n"/>
      <c r="U254" s="189" t="n"/>
      <c r="V254" s="189" t="n"/>
      <c r="W254" s="189" t="n"/>
      <c r="X254" s="189" t="n"/>
      <c r="Y254" s="189" t="n"/>
      <c r="Z254" s="189" t="n"/>
      <c r="AA254" s="189" t="n"/>
      <c r="AB254" s="189" t="n"/>
      <c r="AC254" s="189" t="n"/>
      <c r="AD254" s="189" t="n"/>
      <c r="AE254" s="189" t="n"/>
      <c r="AF254" s="189" t="n"/>
      <c r="AG254" s="189" t="n"/>
      <c r="AH254" s="189" t="n"/>
      <c r="AI254" s="51" t="inlineStr">
        <is>
          <t>U11X</t>
        </is>
      </c>
    </row>
    <row r="255">
      <c r="B255" s="189" t="n"/>
      <c r="C255" s="189" t="n"/>
      <c r="D255" s="189" t="n"/>
      <c r="E255" s="189" t="n"/>
      <c r="F255" s="189" t="n"/>
      <c r="G255" s="189" t="n"/>
      <c r="H255" s="189" t="n"/>
      <c r="I255" s="189" t="n"/>
      <c r="J255" s="189" t="n"/>
      <c r="K255" s="189" t="n"/>
      <c r="L255" s="189" t="n"/>
      <c r="M255" s="189" t="n"/>
      <c r="N255" s="189" t="n"/>
      <c r="O255" s="189" t="n"/>
      <c r="P255" s="189" t="n"/>
      <c r="Q255" s="189" t="n"/>
      <c r="R255" s="189" t="n"/>
      <c r="S255" s="189" t="n"/>
      <c r="T255" s="189" t="n"/>
      <c r="U255" s="189" t="n"/>
      <c r="V255" s="189" t="n"/>
      <c r="W255" s="189" t="n"/>
      <c r="X255" s="189" t="n"/>
      <c r="Y255" s="189" t="n"/>
      <c r="Z255" s="189" t="n"/>
      <c r="AA255" s="189" t="n"/>
      <c r="AB255" s="189" t="n"/>
      <c r="AC255" s="189" t="n"/>
      <c r="AD255" s="189" t="n"/>
      <c r="AE255" s="189" t="n"/>
      <c r="AF255" s="189" t="n"/>
      <c r="AG255" s="189" t="n"/>
      <c r="AH255" s="189" t="n"/>
      <c r="AI255" s="51" t="inlineStr">
        <is>
          <t>U11Y</t>
        </is>
      </c>
    </row>
    <row r="256">
      <c r="B256" s="189" t="n"/>
      <c r="C256" s="189" t="n"/>
      <c r="D256" s="189" t="n"/>
      <c r="E256" s="189" t="n"/>
      <c r="F256" s="189" t="n"/>
      <c r="G256" s="189" t="n"/>
      <c r="H256" s="189" t="n"/>
      <c r="I256" s="189" t="n"/>
      <c r="J256" s="189" t="n"/>
      <c r="K256" s="189" t="n"/>
      <c r="L256" s="189" t="n"/>
      <c r="M256" s="189" t="n"/>
      <c r="N256" s="189" t="n"/>
      <c r="O256" s="189" t="n"/>
      <c r="P256" s="189" t="n"/>
      <c r="Q256" s="189" t="n"/>
      <c r="R256" s="189" t="n"/>
      <c r="S256" s="189" t="n"/>
      <c r="T256" s="189" t="n"/>
      <c r="U256" s="189" t="n"/>
      <c r="V256" s="189" t="n"/>
      <c r="W256" s="189" t="n"/>
      <c r="X256" s="189" t="n"/>
      <c r="Y256" s="189" t="n"/>
      <c r="Z256" s="189" t="n"/>
      <c r="AA256" s="189" t="n"/>
      <c r="AB256" s="189" t="n"/>
      <c r="AC256" s="189" t="n"/>
      <c r="AD256" s="189" t="n"/>
      <c r="AE256" s="189" t="n"/>
      <c r="AF256" s="189" t="n"/>
      <c r="AG256" s="189" t="n"/>
      <c r="AH256" s="189" t="n"/>
      <c r="AI256" s="51" t="inlineStr">
        <is>
          <t>U11θ</t>
        </is>
      </c>
    </row>
    <row r="258">
      <c r="B258" s="51">
        <f>IF(C36="","", CONCATENATE("U",C36,C$30))</f>
        <v/>
      </c>
      <c r="C258" s="51">
        <f>IF(D36="","", CONCATENATE("U",D36,D$30))</f>
        <v/>
      </c>
      <c r="D258" s="51">
        <f>IF(E36="","", CONCATENATE("U",E36,E$30))</f>
        <v/>
      </c>
      <c r="E258" s="51">
        <f>IF(F36="","", CONCATENATE("U",F36,F$30))</f>
        <v/>
      </c>
      <c r="F258" s="51">
        <f>IF(G36="","", CONCATENATE("U",G36,G$30))</f>
        <v/>
      </c>
      <c r="G258" s="51">
        <f>IF(H36="","", CONCATENATE("U",H36,H$30))</f>
        <v/>
      </c>
    </row>
    <row r="259">
      <c r="B259" s="8">
        <f>IF(I23="", 0, M23*K23*K23+N23*L23*L23)</f>
        <v/>
      </c>
      <c r="C259" s="189">
        <f>IF(I23="", 0, (M23-N23)*(K23*L23))</f>
        <v/>
      </c>
      <c r="D259" s="189">
        <f>IF(I23="", 0, -O23*L23)</f>
        <v/>
      </c>
      <c r="E259" s="189">
        <f>-B259</f>
        <v/>
      </c>
      <c r="F259" s="189">
        <f>-C259</f>
        <v/>
      </c>
      <c r="G259" s="189">
        <f>D259</f>
        <v/>
      </c>
      <c r="H259" s="51">
        <f>B258</f>
        <v/>
      </c>
    </row>
    <row r="260">
      <c r="B260" s="189">
        <f>C259</f>
        <v/>
      </c>
      <c r="C260" s="8">
        <f>IF(I23="", 0, M23*L23*L23+N23*K23*K23)</f>
        <v/>
      </c>
      <c r="D260" s="189">
        <f>IF(I23="", 0, O23*K23)</f>
        <v/>
      </c>
      <c r="E260" s="189">
        <f>-B260</f>
        <v/>
      </c>
      <c r="F260" s="189">
        <f>-C260</f>
        <v/>
      </c>
      <c r="G260" s="189">
        <f>D260</f>
        <v/>
      </c>
      <c r="H260" s="51">
        <f>C258</f>
        <v/>
      </c>
    </row>
    <row r="261">
      <c r="A261" s="118" t="inlineStr">
        <is>
          <t>K6 =</t>
        </is>
      </c>
      <c r="B261" s="189">
        <f>D259</f>
        <v/>
      </c>
      <c r="C261" s="189">
        <f>D260</f>
        <v/>
      </c>
      <c r="D261" s="8">
        <f>IF(I23="", 0, P23)</f>
        <v/>
      </c>
      <c r="E261" s="189">
        <f>-B261</f>
        <v/>
      </c>
      <c r="F261" s="189">
        <f>-C261</f>
        <v/>
      </c>
      <c r="G261" s="189">
        <f>IF(I23="", 0, Q23)</f>
        <v/>
      </c>
      <c r="H261" s="51">
        <f>D258</f>
        <v/>
      </c>
    </row>
    <row r="262">
      <c r="B262" s="189">
        <f>E259</f>
        <v/>
      </c>
      <c r="C262" s="189">
        <f>E260</f>
        <v/>
      </c>
      <c r="D262" s="189">
        <f>E261</f>
        <v/>
      </c>
      <c r="E262" s="8">
        <f>B259</f>
        <v/>
      </c>
      <c r="F262" s="189">
        <f>C259</f>
        <v/>
      </c>
      <c r="G262" s="189">
        <f>-D259</f>
        <v/>
      </c>
      <c r="H262" s="51">
        <f>E258</f>
        <v/>
      </c>
    </row>
    <row r="263">
      <c r="B263" s="189">
        <f>F259</f>
        <v/>
      </c>
      <c r="C263" s="189">
        <f>F260</f>
        <v/>
      </c>
      <c r="D263" s="189">
        <f>F261</f>
        <v/>
      </c>
      <c r="E263" s="189">
        <f>F262</f>
        <v/>
      </c>
      <c r="F263" s="8">
        <f>C260</f>
        <v/>
      </c>
      <c r="G263" s="189">
        <f>-D260</f>
        <v/>
      </c>
      <c r="H263" s="51">
        <f>F258</f>
        <v/>
      </c>
    </row>
    <row r="264">
      <c r="B264" s="189">
        <f>G259</f>
        <v/>
      </c>
      <c r="C264" s="189">
        <f>G260</f>
        <v/>
      </c>
      <c r="D264" s="189">
        <f>G261</f>
        <v/>
      </c>
      <c r="E264" s="189">
        <f>G262</f>
        <v/>
      </c>
      <c r="F264" s="189">
        <f>G263</f>
        <v/>
      </c>
      <c r="G264" s="8">
        <f>D261</f>
        <v/>
      </c>
      <c r="H264" s="51">
        <f>G258</f>
        <v/>
      </c>
    </row>
    <row r="266">
      <c r="B266" s="51" t="inlineStr">
        <is>
          <t>U1X</t>
        </is>
      </c>
      <c r="C266" s="51" t="inlineStr">
        <is>
          <t>U1Y</t>
        </is>
      </c>
      <c r="D266" s="51" t="inlineStr">
        <is>
          <t>U1θ</t>
        </is>
      </c>
      <c r="E266" s="51" t="inlineStr">
        <is>
          <t>U2X</t>
        </is>
      </c>
      <c r="F266" s="51" t="inlineStr">
        <is>
          <t>U2Y</t>
        </is>
      </c>
      <c r="G266" s="51" t="inlineStr">
        <is>
          <t>U2θ</t>
        </is>
      </c>
      <c r="H266" s="51" t="inlineStr">
        <is>
          <t>U3X</t>
        </is>
      </c>
      <c r="I266" s="51" t="inlineStr">
        <is>
          <t>U3Y</t>
        </is>
      </c>
      <c r="J266" s="51" t="inlineStr">
        <is>
          <t>U3θ</t>
        </is>
      </c>
      <c r="K266" s="51" t="inlineStr">
        <is>
          <t>U4X</t>
        </is>
      </c>
      <c r="L266" s="51" t="inlineStr">
        <is>
          <t>U4Y</t>
        </is>
      </c>
      <c r="M266" s="51" t="inlineStr">
        <is>
          <t>U4θ</t>
        </is>
      </c>
      <c r="N266" s="51" t="inlineStr">
        <is>
          <t>U5X</t>
        </is>
      </c>
      <c r="O266" s="51" t="inlineStr">
        <is>
          <t>U5Y</t>
        </is>
      </c>
      <c r="P266" s="51" t="inlineStr">
        <is>
          <t>U5θ</t>
        </is>
      </c>
      <c r="Q266" s="51" t="inlineStr">
        <is>
          <t>U6X</t>
        </is>
      </c>
      <c r="R266" s="51" t="inlineStr">
        <is>
          <t>U6Y</t>
        </is>
      </c>
      <c r="S266" s="51" t="inlineStr">
        <is>
          <t>U6θ</t>
        </is>
      </c>
      <c r="T266" s="51" t="inlineStr">
        <is>
          <t>U7X</t>
        </is>
      </c>
      <c r="U266" s="51" t="inlineStr">
        <is>
          <t>U7Y</t>
        </is>
      </c>
      <c r="V266" s="51" t="inlineStr">
        <is>
          <t>U7θ</t>
        </is>
      </c>
      <c r="W266" s="51" t="inlineStr">
        <is>
          <t>U8X</t>
        </is>
      </c>
      <c r="X266" s="51" t="inlineStr">
        <is>
          <t>U8Y</t>
        </is>
      </c>
      <c r="Y266" s="51" t="inlineStr">
        <is>
          <t>U8θ</t>
        </is>
      </c>
      <c r="Z266" s="51" t="inlineStr">
        <is>
          <t>U9X</t>
        </is>
      </c>
      <c r="AA266" s="51" t="inlineStr">
        <is>
          <t>U9Y</t>
        </is>
      </c>
      <c r="AB266" s="51" t="inlineStr">
        <is>
          <t>U9θ</t>
        </is>
      </c>
      <c r="AC266" s="51" t="inlineStr">
        <is>
          <t>U10X</t>
        </is>
      </c>
      <c r="AD266" s="51" t="inlineStr">
        <is>
          <t>U10Y</t>
        </is>
      </c>
      <c r="AE266" s="51" t="inlineStr">
        <is>
          <t>U10θ</t>
        </is>
      </c>
      <c r="AF266" s="51" t="inlineStr">
        <is>
          <t>U11X</t>
        </is>
      </c>
      <c r="AG266" s="51" t="inlineStr">
        <is>
          <t>U11Y</t>
        </is>
      </c>
      <c r="AH266" s="51" t="inlineStr">
        <is>
          <t>U11θ</t>
        </is>
      </c>
    </row>
    <row r="267">
      <c r="B267" s="189" t="n"/>
      <c r="C267" s="189" t="n"/>
      <c r="D267" s="189" t="n"/>
      <c r="E267" s="189" t="n"/>
      <c r="F267" s="189" t="n"/>
      <c r="G267" s="189" t="n"/>
      <c r="H267" s="189" t="n"/>
      <c r="I267" s="189" t="n"/>
      <c r="J267" s="189" t="n"/>
      <c r="K267" s="189" t="n"/>
      <c r="L267" s="189" t="n"/>
      <c r="M267" s="189" t="n"/>
      <c r="N267" s="189" t="n"/>
      <c r="O267" s="189" t="n"/>
      <c r="P267" s="189" t="n"/>
      <c r="Q267" s="189" t="n"/>
      <c r="R267" s="189" t="n"/>
      <c r="S267" s="189" t="n"/>
      <c r="T267" s="189" t="n"/>
      <c r="U267" s="189" t="n"/>
      <c r="V267" s="189" t="n"/>
      <c r="W267" s="189" t="n"/>
      <c r="X267" s="189" t="n"/>
      <c r="Y267" s="189" t="n"/>
      <c r="Z267" s="189" t="n"/>
      <c r="AA267" s="189" t="n"/>
      <c r="AB267" s="189" t="n"/>
      <c r="AC267" s="189" t="n"/>
      <c r="AD267" s="189" t="n"/>
      <c r="AE267" s="189" t="n"/>
      <c r="AF267" s="189" t="n"/>
      <c r="AG267" s="189" t="n"/>
      <c r="AH267" s="189" t="n"/>
      <c r="AI267" s="51" t="inlineStr">
        <is>
          <t>U1X</t>
        </is>
      </c>
    </row>
    <row r="268">
      <c r="B268" s="189" t="n"/>
      <c r="C268" s="189" t="n"/>
      <c r="D268" s="189" t="n"/>
      <c r="E268" s="189" t="n"/>
      <c r="F268" s="189" t="n"/>
      <c r="G268" s="189" t="n"/>
      <c r="H268" s="189" t="n"/>
      <c r="I268" s="189" t="n"/>
      <c r="J268" s="189" t="n"/>
      <c r="K268" s="189" t="n"/>
      <c r="L268" s="189" t="n"/>
      <c r="M268" s="189" t="n"/>
      <c r="N268" s="189" t="n"/>
      <c r="O268" s="189" t="n"/>
      <c r="P268" s="189" t="n"/>
      <c r="Q268" s="189" t="n"/>
      <c r="R268" s="189" t="n"/>
      <c r="S268" s="189" t="n"/>
      <c r="T268" s="189" t="n"/>
      <c r="U268" s="189" t="n"/>
      <c r="V268" s="189" t="n"/>
      <c r="W268" s="189" t="n"/>
      <c r="X268" s="189" t="n"/>
      <c r="Y268" s="189" t="n"/>
      <c r="Z268" s="189" t="n"/>
      <c r="AA268" s="189" t="n"/>
      <c r="AB268" s="189" t="n"/>
      <c r="AC268" s="189" t="n"/>
      <c r="AD268" s="189" t="n"/>
      <c r="AE268" s="189" t="n"/>
      <c r="AF268" s="189" t="n"/>
      <c r="AG268" s="189" t="n"/>
      <c r="AH268" s="189" t="n"/>
      <c r="AI268" s="51" t="inlineStr">
        <is>
          <t>U1Y</t>
        </is>
      </c>
    </row>
    <row r="269">
      <c r="B269" s="189" t="n"/>
      <c r="C269" s="189" t="n"/>
      <c r="D269" s="189" t="n"/>
      <c r="E269" s="189" t="n"/>
      <c r="F269" s="189" t="n"/>
      <c r="G269" s="189" t="n"/>
      <c r="H269" s="189" t="n"/>
      <c r="I269" s="189" t="n"/>
      <c r="J269" s="189" t="n"/>
      <c r="K269" s="189" t="n"/>
      <c r="L269" s="189" t="n"/>
      <c r="M269" s="189" t="n"/>
      <c r="N269" s="189" t="n"/>
      <c r="O269" s="189" t="n"/>
      <c r="P269" s="189" t="n"/>
      <c r="Q269" s="189" t="n"/>
      <c r="R269" s="189" t="n"/>
      <c r="S269" s="189" t="n"/>
      <c r="T269" s="189" t="n"/>
      <c r="U269" s="189" t="n"/>
      <c r="V269" s="189" t="n"/>
      <c r="W269" s="189" t="n"/>
      <c r="X269" s="189" t="n"/>
      <c r="Y269" s="189" t="n"/>
      <c r="Z269" s="189" t="n"/>
      <c r="AA269" s="189" t="n"/>
      <c r="AB269" s="189" t="n"/>
      <c r="AC269" s="189" t="n"/>
      <c r="AD269" s="189" t="n"/>
      <c r="AE269" s="189" t="n"/>
      <c r="AF269" s="189" t="n"/>
      <c r="AG269" s="189" t="n"/>
      <c r="AH269" s="189" t="n"/>
      <c r="AI269" s="51" t="inlineStr">
        <is>
          <t>U1θ</t>
        </is>
      </c>
    </row>
    <row r="270">
      <c r="B270" s="189" t="n"/>
      <c r="C270" s="189" t="n"/>
      <c r="D270" s="189" t="n"/>
      <c r="E270" s="189" t="n"/>
      <c r="F270" s="189" t="n"/>
      <c r="G270" s="189" t="n"/>
      <c r="H270" s="189" t="n"/>
      <c r="I270" s="189" t="n"/>
      <c r="J270" s="189" t="n"/>
      <c r="K270" s="189" t="n"/>
      <c r="L270" s="189" t="n"/>
      <c r="M270" s="189" t="n"/>
      <c r="N270" s="189" t="n"/>
      <c r="O270" s="189" t="n"/>
      <c r="P270" s="189" t="n"/>
      <c r="Q270" s="189" t="n"/>
      <c r="R270" s="189" t="n"/>
      <c r="S270" s="189" t="n"/>
      <c r="T270" s="189" t="n"/>
      <c r="U270" s="189" t="n"/>
      <c r="V270" s="189" t="n"/>
      <c r="W270" s="189" t="n"/>
      <c r="X270" s="189" t="n"/>
      <c r="Y270" s="189" t="n"/>
      <c r="Z270" s="189" t="n"/>
      <c r="AA270" s="189" t="n"/>
      <c r="AB270" s="189" t="n"/>
      <c r="AC270" s="189" t="n"/>
      <c r="AD270" s="189" t="n"/>
      <c r="AE270" s="189" t="n"/>
      <c r="AF270" s="189" t="n"/>
      <c r="AG270" s="189" t="n"/>
      <c r="AH270" s="189" t="n"/>
      <c r="AI270" s="51" t="inlineStr">
        <is>
          <t>U2X</t>
        </is>
      </c>
    </row>
    <row r="271">
      <c r="B271" s="189" t="n"/>
      <c r="C271" s="189" t="n"/>
      <c r="D271" s="189" t="n"/>
      <c r="E271" s="189" t="n"/>
      <c r="F271" s="189" t="n"/>
      <c r="G271" s="189" t="n"/>
      <c r="H271" s="189" t="n"/>
      <c r="I271" s="189" t="n"/>
      <c r="J271" s="189" t="n"/>
      <c r="K271" s="189" t="n"/>
      <c r="L271" s="189" t="n"/>
      <c r="M271" s="189" t="n"/>
      <c r="N271" s="189" t="n"/>
      <c r="O271" s="189" t="n"/>
      <c r="P271" s="189" t="n"/>
      <c r="Q271" s="189" t="n"/>
      <c r="R271" s="189" t="n"/>
      <c r="S271" s="189" t="n"/>
      <c r="T271" s="189" t="n"/>
      <c r="U271" s="189" t="n"/>
      <c r="V271" s="189" t="n"/>
      <c r="W271" s="189" t="n"/>
      <c r="X271" s="189" t="n"/>
      <c r="Y271" s="189" t="n"/>
      <c r="Z271" s="189" t="n"/>
      <c r="AA271" s="189" t="n"/>
      <c r="AB271" s="189" t="n"/>
      <c r="AC271" s="189" t="n"/>
      <c r="AD271" s="189" t="n"/>
      <c r="AE271" s="189" t="n"/>
      <c r="AF271" s="189" t="n"/>
      <c r="AG271" s="189" t="n"/>
      <c r="AH271" s="189" t="n"/>
      <c r="AI271" s="51" t="inlineStr">
        <is>
          <t>U2Y</t>
        </is>
      </c>
    </row>
    <row r="272">
      <c r="B272" s="189" t="n"/>
      <c r="C272" s="189" t="n"/>
      <c r="D272" s="189" t="n"/>
      <c r="E272" s="189" t="n"/>
      <c r="F272" s="189" t="n"/>
      <c r="G272" s="189" t="n"/>
      <c r="H272" s="189" t="n"/>
      <c r="I272" s="189" t="n"/>
      <c r="J272" s="189" t="n"/>
      <c r="K272" s="189" t="n"/>
      <c r="L272" s="189" t="n"/>
      <c r="M272" s="189" t="n"/>
      <c r="N272" s="189" t="n"/>
      <c r="O272" s="189" t="n"/>
      <c r="P272" s="189" t="n"/>
      <c r="Q272" s="189" t="n"/>
      <c r="R272" s="189" t="n"/>
      <c r="S272" s="189" t="n"/>
      <c r="T272" s="189" t="n"/>
      <c r="U272" s="189" t="n"/>
      <c r="V272" s="189" t="n"/>
      <c r="W272" s="189" t="n"/>
      <c r="X272" s="189" t="n"/>
      <c r="Y272" s="189" t="n"/>
      <c r="Z272" s="189" t="n"/>
      <c r="AA272" s="189" t="n"/>
      <c r="AB272" s="189" t="n"/>
      <c r="AC272" s="189" t="n"/>
      <c r="AD272" s="189" t="n"/>
      <c r="AE272" s="189" t="n"/>
      <c r="AF272" s="189" t="n"/>
      <c r="AG272" s="189" t="n"/>
      <c r="AH272" s="189" t="n"/>
      <c r="AI272" s="51" t="inlineStr">
        <is>
          <t>U2θ</t>
        </is>
      </c>
    </row>
    <row r="273">
      <c r="B273" s="189" t="n"/>
      <c r="C273" s="189" t="n"/>
      <c r="D273" s="189" t="n"/>
      <c r="E273" s="189" t="n"/>
      <c r="F273" s="189" t="n"/>
      <c r="G273" s="189" t="n"/>
      <c r="H273" s="189" t="n"/>
      <c r="I273" s="189" t="n"/>
      <c r="J273" s="189" t="n"/>
      <c r="K273" s="189" t="n"/>
      <c r="L273" s="189" t="n"/>
      <c r="M273" s="189" t="n"/>
      <c r="N273" s="189" t="n"/>
      <c r="O273" s="189" t="n"/>
      <c r="P273" s="189" t="n"/>
      <c r="Q273" s="189" t="n"/>
      <c r="R273" s="189" t="n"/>
      <c r="S273" s="189" t="n"/>
      <c r="T273" s="189" t="n"/>
      <c r="U273" s="189" t="n"/>
      <c r="V273" s="189" t="n"/>
      <c r="W273" s="189" t="n"/>
      <c r="X273" s="189" t="n"/>
      <c r="Y273" s="189" t="n"/>
      <c r="Z273" s="189" t="n"/>
      <c r="AA273" s="189" t="n"/>
      <c r="AB273" s="189" t="n"/>
      <c r="AC273" s="189" t="n"/>
      <c r="AD273" s="189" t="n"/>
      <c r="AE273" s="189" t="n"/>
      <c r="AF273" s="189" t="n"/>
      <c r="AG273" s="189" t="n"/>
      <c r="AH273" s="189" t="n"/>
      <c r="AI273" s="51" t="inlineStr">
        <is>
          <t>U3X</t>
        </is>
      </c>
    </row>
    <row r="274">
      <c r="B274" s="189" t="n"/>
      <c r="C274" s="189" t="n"/>
      <c r="D274" s="189" t="n"/>
      <c r="E274" s="189" t="n"/>
      <c r="F274" s="189" t="n"/>
      <c r="G274" s="189" t="n"/>
      <c r="H274" s="189" t="n"/>
      <c r="I274" s="189" t="n"/>
      <c r="J274" s="189" t="n"/>
      <c r="K274" s="189" t="n"/>
      <c r="L274" s="189" t="n"/>
      <c r="M274" s="189" t="n"/>
      <c r="N274" s="189" t="n"/>
      <c r="O274" s="189" t="n"/>
      <c r="P274" s="189" t="n"/>
      <c r="Q274" s="189" t="n"/>
      <c r="R274" s="189" t="n"/>
      <c r="S274" s="189" t="n"/>
      <c r="T274" s="189" t="n"/>
      <c r="U274" s="189" t="n"/>
      <c r="V274" s="189" t="n"/>
      <c r="W274" s="189" t="n"/>
      <c r="X274" s="189" t="n"/>
      <c r="Y274" s="189" t="n"/>
      <c r="Z274" s="189" t="n"/>
      <c r="AA274" s="189" t="n"/>
      <c r="AB274" s="189" t="n"/>
      <c r="AC274" s="189" t="n"/>
      <c r="AD274" s="189" t="n"/>
      <c r="AE274" s="189" t="n"/>
      <c r="AF274" s="189" t="n"/>
      <c r="AG274" s="189" t="n"/>
      <c r="AH274" s="189" t="n"/>
      <c r="AI274" s="51" t="inlineStr">
        <is>
          <t>U3Y</t>
        </is>
      </c>
    </row>
    <row r="275">
      <c r="B275" s="189" t="n"/>
      <c r="C275" s="189" t="n"/>
      <c r="D275" s="189" t="n"/>
      <c r="E275" s="189" t="n"/>
      <c r="F275" s="189" t="n"/>
      <c r="G275" s="189" t="n"/>
      <c r="H275" s="189" t="n"/>
      <c r="I275" s="189" t="n"/>
      <c r="J275" s="189" t="n"/>
      <c r="K275" s="189" t="n"/>
      <c r="L275" s="189" t="n"/>
      <c r="M275" s="189" t="n"/>
      <c r="N275" s="189" t="n"/>
      <c r="O275" s="189" t="n"/>
      <c r="P275" s="189" t="n"/>
      <c r="Q275" s="189" t="n"/>
      <c r="R275" s="189" t="n"/>
      <c r="S275" s="189" t="n"/>
      <c r="T275" s="189" t="n"/>
      <c r="U275" s="189" t="n"/>
      <c r="V275" s="189" t="n"/>
      <c r="W275" s="189" t="n"/>
      <c r="X275" s="189" t="n"/>
      <c r="Y275" s="189" t="n"/>
      <c r="Z275" s="189" t="n"/>
      <c r="AA275" s="189" t="n"/>
      <c r="AB275" s="189" t="n"/>
      <c r="AC275" s="189" t="n"/>
      <c r="AD275" s="189" t="n"/>
      <c r="AE275" s="189" t="n"/>
      <c r="AF275" s="189" t="n"/>
      <c r="AG275" s="189" t="n"/>
      <c r="AH275" s="189" t="n"/>
      <c r="AI275" s="51" t="inlineStr">
        <is>
          <t>U3θ</t>
        </is>
      </c>
    </row>
    <row r="276">
      <c r="B276" s="189" t="n"/>
      <c r="C276" s="189" t="n"/>
      <c r="D276" s="189" t="n"/>
      <c r="E276" s="189" t="n"/>
      <c r="F276" s="189" t="n"/>
      <c r="G276" s="189" t="n"/>
      <c r="H276" s="189" t="n"/>
      <c r="I276" s="189" t="n"/>
      <c r="J276" s="189" t="n"/>
      <c r="K276" s="189" t="n"/>
      <c r="L276" s="189" t="n"/>
      <c r="M276" s="189" t="n"/>
      <c r="N276" s="189" t="n"/>
      <c r="O276" s="189" t="n"/>
      <c r="P276" s="189" t="n"/>
      <c r="Q276" s="189" t="n"/>
      <c r="R276" s="189" t="n"/>
      <c r="S276" s="189" t="n"/>
      <c r="T276" s="189" t="n"/>
      <c r="U276" s="189" t="n"/>
      <c r="V276" s="189" t="n"/>
      <c r="W276" s="189" t="n"/>
      <c r="X276" s="189" t="n"/>
      <c r="Y276" s="189" t="n"/>
      <c r="Z276" s="189" t="n"/>
      <c r="AA276" s="189" t="n"/>
      <c r="AB276" s="189" t="n"/>
      <c r="AC276" s="189" t="n"/>
      <c r="AD276" s="189" t="n"/>
      <c r="AE276" s="189" t="n"/>
      <c r="AF276" s="189" t="n"/>
      <c r="AG276" s="189" t="n"/>
      <c r="AH276" s="189" t="n"/>
      <c r="AI276" s="51" t="inlineStr">
        <is>
          <t>U4X</t>
        </is>
      </c>
    </row>
    <row r="277">
      <c r="B277" s="189" t="n"/>
      <c r="C277" s="189" t="n"/>
      <c r="D277" s="189" t="n"/>
      <c r="E277" s="189" t="n"/>
      <c r="F277" s="189" t="n"/>
      <c r="G277" s="189" t="n"/>
      <c r="H277" s="189" t="n"/>
      <c r="I277" s="189" t="n"/>
      <c r="J277" s="189" t="n"/>
      <c r="K277" s="189" t="n"/>
      <c r="L277" s="189" t="n"/>
      <c r="M277" s="189" t="n"/>
      <c r="N277" s="189" t="n"/>
      <c r="O277" s="189" t="n"/>
      <c r="P277" s="189" t="n"/>
      <c r="Q277" s="189" t="n"/>
      <c r="R277" s="189" t="n"/>
      <c r="S277" s="189" t="n"/>
      <c r="T277" s="189" t="n"/>
      <c r="U277" s="189" t="n"/>
      <c r="V277" s="189" t="n"/>
      <c r="W277" s="189" t="n"/>
      <c r="X277" s="189" t="n"/>
      <c r="Y277" s="189" t="n"/>
      <c r="Z277" s="189" t="n"/>
      <c r="AA277" s="189" t="n"/>
      <c r="AB277" s="189" t="n"/>
      <c r="AC277" s="189" t="n"/>
      <c r="AD277" s="189" t="n"/>
      <c r="AE277" s="189" t="n"/>
      <c r="AF277" s="189" t="n"/>
      <c r="AG277" s="189" t="n"/>
      <c r="AH277" s="189" t="n"/>
      <c r="AI277" s="51" t="inlineStr">
        <is>
          <t>U4Y</t>
        </is>
      </c>
    </row>
    <row r="278">
      <c r="B278" s="189" t="n"/>
      <c r="C278" s="189" t="n"/>
      <c r="D278" s="189" t="n"/>
      <c r="E278" s="189" t="n"/>
      <c r="F278" s="189" t="n"/>
      <c r="G278" s="189" t="n"/>
      <c r="H278" s="189" t="n"/>
      <c r="I278" s="189" t="n"/>
      <c r="J278" s="189" t="n"/>
      <c r="K278" s="189" t="n"/>
      <c r="L278" s="189" t="n"/>
      <c r="M278" s="189" t="n"/>
      <c r="N278" s="189" t="n"/>
      <c r="O278" s="189" t="n"/>
      <c r="P278" s="189" t="n"/>
      <c r="Q278" s="189" t="n"/>
      <c r="R278" s="189" t="n"/>
      <c r="S278" s="189" t="n"/>
      <c r="T278" s="189" t="n"/>
      <c r="U278" s="189" t="n"/>
      <c r="V278" s="189" t="n"/>
      <c r="W278" s="189" t="n"/>
      <c r="X278" s="189" t="n"/>
      <c r="Y278" s="189" t="n"/>
      <c r="Z278" s="189" t="n"/>
      <c r="AA278" s="189" t="n"/>
      <c r="AB278" s="189" t="n"/>
      <c r="AC278" s="189" t="n"/>
      <c r="AD278" s="189" t="n"/>
      <c r="AE278" s="189" t="n"/>
      <c r="AF278" s="189" t="n"/>
      <c r="AG278" s="189" t="n"/>
      <c r="AH278" s="189" t="n"/>
      <c r="AI278" s="51" t="inlineStr">
        <is>
          <t>U4θ</t>
        </is>
      </c>
    </row>
    <row r="279">
      <c r="B279" s="189" t="n"/>
      <c r="C279" s="189" t="n"/>
      <c r="D279" s="189" t="n"/>
      <c r="E279" s="189" t="n"/>
      <c r="F279" s="189" t="n"/>
      <c r="G279" s="189" t="n"/>
      <c r="H279" s="189" t="n"/>
      <c r="I279" s="189" t="n"/>
      <c r="J279" s="189" t="n"/>
      <c r="K279" s="189" t="n"/>
      <c r="L279" s="189" t="n"/>
      <c r="M279" s="189" t="n"/>
      <c r="N279" s="189" t="n"/>
      <c r="O279" s="189" t="n"/>
      <c r="P279" s="189" t="n"/>
      <c r="Q279" s="189" t="n"/>
      <c r="R279" s="189" t="n"/>
      <c r="S279" s="189" t="n"/>
      <c r="T279" s="189" t="n"/>
      <c r="U279" s="189" t="n"/>
      <c r="V279" s="189" t="n"/>
      <c r="W279" s="189" t="n"/>
      <c r="X279" s="189" t="n"/>
      <c r="Y279" s="189" t="n"/>
      <c r="Z279" s="189" t="n"/>
      <c r="AA279" s="189" t="n"/>
      <c r="AB279" s="189" t="n"/>
      <c r="AC279" s="189" t="n"/>
      <c r="AD279" s="189" t="n"/>
      <c r="AE279" s="189" t="n"/>
      <c r="AF279" s="189" t="n"/>
      <c r="AG279" s="189" t="n"/>
      <c r="AH279" s="189" t="n"/>
      <c r="AI279" s="51" t="inlineStr">
        <is>
          <t>U5X</t>
        </is>
      </c>
    </row>
    <row r="280">
      <c r="B280" s="189" t="n"/>
      <c r="C280" s="189" t="n"/>
      <c r="D280" s="189" t="n"/>
      <c r="E280" s="189" t="n"/>
      <c r="F280" s="189" t="n"/>
      <c r="G280" s="189" t="n"/>
      <c r="H280" s="189" t="n"/>
      <c r="I280" s="189" t="n"/>
      <c r="J280" s="189" t="n"/>
      <c r="K280" s="189" t="n"/>
      <c r="L280" s="189" t="n"/>
      <c r="M280" s="189" t="n"/>
      <c r="N280" s="189" t="n"/>
      <c r="O280" s="189" t="n"/>
      <c r="P280" s="189" t="n"/>
      <c r="Q280" s="189" t="n"/>
      <c r="R280" s="189" t="n"/>
      <c r="S280" s="189" t="n"/>
      <c r="T280" s="189" t="n"/>
      <c r="U280" s="189" t="n"/>
      <c r="V280" s="189" t="n"/>
      <c r="W280" s="189" t="n"/>
      <c r="X280" s="189" t="n"/>
      <c r="Y280" s="189" t="n"/>
      <c r="Z280" s="189" t="n"/>
      <c r="AA280" s="189" t="n"/>
      <c r="AB280" s="189" t="n"/>
      <c r="AC280" s="189" t="n"/>
      <c r="AD280" s="189" t="n"/>
      <c r="AE280" s="189" t="n"/>
      <c r="AF280" s="189" t="n"/>
      <c r="AG280" s="189" t="n"/>
      <c r="AH280" s="189" t="n"/>
      <c r="AI280" s="51" t="inlineStr">
        <is>
          <t>U5Y</t>
        </is>
      </c>
    </row>
    <row r="281">
      <c r="B281" s="189" t="n"/>
      <c r="C281" s="189" t="n"/>
      <c r="D281" s="189" t="n"/>
      <c r="E281" s="189" t="n"/>
      <c r="F281" s="189" t="n"/>
      <c r="G281" s="189" t="n"/>
      <c r="H281" s="189" t="n"/>
      <c r="I281" s="189" t="n"/>
      <c r="J281" s="189" t="n"/>
      <c r="K281" s="189" t="n"/>
      <c r="L281" s="189" t="n"/>
      <c r="M281" s="189" t="n"/>
      <c r="N281" s="189" t="n"/>
      <c r="O281" s="189" t="n"/>
      <c r="P281" s="189" t="n"/>
      <c r="Q281" s="189" t="n"/>
      <c r="R281" s="189" t="n"/>
      <c r="S281" s="189" t="n"/>
      <c r="T281" s="189" t="n"/>
      <c r="U281" s="189" t="n"/>
      <c r="V281" s="189" t="n"/>
      <c r="W281" s="189" t="n"/>
      <c r="X281" s="189" t="n"/>
      <c r="Y281" s="189" t="n"/>
      <c r="Z281" s="189" t="n"/>
      <c r="AA281" s="189" t="n"/>
      <c r="AB281" s="189" t="n"/>
      <c r="AC281" s="189" t="n"/>
      <c r="AD281" s="189" t="n"/>
      <c r="AE281" s="189" t="n"/>
      <c r="AF281" s="189" t="n"/>
      <c r="AG281" s="189" t="n"/>
      <c r="AH281" s="189" t="n"/>
      <c r="AI281" s="51" t="inlineStr">
        <is>
          <t>U5θ</t>
        </is>
      </c>
    </row>
    <row r="282">
      <c r="A282" s="118" t="inlineStr">
        <is>
          <t>K6 =</t>
        </is>
      </c>
      <c r="B282" s="189" t="n"/>
      <c r="C282" s="189" t="n"/>
      <c r="D282" s="189" t="n"/>
      <c r="E282" s="189" t="n"/>
      <c r="F282" s="189" t="n"/>
      <c r="G282" s="189" t="n"/>
      <c r="H282" s="189" t="n"/>
      <c r="I282" s="189" t="n"/>
      <c r="J282" s="189" t="n"/>
      <c r="K282" s="189" t="n"/>
      <c r="L282" s="189" t="n"/>
      <c r="M282" s="189" t="n"/>
      <c r="N282" s="189" t="n"/>
      <c r="O282" s="189" t="n"/>
      <c r="P282" s="189" t="n"/>
      <c r="Q282" s="189">
        <f>B259</f>
        <v/>
      </c>
      <c r="R282" s="189">
        <f>C259</f>
        <v/>
      </c>
      <c r="S282" s="189">
        <f>D259</f>
        <v/>
      </c>
      <c r="T282" s="189">
        <f>E259</f>
        <v/>
      </c>
      <c r="U282" s="189">
        <f>F259</f>
        <v/>
      </c>
      <c r="V282" s="189">
        <f>G259</f>
        <v/>
      </c>
      <c r="W282" s="189" t="n"/>
      <c r="X282" s="189" t="n"/>
      <c r="Y282" s="189" t="n"/>
      <c r="Z282" s="189" t="n"/>
      <c r="AA282" s="189" t="n"/>
      <c r="AB282" s="189" t="n"/>
      <c r="AC282" s="189" t="n"/>
      <c r="AD282" s="189" t="n"/>
      <c r="AE282" s="189" t="n"/>
      <c r="AF282" s="189" t="n"/>
      <c r="AG282" s="189" t="n"/>
      <c r="AH282" s="189" t="n"/>
      <c r="AI282" s="51" t="inlineStr">
        <is>
          <t>U6X</t>
        </is>
      </c>
    </row>
    <row r="283">
      <c r="B283" s="189" t="n"/>
      <c r="C283" s="189" t="n"/>
      <c r="D283" s="189" t="n"/>
      <c r="E283" s="189" t="n"/>
      <c r="F283" s="189" t="n"/>
      <c r="G283" s="189" t="n"/>
      <c r="H283" s="189" t="n"/>
      <c r="I283" s="189" t="n"/>
      <c r="J283" s="189" t="n"/>
      <c r="K283" s="189" t="n"/>
      <c r="L283" s="189" t="n"/>
      <c r="M283" s="189" t="n"/>
      <c r="N283" s="189" t="n"/>
      <c r="O283" s="189" t="n"/>
      <c r="P283" s="189" t="n"/>
      <c r="Q283" s="189">
        <f>B260</f>
        <v/>
      </c>
      <c r="R283" s="189">
        <f>C260</f>
        <v/>
      </c>
      <c r="S283" s="189">
        <f>D260</f>
        <v/>
      </c>
      <c r="T283" s="189">
        <f>E260</f>
        <v/>
      </c>
      <c r="U283" s="189">
        <f>F260</f>
        <v/>
      </c>
      <c r="V283" s="189">
        <f>G260</f>
        <v/>
      </c>
      <c r="W283" s="189" t="n"/>
      <c r="X283" s="189" t="n"/>
      <c r="Y283" s="189" t="n"/>
      <c r="Z283" s="189" t="n"/>
      <c r="AA283" s="189" t="n"/>
      <c r="AB283" s="189" t="n"/>
      <c r="AC283" s="189" t="n"/>
      <c r="AD283" s="189" t="n"/>
      <c r="AE283" s="189" t="n"/>
      <c r="AF283" s="189" t="n"/>
      <c r="AG283" s="189" t="n"/>
      <c r="AH283" s="189" t="n"/>
      <c r="AI283" s="51" t="inlineStr">
        <is>
          <t>U6Y</t>
        </is>
      </c>
    </row>
    <row r="284">
      <c r="B284" s="189" t="n"/>
      <c r="C284" s="189" t="n"/>
      <c r="D284" s="189" t="n"/>
      <c r="E284" s="189" t="n"/>
      <c r="F284" s="189" t="n"/>
      <c r="G284" s="189" t="n"/>
      <c r="H284" s="189" t="n"/>
      <c r="I284" s="189" t="n"/>
      <c r="J284" s="189" t="n"/>
      <c r="K284" s="189" t="n"/>
      <c r="L284" s="189" t="n"/>
      <c r="M284" s="189" t="n"/>
      <c r="N284" s="189" t="n"/>
      <c r="O284" s="189" t="n"/>
      <c r="P284" s="189" t="n"/>
      <c r="Q284" s="189">
        <f>B261</f>
        <v/>
      </c>
      <c r="R284" s="189">
        <f>C261</f>
        <v/>
      </c>
      <c r="S284" s="189">
        <f>D261</f>
        <v/>
      </c>
      <c r="T284" s="189">
        <f>E261</f>
        <v/>
      </c>
      <c r="U284" s="189">
        <f>F261</f>
        <v/>
      </c>
      <c r="V284" s="189">
        <f>G261</f>
        <v/>
      </c>
      <c r="W284" s="189" t="n"/>
      <c r="X284" s="189" t="n"/>
      <c r="Y284" s="189" t="n"/>
      <c r="Z284" s="189" t="n"/>
      <c r="AA284" s="189" t="n"/>
      <c r="AB284" s="189" t="n"/>
      <c r="AC284" s="189" t="n"/>
      <c r="AD284" s="189" t="n"/>
      <c r="AE284" s="189" t="n"/>
      <c r="AF284" s="189" t="n"/>
      <c r="AG284" s="189" t="n"/>
      <c r="AH284" s="189" t="n"/>
      <c r="AI284" s="51" t="inlineStr">
        <is>
          <t>U6θ</t>
        </is>
      </c>
    </row>
    <row r="285">
      <c r="B285" s="189" t="n"/>
      <c r="C285" s="189" t="n"/>
      <c r="D285" s="189" t="n"/>
      <c r="E285" s="189" t="n"/>
      <c r="F285" s="189" t="n"/>
      <c r="G285" s="189" t="n"/>
      <c r="H285" s="189" t="n"/>
      <c r="I285" s="189" t="n"/>
      <c r="J285" s="189" t="n"/>
      <c r="K285" s="189" t="n"/>
      <c r="L285" s="189" t="n"/>
      <c r="M285" s="189" t="n"/>
      <c r="N285" s="189" t="n"/>
      <c r="O285" s="189" t="n"/>
      <c r="P285" s="189" t="n"/>
      <c r="Q285" s="189">
        <f>B262</f>
        <v/>
      </c>
      <c r="R285" s="189">
        <f>C262</f>
        <v/>
      </c>
      <c r="S285" s="189">
        <f>D262</f>
        <v/>
      </c>
      <c r="T285" s="189">
        <f>E262</f>
        <v/>
      </c>
      <c r="U285" s="189">
        <f>F262</f>
        <v/>
      </c>
      <c r="V285" s="189">
        <f>G262</f>
        <v/>
      </c>
      <c r="W285" s="189" t="n"/>
      <c r="X285" s="189" t="n"/>
      <c r="Y285" s="189" t="n"/>
      <c r="Z285" s="189" t="n"/>
      <c r="AA285" s="189" t="n"/>
      <c r="AB285" s="189" t="n"/>
      <c r="AC285" s="189" t="n"/>
      <c r="AD285" s="189" t="n"/>
      <c r="AE285" s="189" t="n"/>
      <c r="AF285" s="189" t="n"/>
      <c r="AG285" s="189" t="n"/>
      <c r="AH285" s="189" t="n"/>
      <c r="AI285" s="51" t="inlineStr">
        <is>
          <t>U7X</t>
        </is>
      </c>
    </row>
    <row r="286">
      <c r="B286" s="189" t="n"/>
      <c r="C286" s="189" t="n"/>
      <c r="D286" s="189" t="n"/>
      <c r="E286" s="189" t="n"/>
      <c r="F286" s="189" t="n"/>
      <c r="G286" s="189" t="n"/>
      <c r="H286" s="189" t="n"/>
      <c r="I286" s="189" t="n"/>
      <c r="J286" s="189" t="n"/>
      <c r="K286" s="189" t="n"/>
      <c r="L286" s="189" t="n"/>
      <c r="M286" s="189" t="n"/>
      <c r="N286" s="189" t="n"/>
      <c r="O286" s="189" t="n"/>
      <c r="P286" s="189" t="n"/>
      <c r="Q286" s="189">
        <f>B263</f>
        <v/>
      </c>
      <c r="R286" s="189">
        <f>C263</f>
        <v/>
      </c>
      <c r="S286" s="189">
        <f>D263</f>
        <v/>
      </c>
      <c r="T286" s="189">
        <f>E263</f>
        <v/>
      </c>
      <c r="U286" s="189">
        <f>F263</f>
        <v/>
      </c>
      <c r="V286" s="189">
        <f>G263</f>
        <v/>
      </c>
      <c r="W286" s="189" t="n"/>
      <c r="X286" s="189" t="n"/>
      <c r="Y286" s="189" t="n"/>
      <c r="Z286" s="189" t="n"/>
      <c r="AA286" s="189" t="n"/>
      <c r="AB286" s="189" t="n"/>
      <c r="AC286" s="189" t="n"/>
      <c r="AD286" s="189" t="n"/>
      <c r="AE286" s="189" t="n"/>
      <c r="AF286" s="189" t="n"/>
      <c r="AG286" s="189" t="n"/>
      <c r="AH286" s="189" t="n"/>
      <c r="AI286" s="51" t="inlineStr">
        <is>
          <t>U7Y</t>
        </is>
      </c>
    </row>
    <row r="287">
      <c r="B287" s="189" t="n"/>
      <c r="C287" s="189" t="n"/>
      <c r="D287" s="189" t="n"/>
      <c r="E287" s="189" t="n"/>
      <c r="F287" s="189" t="n"/>
      <c r="G287" s="189" t="n"/>
      <c r="H287" s="189" t="n"/>
      <c r="I287" s="189" t="n"/>
      <c r="J287" s="189" t="n"/>
      <c r="K287" s="189" t="n"/>
      <c r="L287" s="189" t="n"/>
      <c r="M287" s="189" t="n"/>
      <c r="N287" s="189" t="n"/>
      <c r="O287" s="189" t="n"/>
      <c r="P287" s="189" t="n"/>
      <c r="Q287" s="189">
        <f>B264</f>
        <v/>
      </c>
      <c r="R287" s="189">
        <f>C264</f>
        <v/>
      </c>
      <c r="S287" s="189">
        <f>D264</f>
        <v/>
      </c>
      <c r="T287" s="189">
        <f>E264</f>
        <v/>
      </c>
      <c r="U287" s="189">
        <f>F264</f>
        <v/>
      </c>
      <c r="V287" s="189">
        <f>G264</f>
        <v/>
      </c>
      <c r="W287" s="189" t="n"/>
      <c r="X287" s="189" t="n"/>
      <c r="Y287" s="189" t="n"/>
      <c r="Z287" s="189" t="n"/>
      <c r="AA287" s="189" t="n"/>
      <c r="AB287" s="189" t="n"/>
      <c r="AC287" s="189" t="n"/>
      <c r="AD287" s="189" t="n"/>
      <c r="AE287" s="189" t="n"/>
      <c r="AF287" s="189" t="n"/>
      <c r="AG287" s="189" t="n"/>
      <c r="AH287" s="189" t="n"/>
      <c r="AI287" s="51" t="inlineStr">
        <is>
          <t>U7θ</t>
        </is>
      </c>
    </row>
    <row r="288">
      <c r="B288" s="189" t="n"/>
      <c r="C288" s="189" t="n"/>
      <c r="D288" s="189" t="n"/>
      <c r="E288" s="189" t="n"/>
      <c r="F288" s="189" t="n"/>
      <c r="G288" s="189" t="n"/>
      <c r="H288" s="189" t="n"/>
      <c r="I288" s="189" t="n"/>
      <c r="J288" s="189" t="n"/>
      <c r="K288" s="189" t="n"/>
      <c r="L288" s="189" t="n"/>
      <c r="M288" s="189" t="n"/>
      <c r="N288" s="189" t="n"/>
      <c r="O288" s="189" t="n"/>
      <c r="P288" s="189" t="n"/>
      <c r="Q288" s="189" t="n"/>
      <c r="R288" s="189" t="n"/>
      <c r="S288" s="189" t="n"/>
      <c r="T288" s="189" t="n"/>
      <c r="U288" s="189" t="n"/>
      <c r="V288" s="189" t="n"/>
      <c r="W288" s="189" t="n"/>
      <c r="X288" s="189" t="n"/>
      <c r="Y288" s="189" t="n"/>
      <c r="Z288" s="189" t="n"/>
      <c r="AA288" s="189" t="n"/>
      <c r="AB288" s="189" t="n"/>
      <c r="AC288" s="189" t="n"/>
      <c r="AD288" s="189" t="n"/>
      <c r="AE288" s="189" t="n"/>
      <c r="AF288" s="189" t="n"/>
      <c r="AG288" s="189" t="n"/>
      <c r="AH288" s="189" t="n"/>
      <c r="AI288" s="51" t="inlineStr">
        <is>
          <t>U8X</t>
        </is>
      </c>
    </row>
    <row r="289">
      <c r="B289" s="189" t="n"/>
      <c r="C289" s="189" t="n"/>
      <c r="D289" s="189" t="n"/>
      <c r="E289" s="189" t="n"/>
      <c r="F289" s="189" t="n"/>
      <c r="G289" s="189" t="n"/>
      <c r="H289" s="189" t="n"/>
      <c r="I289" s="189" t="n"/>
      <c r="J289" s="189" t="n"/>
      <c r="K289" s="189" t="n"/>
      <c r="L289" s="189" t="n"/>
      <c r="M289" s="189" t="n"/>
      <c r="N289" s="189" t="n"/>
      <c r="O289" s="189" t="n"/>
      <c r="P289" s="189" t="n"/>
      <c r="Q289" s="189" t="n"/>
      <c r="R289" s="189" t="n"/>
      <c r="S289" s="189" t="n"/>
      <c r="T289" s="189" t="n"/>
      <c r="U289" s="189" t="n"/>
      <c r="V289" s="189" t="n"/>
      <c r="W289" s="189" t="n"/>
      <c r="X289" s="189" t="n"/>
      <c r="Y289" s="189" t="n"/>
      <c r="Z289" s="189" t="n"/>
      <c r="AA289" s="189" t="n"/>
      <c r="AB289" s="189" t="n"/>
      <c r="AC289" s="189" t="n"/>
      <c r="AD289" s="189" t="n"/>
      <c r="AE289" s="189" t="n"/>
      <c r="AF289" s="189" t="n"/>
      <c r="AG289" s="189" t="n"/>
      <c r="AH289" s="189" t="n"/>
      <c r="AI289" s="51" t="inlineStr">
        <is>
          <t>U8Y</t>
        </is>
      </c>
    </row>
    <row r="290">
      <c r="B290" s="189" t="n"/>
      <c r="C290" s="189" t="n"/>
      <c r="D290" s="189" t="n"/>
      <c r="E290" s="189" t="n"/>
      <c r="F290" s="189" t="n"/>
      <c r="G290" s="189" t="n"/>
      <c r="H290" s="189" t="n"/>
      <c r="I290" s="189" t="n"/>
      <c r="J290" s="189" t="n"/>
      <c r="K290" s="189" t="n"/>
      <c r="L290" s="189" t="n"/>
      <c r="M290" s="189" t="n"/>
      <c r="N290" s="189" t="n"/>
      <c r="O290" s="189" t="n"/>
      <c r="P290" s="189" t="n"/>
      <c r="Q290" s="189" t="n"/>
      <c r="R290" s="189" t="n"/>
      <c r="S290" s="189" t="n"/>
      <c r="T290" s="189" t="n"/>
      <c r="U290" s="189" t="n"/>
      <c r="V290" s="189" t="n"/>
      <c r="W290" s="189" t="n"/>
      <c r="X290" s="189" t="n"/>
      <c r="Y290" s="189" t="n"/>
      <c r="Z290" s="189" t="n"/>
      <c r="AA290" s="189" t="n"/>
      <c r="AB290" s="189" t="n"/>
      <c r="AC290" s="189" t="n"/>
      <c r="AD290" s="189" t="n"/>
      <c r="AE290" s="189" t="n"/>
      <c r="AF290" s="189" t="n"/>
      <c r="AG290" s="189" t="n"/>
      <c r="AH290" s="189" t="n"/>
      <c r="AI290" s="51" t="inlineStr">
        <is>
          <t>U8θ</t>
        </is>
      </c>
    </row>
    <row r="291">
      <c r="B291" s="189" t="n"/>
      <c r="C291" s="189" t="n"/>
      <c r="D291" s="189" t="n"/>
      <c r="E291" s="189" t="n"/>
      <c r="F291" s="189" t="n"/>
      <c r="G291" s="189" t="n"/>
      <c r="H291" s="189" t="n"/>
      <c r="I291" s="189" t="n"/>
      <c r="J291" s="189" t="n"/>
      <c r="K291" s="189" t="n"/>
      <c r="L291" s="189" t="n"/>
      <c r="M291" s="189" t="n"/>
      <c r="N291" s="189" t="n"/>
      <c r="O291" s="189" t="n"/>
      <c r="P291" s="189" t="n"/>
      <c r="Q291" s="189" t="n"/>
      <c r="R291" s="189" t="n"/>
      <c r="S291" s="189" t="n"/>
      <c r="T291" s="189" t="n"/>
      <c r="U291" s="189" t="n"/>
      <c r="V291" s="189" t="n"/>
      <c r="W291" s="189" t="n"/>
      <c r="X291" s="189" t="n"/>
      <c r="Y291" s="189" t="n"/>
      <c r="Z291" s="189" t="n"/>
      <c r="AA291" s="189" t="n"/>
      <c r="AB291" s="189" t="n"/>
      <c r="AC291" s="189" t="n"/>
      <c r="AD291" s="189" t="n"/>
      <c r="AE291" s="189" t="n"/>
      <c r="AF291" s="189" t="n"/>
      <c r="AG291" s="189" t="n"/>
      <c r="AH291" s="189" t="n"/>
      <c r="AI291" s="51" t="inlineStr">
        <is>
          <t>U9X</t>
        </is>
      </c>
    </row>
    <row r="292">
      <c r="B292" s="189" t="n"/>
      <c r="C292" s="189" t="n"/>
      <c r="D292" s="189" t="n"/>
      <c r="E292" s="189" t="n"/>
      <c r="F292" s="189" t="n"/>
      <c r="G292" s="189" t="n"/>
      <c r="H292" s="189" t="n"/>
      <c r="I292" s="189" t="n"/>
      <c r="J292" s="189" t="n"/>
      <c r="K292" s="189" t="n"/>
      <c r="L292" s="189" t="n"/>
      <c r="M292" s="189" t="n"/>
      <c r="N292" s="189" t="n"/>
      <c r="O292" s="189" t="n"/>
      <c r="P292" s="189" t="n"/>
      <c r="Q292" s="189" t="n"/>
      <c r="R292" s="189" t="n"/>
      <c r="S292" s="189" t="n"/>
      <c r="T292" s="189" t="n"/>
      <c r="U292" s="189" t="n"/>
      <c r="V292" s="189" t="n"/>
      <c r="W292" s="189" t="n"/>
      <c r="X292" s="189" t="n"/>
      <c r="Y292" s="189" t="n"/>
      <c r="Z292" s="189" t="n"/>
      <c r="AA292" s="189" t="n"/>
      <c r="AB292" s="189" t="n"/>
      <c r="AC292" s="189" t="n"/>
      <c r="AD292" s="189" t="n"/>
      <c r="AE292" s="189" t="n"/>
      <c r="AF292" s="189" t="n"/>
      <c r="AG292" s="189" t="n"/>
      <c r="AH292" s="189" t="n"/>
      <c r="AI292" s="51" t="inlineStr">
        <is>
          <t>U9Y</t>
        </is>
      </c>
    </row>
    <row r="293">
      <c r="B293" s="189" t="n"/>
      <c r="C293" s="189" t="n"/>
      <c r="D293" s="189" t="n"/>
      <c r="E293" s="189" t="n"/>
      <c r="F293" s="189" t="n"/>
      <c r="G293" s="189" t="n"/>
      <c r="H293" s="189" t="n"/>
      <c r="I293" s="189" t="n"/>
      <c r="J293" s="189" t="n"/>
      <c r="K293" s="189" t="n"/>
      <c r="L293" s="189" t="n"/>
      <c r="M293" s="189" t="n"/>
      <c r="N293" s="189" t="n"/>
      <c r="O293" s="189" t="n"/>
      <c r="P293" s="189" t="n"/>
      <c r="Q293" s="189" t="n"/>
      <c r="R293" s="189" t="n"/>
      <c r="S293" s="189" t="n"/>
      <c r="T293" s="189" t="n"/>
      <c r="U293" s="189" t="n"/>
      <c r="V293" s="189" t="n"/>
      <c r="W293" s="189" t="n"/>
      <c r="X293" s="189" t="n"/>
      <c r="Y293" s="189" t="n"/>
      <c r="Z293" s="189" t="n"/>
      <c r="AA293" s="189" t="n"/>
      <c r="AB293" s="189" t="n"/>
      <c r="AC293" s="189" t="n"/>
      <c r="AD293" s="189" t="n"/>
      <c r="AE293" s="189" t="n"/>
      <c r="AF293" s="189" t="n"/>
      <c r="AG293" s="189" t="n"/>
      <c r="AH293" s="189" t="n"/>
      <c r="AI293" s="51" t="inlineStr">
        <is>
          <t>U9θ</t>
        </is>
      </c>
    </row>
    <row r="294">
      <c r="B294" s="189" t="n"/>
      <c r="C294" s="189" t="n"/>
      <c r="D294" s="189" t="n"/>
      <c r="E294" s="189" t="n"/>
      <c r="F294" s="189" t="n"/>
      <c r="G294" s="189" t="n"/>
      <c r="H294" s="189" t="n"/>
      <c r="I294" s="189" t="n"/>
      <c r="J294" s="189" t="n"/>
      <c r="K294" s="189" t="n"/>
      <c r="L294" s="189" t="n"/>
      <c r="M294" s="189" t="n"/>
      <c r="N294" s="189" t="n"/>
      <c r="O294" s="189" t="n"/>
      <c r="P294" s="189" t="n"/>
      <c r="Q294" s="189" t="n"/>
      <c r="R294" s="189" t="n"/>
      <c r="S294" s="189" t="n"/>
      <c r="T294" s="189" t="n"/>
      <c r="U294" s="189" t="n"/>
      <c r="V294" s="189" t="n"/>
      <c r="W294" s="189" t="n"/>
      <c r="X294" s="189" t="n"/>
      <c r="Y294" s="189" t="n"/>
      <c r="Z294" s="189" t="n"/>
      <c r="AA294" s="189" t="n"/>
      <c r="AB294" s="189" t="n"/>
      <c r="AC294" s="189" t="n"/>
      <c r="AD294" s="189" t="n"/>
      <c r="AE294" s="189" t="n"/>
      <c r="AF294" s="189" t="n"/>
      <c r="AG294" s="189" t="n"/>
      <c r="AH294" s="189" t="n"/>
      <c r="AI294" s="51" t="inlineStr">
        <is>
          <t>U10X</t>
        </is>
      </c>
    </row>
    <row r="295">
      <c r="B295" s="189" t="n"/>
      <c r="C295" s="189" t="n"/>
      <c r="D295" s="189" t="n"/>
      <c r="E295" s="189" t="n"/>
      <c r="F295" s="189" t="n"/>
      <c r="G295" s="189" t="n"/>
      <c r="H295" s="189" t="n"/>
      <c r="I295" s="189" t="n"/>
      <c r="J295" s="189" t="n"/>
      <c r="K295" s="189" t="n"/>
      <c r="L295" s="189" t="n"/>
      <c r="M295" s="189" t="n"/>
      <c r="N295" s="189" t="n"/>
      <c r="O295" s="189" t="n"/>
      <c r="P295" s="189" t="n"/>
      <c r="Q295" s="189" t="n"/>
      <c r="R295" s="189" t="n"/>
      <c r="S295" s="189" t="n"/>
      <c r="T295" s="189" t="n"/>
      <c r="U295" s="189" t="n"/>
      <c r="V295" s="189" t="n"/>
      <c r="W295" s="189" t="n"/>
      <c r="X295" s="189" t="n"/>
      <c r="Y295" s="189" t="n"/>
      <c r="Z295" s="189" t="n"/>
      <c r="AA295" s="189" t="n"/>
      <c r="AB295" s="189" t="n"/>
      <c r="AC295" s="189" t="n"/>
      <c r="AD295" s="189" t="n"/>
      <c r="AE295" s="189" t="n"/>
      <c r="AF295" s="189" t="n"/>
      <c r="AG295" s="189" t="n"/>
      <c r="AH295" s="189" t="n"/>
      <c r="AI295" s="51" t="inlineStr">
        <is>
          <t>U10Y</t>
        </is>
      </c>
    </row>
    <row r="296">
      <c r="B296" s="189" t="n"/>
      <c r="C296" s="189" t="n"/>
      <c r="D296" s="189" t="n"/>
      <c r="E296" s="189" t="n"/>
      <c r="F296" s="189" t="n"/>
      <c r="G296" s="189" t="n"/>
      <c r="H296" s="189" t="n"/>
      <c r="I296" s="189" t="n"/>
      <c r="J296" s="189" t="n"/>
      <c r="K296" s="189" t="n"/>
      <c r="L296" s="189" t="n"/>
      <c r="M296" s="189" t="n"/>
      <c r="N296" s="189" t="n"/>
      <c r="O296" s="189" t="n"/>
      <c r="P296" s="189" t="n"/>
      <c r="Q296" s="189" t="n"/>
      <c r="R296" s="189" t="n"/>
      <c r="S296" s="189" t="n"/>
      <c r="T296" s="189" t="n"/>
      <c r="U296" s="189" t="n"/>
      <c r="V296" s="189" t="n"/>
      <c r="W296" s="189" t="n"/>
      <c r="X296" s="189" t="n"/>
      <c r="Y296" s="189" t="n"/>
      <c r="Z296" s="189" t="n"/>
      <c r="AA296" s="189" t="n"/>
      <c r="AB296" s="189" t="n"/>
      <c r="AC296" s="189" t="n"/>
      <c r="AD296" s="189" t="n"/>
      <c r="AE296" s="189" t="n"/>
      <c r="AF296" s="189" t="n"/>
      <c r="AG296" s="189" t="n"/>
      <c r="AH296" s="189" t="n"/>
      <c r="AI296" s="51" t="inlineStr">
        <is>
          <t>U10θ</t>
        </is>
      </c>
    </row>
    <row r="297">
      <c r="B297" s="189" t="n"/>
      <c r="C297" s="189" t="n"/>
      <c r="D297" s="189" t="n"/>
      <c r="E297" s="189" t="n"/>
      <c r="F297" s="189" t="n"/>
      <c r="G297" s="189" t="n"/>
      <c r="H297" s="189" t="n"/>
      <c r="I297" s="189" t="n"/>
      <c r="J297" s="189" t="n"/>
      <c r="K297" s="189" t="n"/>
      <c r="L297" s="189" t="n"/>
      <c r="M297" s="189" t="n"/>
      <c r="N297" s="189" t="n"/>
      <c r="O297" s="189" t="n"/>
      <c r="P297" s="189" t="n"/>
      <c r="Q297" s="189" t="n"/>
      <c r="R297" s="189" t="n"/>
      <c r="S297" s="189" t="n"/>
      <c r="T297" s="189" t="n"/>
      <c r="U297" s="189" t="n"/>
      <c r="V297" s="189" t="n"/>
      <c r="W297" s="189" t="n"/>
      <c r="X297" s="189" t="n"/>
      <c r="Y297" s="189" t="n"/>
      <c r="Z297" s="189" t="n"/>
      <c r="AA297" s="189" t="n"/>
      <c r="AB297" s="189" t="n"/>
      <c r="AC297" s="189" t="n"/>
      <c r="AD297" s="189" t="n"/>
      <c r="AE297" s="189" t="n"/>
      <c r="AF297" s="189" t="n"/>
      <c r="AG297" s="189" t="n"/>
      <c r="AH297" s="189" t="n"/>
      <c r="AI297" s="51" t="inlineStr">
        <is>
          <t>U11X</t>
        </is>
      </c>
    </row>
    <row r="298">
      <c r="B298" s="189" t="n"/>
      <c r="C298" s="189" t="n"/>
      <c r="D298" s="189" t="n"/>
      <c r="E298" s="189" t="n"/>
      <c r="F298" s="189" t="n"/>
      <c r="G298" s="189" t="n"/>
      <c r="H298" s="189" t="n"/>
      <c r="I298" s="189" t="n"/>
      <c r="J298" s="189" t="n"/>
      <c r="K298" s="189" t="n"/>
      <c r="L298" s="189" t="n"/>
      <c r="M298" s="189" t="n"/>
      <c r="N298" s="189" t="n"/>
      <c r="O298" s="189" t="n"/>
      <c r="P298" s="189" t="n"/>
      <c r="Q298" s="189" t="n"/>
      <c r="R298" s="189" t="n"/>
      <c r="S298" s="189" t="n"/>
      <c r="T298" s="189" t="n"/>
      <c r="U298" s="189" t="n"/>
      <c r="V298" s="189" t="n"/>
      <c r="W298" s="189" t="n"/>
      <c r="X298" s="189" t="n"/>
      <c r="Y298" s="189" t="n"/>
      <c r="Z298" s="189" t="n"/>
      <c r="AA298" s="189" t="n"/>
      <c r="AB298" s="189" t="n"/>
      <c r="AC298" s="189" t="n"/>
      <c r="AD298" s="189" t="n"/>
      <c r="AE298" s="189" t="n"/>
      <c r="AF298" s="189" t="n"/>
      <c r="AG298" s="189" t="n"/>
      <c r="AH298" s="189" t="n"/>
      <c r="AI298" s="51" t="inlineStr">
        <is>
          <t>U11Y</t>
        </is>
      </c>
    </row>
    <row r="299">
      <c r="B299" s="189" t="n"/>
      <c r="C299" s="189" t="n"/>
      <c r="D299" s="189" t="n"/>
      <c r="E299" s="189" t="n"/>
      <c r="F299" s="189" t="n"/>
      <c r="G299" s="189" t="n"/>
      <c r="H299" s="189" t="n"/>
      <c r="I299" s="189" t="n"/>
      <c r="J299" s="189" t="n"/>
      <c r="K299" s="189" t="n"/>
      <c r="L299" s="189" t="n"/>
      <c r="M299" s="189" t="n"/>
      <c r="N299" s="189" t="n"/>
      <c r="O299" s="189" t="n"/>
      <c r="P299" s="189" t="n"/>
      <c r="Q299" s="189" t="n"/>
      <c r="R299" s="189" t="n"/>
      <c r="S299" s="189" t="n"/>
      <c r="T299" s="189" t="n"/>
      <c r="U299" s="189" t="n"/>
      <c r="V299" s="189" t="n"/>
      <c r="W299" s="189" t="n"/>
      <c r="X299" s="189" t="n"/>
      <c r="Y299" s="189" t="n"/>
      <c r="Z299" s="189" t="n"/>
      <c r="AA299" s="189" t="n"/>
      <c r="AB299" s="189" t="n"/>
      <c r="AC299" s="189" t="n"/>
      <c r="AD299" s="189" t="n"/>
      <c r="AE299" s="189" t="n"/>
      <c r="AF299" s="189" t="n"/>
      <c r="AG299" s="189" t="n"/>
      <c r="AH299" s="189" t="n"/>
      <c r="AI299" s="51" t="inlineStr">
        <is>
          <t>U11θ</t>
        </is>
      </c>
    </row>
    <row r="301">
      <c r="B301" s="51">
        <f>IF(C37="","", CONCATENATE("U",C37,C$30))</f>
        <v/>
      </c>
      <c r="C301" s="51">
        <f>IF(D37="","", CONCATENATE("U",D37,D$30))</f>
        <v/>
      </c>
      <c r="D301" s="51">
        <f>IF(E37="","", CONCATENATE("U",E37,E$30))</f>
        <v/>
      </c>
      <c r="E301" s="51">
        <f>IF(F37="","", CONCATENATE("U",F37,F$30))</f>
        <v/>
      </c>
      <c r="F301" s="51">
        <f>IF(G37="","", CONCATENATE("U",G37,G$30))</f>
        <v/>
      </c>
      <c r="G301" s="51">
        <f>IF(H37="","", CONCATENATE("U",H37,H$30))</f>
        <v/>
      </c>
    </row>
    <row r="302">
      <c r="B302" s="8">
        <f>IF(I24="", 0, M24*K24*K24+N24*L24*L24)</f>
        <v/>
      </c>
      <c r="C302" s="189">
        <f>IF(I24="", 0, (M24-N24)*(K24*L24))</f>
        <v/>
      </c>
      <c r="D302" s="189">
        <f>IF(I24="", 0, -O24*L24)</f>
        <v/>
      </c>
      <c r="E302" s="189">
        <f>-B302</f>
        <v/>
      </c>
      <c r="F302" s="189">
        <f>-C302</f>
        <v/>
      </c>
      <c r="G302" s="189">
        <f>D302</f>
        <v/>
      </c>
      <c r="H302" s="51">
        <f>B301</f>
        <v/>
      </c>
    </row>
    <row r="303">
      <c r="B303" s="189">
        <f>C302</f>
        <v/>
      </c>
      <c r="C303" s="8">
        <f>IF(I24="", 0, M24*L24*L24+N24*K24*K24)</f>
        <v/>
      </c>
      <c r="D303" s="189">
        <f>IF(I24="", 0, O24*K24)</f>
        <v/>
      </c>
      <c r="E303" s="189">
        <f>-B303</f>
        <v/>
      </c>
      <c r="F303" s="189">
        <f>-C303</f>
        <v/>
      </c>
      <c r="G303" s="189">
        <f>D303</f>
        <v/>
      </c>
      <c r="H303" s="51">
        <f>C301</f>
        <v/>
      </c>
    </row>
    <row r="304">
      <c r="A304" s="118" t="inlineStr">
        <is>
          <t>K7 =</t>
        </is>
      </c>
      <c r="B304" s="189">
        <f>D302</f>
        <v/>
      </c>
      <c r="C304" s="189">
        <f>D303</f>
        <v/>
      </c>
      <c r="D304" s="8">
        <f>IF(I24="", 0, P24)</f>
        <v/>
      </c>
      <c r="E304" s="189">
        <f>-B304</f>
        <v/>
      </c>
      <c r="F304" s="189">
        <f>-C304</f>
        <v/>
      </c>
      <c r="G304" s="189">
        <f>IF(I24="", 0, Q24)</f>
        <v/>
      </c>
      <c r="H304" s="51">
        <f>D301</f>
        <v/>
      </c>
    </row>
    <row r="305">
      <c r="B305" s="189">
        <f>E302</f>
        <v/>
      </c>
      <c r="C305" s="189">
        <f>E303</f>
        <v/>
      </c>
      <c r="D305" s="189">
        <f>E304</f>
        <v/>
      </c>
      <c r="E305" s="8">
        <f>B302</f>
        <v/>
      </c>
      <c r="F305" s="189">
        <f>C302</f>
        <v/>
      </c>
      <c r="G305" s="189">
        <f>-D302</f>
        <v/>
      </c>
      <c r="H305" s="51">
        <f>E301</f>
        <v/>
      </c>
    </row>
    <row r="306">
      <c r="B306" s="189">
        <f>F302</f>
        <v/>
      </c>
      <c r="C306" s="189">
        <f>F303</f>
        <v/>
      </c>
      <c r="D306" s="189">
        <f>F304</f>
        <v/>
      </c>
      <c r="E306" s="189">
        <f>F305</f>
        <v/>
      </c>
      <c r="F306" s="8">
        <f>C303</f>
        <v/>
      </c>
      <c r="G306" s="189">
        <f>-D303</f>
        <v/>
      </c>
      <c r="H306" s="51">
        <f>F301</f>
        <v/>
      </c>
    </row>
    <row r="307">
      <c r="B307" s="189">
        <f>G302</f>
        <v/>
      </c>
      <c r="C307" s="189">
        <f>G303</f>
        <v/>
      </c>
      <c r="D307" s="189">
        <f>G304</f>
        <v/>
      </c>
      <c r="E307" s="189">
        <f>G305</f>
        <v/>
      </c>
      <c r="F307" s="189">
        <f>G306</f>
        <v/>
      </c>
      <c r="G307" s="8">
        <f>D304</f>
        <v/>
      </c>
      <c r="H307" s="51">
        <f>G301</f>
        <v/>
      </c>
    </row>
    <row r="309">
      <c r="B309" s="51" t="inlineStr">
        <is>
          <t>U1X</t>
        </is>
      </c>
      <c r="C309" s="51" t="inlineStr">
        <is>
          <t>U1Y</t>
        </is>
      </c>
      <c r="D309" s="51" t="inlineStr">
        <is>
          <t>U1θ</t>
        </is>
      </c>
      <c r="E309" s="51" t="inlineStr">
        <is>
          <t>U2X</t>
        </is>
      </c>
      <c r="F309" s="51" t="inlineStr">
        <is>
          <t>U2Y</t>
        </is>
      </c>
      <c r="G309" s="51" t="inlineStr">
        <is>
          <t>U2θ</t>
        </is>
      </c>
      <c r="H309" s="51" t="inlineStr">
        <is>
          <t>U3X</t>
        </is>
      </c>
      <c r="I309" s="51" t="inlineStr">
        <is>
          <t>U3Y</t>
        </is>
      </c>
      <c r="J309" s="51" t="inlineStr">
        <is>
          <t>U3θ</t>
        </is>
      </c>
      <c r="K309" s="51" t="inlineStr">
        <is>
          <t>U4X</t>
        </is>
      </c>
      <c r="L309" s="51" t="inlineStr">
        <is>
          <t>U4Y</t>
        </is>
      </c>
      <c r="M309" s="51" t="inlineStr">
        <is>
          <t>U4θ</t>
        </is>
      </c>
      <c r="N309" s="51" t="inlineStr">
        <is>
          <t>U5X</t>
        </is>
      </c>
      <c r="O309" s="51" t="inlineStr">
        <is>
          <t>U5Y</t>
        </is>
      </c>
      <c r="P309" s="51" t="inlineStr">
        <is>
          <t>U5θ</t>
        </is>
      </c>
      <c r="Q309" s="51" t="inlineStr">
        <is>
          <t>U6X</t>
        </is>
      </c>
      <c r="R309" s="51" t="inlineStr">
        <is>
          <t>U6Y</t>
        </is>
      </c>
      <c r="S309" s="51" t="inlineStr">
        <is>
          <t>U6θ</t>
        </is>
      </c>
      <c r="T309" s="51" t="inlineStr">
        <is>
          <t>U7X</t>
        </is>
      </c>
      <c r="U309" s="51" t="inlineStr">
        <is>
          <t>U7Y</t>
        </is>
      </c>
      <c r="V309" s="51" t="inlineStr">
        <is>
          <t>U7θ</t>
        </is>
      </c>
      <c r="W309" s="51" t="inlineStr">
        <is>
          <t>U8X</t>
        </is>
      </c>
      <c r="X309" s="51" t="inlineStr">
        <is>
          <t>U8Y</t>
        </is>
      </c>
      <c r="Y309" s="51" t="inlineStr">
        <is>
          <t>U8θ</t>
        </is>
      </c>
      <c r="Z309" s="51" t="inlineStr">
        <is>
          <t>U9X</t>
        </is>
      </c>
      <c r="AA309" s="51" t="inlineStr">
        <is>
          <t>U9Y</t>
        </is>
      </c>
      <c r="AB309" s="51" t="inlineStr">
        <is>
          <t>U9θ</t>
        </is>
      </c>
      <c r="AC309" s="51" t="inlineStr">
        <is>
          <t>U10X</t>
        </is>
      </c>
      <c r="AD309" s="51" t="inlineStr">
        <is>
          <t>U10Y</t>
        </is>
      </c>
      <c r="AE309" s="51" t="inlineStr">
        <is>
          <t>U10θ</t>
        </is>
      </c>
      <c r="AF309" s="51" t="inlineStr">
        <is>
          <t>U11X</t>
        </is>
      </c>
      <c r="AG309" s="51" t="inlineStr">
        <is>
          <t>U11Y</t>
        </is>
      </c>
      <c r="AH309" s="51" t="inlineStr">
        <is>
          <t>U11θ</t>
        </is>
      </c>
    </row>
    <row r="310">
      <c r="B310" s="189" t="n"/>
      <c r="C310" s="189" t="n"/>
      <c r="D310" s="189" t="n"/>
      <c r="E310" s="189" t="n"/>
      <c r="F310" s="189" t="n"/>
      <c r="G310" s="189" t="n"/>
      <c r="H310" s="189" t="n"/>
      <c r="I310" s="189" t="n"/>
      <c r="J310" s="189" t="n"/>
      <c r="K310" s="189" t="n"/>
      <c r="L310" s="189" t="n"/>
      <c r="M310" s="189" t="n"/>
      <c r="N310" s="189" t="n"/>
      <c r="O310" s="189" t="n"/>
      <c r="P310" s="189" t="n"/>
      <c r="Q310" s="189" t="n"/>
      <c r="R310" s="189" t="n"/>
      <c r="S310" s="189" t="n"/>
      <c r="T310" s="189" t="n"/>
      <c r="U310" s="189" t="n"/>
      <c r="V310" s="189" t="n"/>
      <c r="W310" s="189" t="n"/>
      <c r="X310" s="189" t="n"/>
      <c r="Y310" s="189" t="n"/>
      <c r="Z310" s="189" t="n"/>
      <c r="AA310" s="189" t="n"/>
      <c r="AB310" s="189" t="n"/>
      <c r="AC310" s="189" t="n"/>
      <c r="AD310" s="189" t="n"/>
      <c r="AE310" s="189" t="n"/>
      <c r="AF310" s="189" t="n"/>
      <c r="AG310" s="189" t="n"/>
      <c r="AH310" s="189" t="n"/>
      <c r="AI310" s="51" t="inlineStr">
        <is>
          <t>U1X</t>
        </is>
      </c>
    </row>
    <row r="311">
      <c r="B311" s="189" t="n"/>
      <c r="C311" s="189" t="n"/>
      <c r="D311" s="189" t="n"/>
      <c r="E311" s="189" t="n"/>
      <c r="F311" s="189" t="n"/>
      <c r="G311" s="189" t="n"/>
      <c r="H311" s="189" t="n"/>
      <c r="I311" s="189" t="n"/>
      <c r="J311" s="189" t="n"/>
      <c r="K311" s="189" t="n"/>
      <c r="L311" s="189" t="n"/>
      <c r="M311" s="189" t="n"/>
      <c r="N311" s="189" t="n"/>
      <c r="O311" s="189" t="n"/>
      <c r="P311" s="189" t="n"/>
      <c r="Q311" s="189" t="n"/>
      <c r="R311" s="189" t="n"/>
      <c r="S311" s="189" t="n"/>
      <c r="T311" s="189" t="n"/>
      <c r="U311" s="189" t="n"/>
      <c r="V311" s="189" t="n"/>
      <c r="W311" s="189" t="n"/>
      <c r="X311" s="189" t="n"/>
      <c r="Y311" s="189" t="n"/>
      <c r="Z311" s="189" t="n"/>
      <c r="AA311" s="189" t="n"/>
      <c r="AB311" s="189" t="n"/>
      <c r="AC311" s="189" t="n"/>
      <c r="AD311" s="189" t="n"/>
      <c r="AE311" s="189" t="n"/>
      <c r="AF311" s="189" t="n"/>
      <c r="AG311" s="189" t="n"/>
      <c r="AH311" s="189" t="n"/>
      <c r="AI311" s="51" t="inlineStr">
        <is>
          <t>U1Y</t>
        </is>
      </c>
    </row>
    <row r="312">
      <c r="B312" s="189" t="n"/>
      <c r="C312" s="189" t="n"/>
      <c r="D312" s="189" t="n"/>
      <c r="E312" s="189" t="n"/>
      <c r="F312" s="189" t="n"/>
      <c r="G312" s="189" t="n"/>
      <c r="H312" s="189" t="n"/>
      <c r="I312" s="189" t="n"/>
      <c r="J312" s="189" t="n"/>
      <c r="K312" s="189" t="n"/>
      <c r="L312" s="189" t="n"/>
      <c r="M312" s="189" t="n"/>
      <c r="N312" s="189" t="n"/>
      <c r="O312" s="189" t="n"/>
      <c r="P312" s="189" t="n"/>
      <c r="Q312" s="189" t="n"/>
      <c r="R312" s="189" t="n"/>
      <c r="S312" s="189" t="n"/>
      <c r="T312" s="189" t="n"/>
      <c r="U312" s="189" t="n"/>
      <c r="V312" s="189" t="n"/>
      <c r="W312" s="189" t="n"/>
      <c r="X312" s="189" t="n"/>
      <c r="Y312" s="189" t="n"/>
      <c r="Z312" s="189" t="n"/>
      <c r="AA312" s="189" t="n"/>
      <c r="AB312" s="189" t="n"/>
      <c r="AC312" s="189" t="n"/>
      <c r="AD312" s="189" t="n"/>
      <c r="AE312" s="189" t="n"/>
      <c r="AF312" s="189" t="n"/>
      <c r="AG312" s="189" t="n"/>
      <c r="AH312" s="189" t="n"/>
      <c r="AI312" s="51" t="inlineStr">
        <is>
          <t>U1θ</t>
        </is>
      </c>
    </row>
    <row r="313">
      <c r="B313" s="189" t="n"/>
      <c r="C313" s="189" t="n"/>
      <c r="D313" s="189" t="n"/>
      <c r="E313" s="189" t="n"/>
      <c r="F313" s="189" t="n"/>
      <c r="G313" s="189" t="n"/>
      <c r="H313" s="189" t="n"/>
      <c r="I313" s="189" t="n"/>
      <c r="J313" s="189" t="n"/>
      <c r="K313" s="189" t="n"/>
      <c r="L313" s="189" t="n"/>
      <c r="M313" s="189" t="n"/>
      <c r="N313" s="189" t="n"/>
      <c r="O313" s="189" t="n"/>
      <c r="P313" s="189" t="n"/>
      <c r="Q313" s="189" t="n"/>
      <c r="R313" s="189" t="n"/>
      <c r="S313" s="189" t="n"/>
      <c r="T313" s="189" t="n"/>
      <c r="U313" s="189" t="n"/>
      <c r="V313" s="189" t="n"/>
      <c r="W313" s="189" t="n"/>
      <c r="X313" s="189" t="n"/>
      <c r="Y313" s="189" t="n"/>
      <c r="Z313" s="189" t="n"/>
      <c r="AA313" s="189" t="n"/>
      <c r="AB313" s="189" t="n"/>
      <c r="AC313" s="189" t="n"/>
      <c r="AD313" s="189" t="n"/>
      <c r="AE313" s="189" t="n"/>
      <c r="AF313" s="189" t="n"/>
      <c r="AG313" s="189" t="n"/>
      <c r="AH313" s="189" t="n"/>
      <c r="AI313" s="51" t="inlineStr">
        <is>
          <t>U2X</t>
        </is>
      </c>
    </row>
    <row r="314">
      <c r="B314" s="189" t="n"/>
      <c r="C314" s="189" t="n"/>
      <c r="D314" s="189" t="n"/>
      <c r="E314" s="189" t="n"/>
      <c r="F314" s="189" t="n"/>
      <c r="G314" s="189" t="n"/>
      <c r="H314" s="189" t="n"/>
      <c r="I314" s="189" t="n"/>
      <c r="J314" s="189" t="n"/>
      <c r="K314" s="189" t="n"/>
      <c r="L314" s="189" t="n"/>
      <c r="M314" s="189" t="n"/>
      <c r="N314" s="189" t="n"/>
      <c r="O314" s="189" t="n"/>
      <c r="P314" s="189" t="n"/>
      <c r="Q314" s="189" t="n"/>
      <c r="R314" s="189" t="n"/>
      <c r="S314" s="189" t="n"/>
      <c r="T314" s="189" t="n"/>
      <c r="U314" s="189" t="n"/>
      <c r="V314" s="189" t="n"/>
      <c r="W314" s="189" t="n"/>
      <c r="X314" s="189" t="n"/>
      <c r="Y314" s="189" t="n"/>
      <c r="Z314" s="189" t="n"/>
      <c r="AA314" s="189" t="n"/>
      <c r="AB314" s="189" t="n"/>
      <c r="AC314" s="189" t="n"/>
      <c r="AD314" s="189" t="n"/>
      <c r="AE314" s="189" t="n"/>
      <c r="AF314" s="189" t="n"/>
      <c r="AG314" s="189" t="n"/>
      <c r="AH314" s="189" t="n"/>
      <c r="AI314" s="51" t="inlineStr">
        <is>
          <t>U2Y</t>
        </is>
      </c>
    </row>
    <row r="315">
      <c r="B315" s="189" t="n"/>
      <c r="C315" s="189" t="n"/>
      <c r="D315" s="189" t="n"/>
      <c r="E315" s="189" t="n"/>
      <c r="F315" s="189" t="n"/>
      <c r="G315" s="189" t="n"/>
      <c r="H315" s="189" t="n"/>
      <c r="I315" s="189" t="n"/>
      <c r="J315" s="189" t="n"/>
      <c r="K315" s="189" t="n"/>
      <c r="L315" s="189" t="n"/>
      <c r="M315" s="189" t="n"/>
      <c r="N315" s="189" t="n"/>
      <c r="O315" s="189" t="n"/>
      <c r="P315" s="189" t="n"/>
      <c r="Q315" s="189" t="n"/>
      <c r="R315" s="189" t="n"/>
      <c r="S315" s="189" t="n"/>
      <c r="T315" s="189" t="n"/>
      <c r="U315" s="189" t="n"/>
      <c r="V315" s="189" t="n"/>
      <c r="W315" s="189" t="n"/>
      <c r="X315" s="189" t="n"/>
      <c r="Y315" s="189" t="n"/>
      <c r="Z315" s="189" t="n"/>
      <c r="AA315" s="189" t="n"/>
      <c r="AB315" s="189" t="n"/>
      <c r="AC315" s="189" t="n"/>
      <c r="AD315" s="189" t="n"/>
      <c r="AE315" s="189" t="n"/>
      <c r="AF315" s="189" t="n"/>
      <c r="AG315" s="189" t="n"/>
      <c r="AH315" s="189" t="n"/>
      <c r="AI315" s="51" t="inlineStr">
        <is>
          <t>U2θ</t>
        </is>
      </c>
    </row>
    <row r="316">
      <c r="B316" s="189" t="n"/>
      <c r="C316" s="189" t="n"/>
      <c r="D316" s="189" t="n"/>
      <c r="E316" s="189" t="n"/>
      <c r="F316" s="189" t="n"/>
      <c r="G316" s="189" t="n"/>
      <c r="H316" s="189" t="n"/>
      <c r="I316" s="189" t="n"/>
      <c r="J316" s="189" t="n"/>
      <c r="K316" s="189" t="n"/>
      <c r="L316" s="189" t="n"/>
      <c r="M316" s="189" t="n"/>
      <c r="N316" s="189" t="n"/>
      <c r="O316" s="189" t="n"/>
      <c r="P316" s="189" t="n"/>
      <c r="Q316" s="189" t="n"/>
      <c r="R316" s="189" t="n"/>
      <c r="S316" s="189" t="n"/>
      <c r="T316" s="189" t="n"/>
      <c r="U316" s="189" t="n"/>
      <c r="V316" s="189" t="n"/>
      <c r="W316" s="189" t="n"/>
      <c r="X316" s="189" t="n"/>
      <c r="Y316" s="189" t="n"/>
      <c r="Z316" s="189" t="n"/>
      <c r="AA316" s="189" t="n"/>
      <c r="AB316" s="189" t="n"/>
      <c r="AC316" s="189" t="n"/>
      <c r="AD316" s="189" t="n"/>
      <c r="AE316" s="189" t="n"/>
      <c r="AF316" s="189" t="n"/>
      <c r="AG316" s="189" t="n"/>
      <c r="AH316" s="189" t="n"/>
      <c r="AI316" s="51" t="inlineStr">
        <is>
          <t>U3X</t>
        </is>
      </c>
    </row>
    <row r="317">
      <c r="B317" s="189" t="n"/>
      <c r="C317" s="189" t="n"/>
      <c r="D317" s="189" t="n"/>
      <c r="E317" s="189" t="n"/>
      <c r="F317" s="189" t="n"/>
      <c r="G317" s="189" t="n"/>
      <c r="H317" s="189" t="n"/>
      <c r="I317" s="189" t="n"/>
      <c r="J317" s="189" t="n"/>
      <c r="K317" s="189" t="n"/>
      <c r="L317" s="189" t="n"/>
      <c r="M317" s="189" t="n"/>
      <c r="N317" s="189" t="n"/>
      <c r="O317" s="189" t="n"/>
      <c r="P317" s="189" t="n"/>
      <c r="Q317" s="189" t="n"/>
      <c r="R317" s="189" t="n"/>
      <c r="S317" s="189" t="n"/>
      <c r="T317" s="189" t="n"/>
      <c r="U317" s="189" t="n"/>
      <c r="V317" s="189" t="n"/>
      <c r="W317" s="189" t="n"/>
      <c r="X317" s="189" t="n"/>
      <c r="Y317" s="189" t="n"/>
      <c r="Z317" s="189" t="n"/>
      <c r="AA317" s="189" t="n"/>
      <c r="AB317" s="189" t="n"/>
      <c r="AC317" s="189" t="n"/>
      <c r="AD317" s="189" t="n"/>
      <c r="AE317" s="189" t="n"/>
      <c r="AF317" s="189" t="n"/>
      <c r="AG317" s="189" t="n"/>
      <c r="AH317" s="189" t="n"/>
      <c r="AI317" s="51" t="inlineStr">
        <is>
          <t>U3Y</t>
        </is>
      </c>
    </row>
    <row r="318">
      <c r="B318" s="189" t="n"/>
      <c r="C318" s="189" t="n"/>
      <c r="D318" s="189" t="n"/>
      <c r="E318" s="189" t="n"/>
      <c r="F318" s="189" t="n"/>
      <c r="G318" s="189" t="n"/>
      <c r="H318" s="189" t="n"/>
      <c r="I318" s="189" t="n"/>
      <c r="J318" s="189" t="n"/>
      <c r="K318" s="189" t="n"/>
      <c r="L318" s="189" t="n"/>
      <c r="M318" s="189" t="n"/>
      <c r="N318" s="189" t="n"/>
      <c r="O318" s="189" t="n"/>
      <c r="P318" s="189" t="n"/>
      <c r="Q318" s="189" t="n"/>
      <c r="R318" s="189" t="n"/>
      <c r="S318" s="189" t="n"/>
      <c r="T318" s="189" t="n"/>
      <c r="U318" s="189" t="n"/>
      <c r="V318" s="189" t="n"/>
      <c r="W318" s="189" t="n"/>
      <c r="X318" s="189" t="n"/>
      <c r="Y318" s="189" t="n"/>
      <c r="Z318" s="189" t="n"/>
      <c r="AA318" s="189" t="n"/>
      <c r="AB318" s="189" t="n"/>
      <c r="AC318" s="189" t="n"/>
      <c r="AD318" s="189" t="n"/>
      <c r="AE318" s="189" t="n"/>
      <c r="AF318" s="189" t="n"/>
      <c r="AG318" s="189" t="n"/>
      <c r="AH318" s="189" t="n"/>
      <c r="AI318" s="51" t="inlineStr">
        <is>
          <t>U3θ</t>
        </is>
      </c>
    </row>
    <row r="319">
      <c r="B319" s="189" t="n"/>
      <c r="C319" s="189" t="n"/>
      <c r="D319" s="189" t="n"/>
      <c r="E319" s="189" t="n"/>
      <c r="F319" s="189" t="n"/>
      <c r="G319" s="189" t="n"/>
      <c r="H319" s="189" t="n"/>
      <c r="I319" s="189" t="n"/>
      <c r="J319" s="189" t="n"/>
      <c r="K319" s="189" t="n"/>
      <c r="L319" s="189" t="n"/>
      <c r="M319" s="189" t="n"/>
      <c r="N319" s="189" t="n"/>
      <c r="O319" s="189" t="n"/>
      <c r="P319" s="189" t="n"/>
      <c r="Q319" s="189" t="n"/>
      <c r="R319" s="189" t="n"/>
      <c r="S319" s="189" t="n"/>
      <c r="T319" s="189" t="n"/>
      <c r="U319" s="189" t="n"/>
      <c r="V319" s="189" t="n"/>
      <c r="W319" s="189" t="n"/>
      <c r="X319" s="189" t="n"/>
      <c r="Y319" s="189" t="n"/>
      <c r="Z319" s="189" t="n"/>
      <c r="AA319" s="189" t="n"/>
      <c r="AB319" s="189" t="n"/>
      <c r="AC319" s="189" t="n"/>
      <c r="AD319" s="189" t="n"/>
      <c r="AE319" s="189" t="n"/>
      <c r="AF319" s="189" t="n"/>
      <c r="AG319" s="189" t="n"/>
      <c r="AH319" s="189" t="n"/>
      <c r="AI319" s="51" t="inlineStr">
        <is>
          <t>U4X</t>
        </is>
      </c>
    </row>
    <row r="320">
      <c r="B320" s="189" t="n"/>
      <c r="C320" s="189" t="n"/>
      <c r="D320" s="189" t="n"/>
      <c r="E320" s="189" t="n"/>
      <c r="F320" s="189" t="n"/>
      <c r="G320" s="189" t="n"/>
      <c r="H320" s="189" t="n"/>
      <c r="I320" s="189" t="n"/>
      <c r="J320" s="189" t="n"/>
      <c r="K320" s="189" t="n"/>
      <c r="L320" s="189" t="n"/>
      <c r="M320" s="189" t="n"/>
      <c r="N320" s="189" t="n"/>
      <c r="O320" s="189" t="n"/>
      <c r="P320" s="189" t="n"/>
      <c r="Q320" s="189" t="n"/>
      <c r="R320" s="189" t="n"/>
      <c r="S320" s="189" t="n"/>
      <c r="T320" s="189" t="n"/>
      <c r="U320" s="189" t="n"/>
      <c r="V320" s="189" t="n"/>
      <c r="W320" s="189" t="n"/>
      <c r="X320" s="189" t="n"/>
      <c r="Y320" s="189" t="n"/>
      <c r="Z320" s="189" t="n"/>
      <c r="AA320" s="189" t="n"/>
      <c r="AB320" s="189" t="n"/>
      <c r="AC320" s="189" t="n"/>
      <c r="AD320" s="189" t="n"/>
      <c r="AE320" s="189" t="n"/>
      <c r="AF320" s="189" t="n"/>
      <c r="AG320" s="189" t="n"/>
      <c r="AH320" s="189" t="n"/>
      <c r="AI320" s="51" t="inlineStr">
        <is>
          <t>U4Y</t>
        </is>
      </c>
    </row>
    <row r="321">
      <c r="B321" s="189" t="n"/>
      <c r="C321" s="189" t="n"/>
      <c r="D321" s="189" t="n"/>
      <c r="E321" s="189" t="n"/>
      <c r="F321" s="189" t="n"/>
      <c r="G321" s="189" t="n"/>
      <c r="H321" s="189" t="n"/>
      <c r="I321" s="189" t="n"/>
      <c r="J321" s="189" t="n"/>
      <c r="K321" s="189" t="n"/>
      <c r="L321" s="189" t="n"/>
      <c r="M321" s="189" t="n"/>
      <c r="N321" s="189" t="n"/>
      <c r="O321" s="189" t="n"/>
      <c r="P321" s="189" t="n"/>
      <c r="Q321" s="189" t="n"/>
      <c r="R321" s="189" t="n"/>
      <c r="S321" s="189" t="n"/>
      <c r="T321" s="189" t="n"/>
      <c r="U321" s="189" t="n"/>
      <c r="V321" s="189" t="n"/>
      <c r="W321" s="189" t="n"/>
      <c r="X321" s="189" t="n"/>
      <c r="Y321" s="189" t="n"/>
      <c r="Z321" s="189" t="n"/>
      <c r="AA321" s="189" t="n"/>
      <c r="AB321" s="189" t="n"/>
      <c r="AC321" s="189" t="n"/>
      <c r="AD321" s="189" t="n"/>
      <c r="AE321" s="189" t="n"/>
      <c r="AF321" s="189" t="n"/>
      <c r="AG321" s="189" t="n"/>
      <c r="AH321" s="189" t="n"/>
      <c r="AI321" s="51" t="inlineStr">
        <is>
          <t>U4θ</t>
        </is>
      </c>
    </row>
    <row r="322">
      <c r="B322" s="189" t="n"/>
      <c r="C322" s="189" t="n"/>
      <c r="D322" s="189" t="n"/>
      <c r="E322" s="189" t="n"/>
      <c r="F322" s="189" t="n"/>
      <c r="G322" s="189" t="n"/>
      <c r="H322" s="189" t="n"/>
      <c r="I322" s="189" t="n"/>
      <c r="J322" s="189" t="n"/>
      <c r="K322" s="189" t="n"/>
      <c r="L322" s="189" t="n"/>
      <c r="M322" s="189" t="n"/>
      <c r="N322" s="189" t="n"/>
      <c r="O322" s="189" t="n"/>
      <c r="P322" s="189" t="n"/>
      <c r="Q322" s="189" t="n"/>
      <c r="R322" s="189" t="n"/>
      <c r="S322" s="189" t="n"/>
      <c r="T322" s="189" t="n"/>
      <c r="U322" s="189" t="n"/>
      <c r="V322" s="189" t="n"/>
      <c r="W322" s="189" t="n"/>
      <c r="X322" s="189" t="n"/>
      <c r="Y322" s="189" t="n"/>
      <c r="Z322" s="189" t="n"/>
      <c r="AA322" s="189" t="n"/>
      <c r="AB322" s="189" t="n"/>
      <c r="AC322" s="189" t="n"/>
      <c r="AD322" s="189" t="n"/>
      <c r="AE322" s="189" t="n"/>
      <c r="AF322" s="189" t="n"/>
      <c r="AG322" s="189" t="n"/>
      <c r="AH322" s="189" t="n"/>
      <c r="AI322" s="51" t="inlineStr">
        <is>
          <t>U5X</t>
        </is>
      </c>
    </row>
    <row r="323">
      <c r="B323" s="189" t="n"/>
      <c r="C323" s="189" t="n"/>
      <c r="D323" s="189" t="n"/>
      <c r="E323" s="189" t="n"/>
      <c r="F323" s="189" t="n"/>
      <c r="G323" s="189" t="n"/>
      <c r="H323" s="189" t="n"/>
      <c r="I323" s="189" t="n"/>
      <c r="J323" s="189" t="n"/>
      <c r="K323" s="189" t="n"/>
      <c r="L323" s="189" t="n"/>
      <c r="M323" s="189" t="n"/>
      <c r="N323" s="189" t="n"/>
      <c r="O323" s="189" t="n"/>
      <c r="P323" s="189" t="n"/>
      <c r="Q323" s="189" t="n"/>
      <c r="R323" s="189" t="n"/>
      <c r="S323" s="189" t="n"/>
      <c r="T323" s="189" t="n"/>
      <c r="U323" s="189" t="n"/>
      <c r="V323" s="189" t="n"/>
      <c r="W323" s="189" t="n"/>
      <c r="X323" s="189" t="n"/>
      <c r="Y323" s="189" t="n"/>
      <c r="Z323" s="189" t="n"/>
      <c r="AA323" s="189" t="n"/>
      <c r="AB323" s="189" t="n"/>
      <c r="AC323" s="189" t="n"/>
      <c r="AD323" s="189" t="n"/>
      <c r="AE323" s="189" t="n"/>
      <c r="AF323" s="189" t="n"/>
      <c r="AG323" s="189" t="n"/>
      <c r="AH323" s="189" t="n"/>
      <c r="AI323" s="51" t="inlineStr">
        <is>
          <t>U5Y</t>
        </is>
      </c>
    </row>
    <row r="324">
      <c r="B324" s="189" t="n"/>
      <c r="C324" s="189" t="n"/>
      <c r="D324" s="189" t="n"/>
      <c r="E324" s="189" t="n"/>
      <c r="F324" s="189" t="n"/>
      <c r="G324" s="189" t="n"/>
      <c r="H324" s="189" t="n"/>
      <c r="I324" s="189" t="n"/>
      <c r="J324" s="189" t="n"/>
      <c r="K324" s="189" t="n"/>
      <c r="L324" s="189" t="n"/>
      <c r="M324" s="189" t="n"/>
      <c r="N324" s="189" t="n"/>
      <c r="O324" s="189" t="n"/>
      <c r="P324" s="189" t="n"/>
      <c r="Q324" s="189" t="n"/>
      <c r="R324" s="189" t="n"/>
      <c r="S324" s="189" t="n"/>
      <c r="T324" s="189" t="n"/>
      <c r="U324" s="189" t="n"/>
      <c r="V324" s="189" t="n"/>
      <c r="W324" s="189" t="n"/>
      <c r="X324" s="189" t="n"/>
      <c r="Y324" s="189" t="n"/>
      <c r="Z324" s="189" t="n"/>
      <c r="AA324" s="189" t="n"/>
      <c r="AB324" s="189" t="n"/>
      <c r="AC324" s="189" t="n"/>
      <c r="AD324" s="189" t="n"/>
      <c r="AE324" s="189" t="n"/>
      <c r="AF324" s="189" t="n"/>
      <c r="AG324" s="189" t="n"/>
      <c r="AH324" s="189" t="n"/>
      <c r="AI324" s="51" t="inlineStr">
        <is>
          <t>U5θ</t>
        </is>
      </c>
    </row>
    <row r="325">
      <c r="A325" s="118" t="inlineStr">
        <is>
          <t>K7 =</t>
        </is>
      </c>
      <c r="B325" s="189" t="n"/>
      <c r="C325" s="189" t="n"/>
      <c r="D325" s="189" t="n"/>
      <c r="E325" s="189" t="n"/>
      <c r="F325" s="189" t="n"/>
      <c r="G325" s="189" t="n"/>
      <c r="H325" s="189" t="n"/>
      <c r="I325" s="189" t="n"/>
      <c r="J325" s="189" t="n"/>
      <c r="K325" s="189" t="n"/>
      <c r="L325" s="189" t="n"/>
      <c r="M325" s="189" t="n"/>
      <c r="N325" s="189" t="n"/>
      <c r="O325" s="189" t="n"/>
      <c r="P325" s="189" t="n"/>
      <c r="Q325" s="189" t="n"/>
      <c r="R325" s="189" t="n"/>
      <c r="S325" s="189" t="n"/>
      <c r="T325" s="189" t="n"/>
      <c r="U325" s="189" t="n"/>
      <c r="V325" s="189" t="n"/>
      <c r="W325" s="189" t="n"/>
      <c r="X325" s="189" t="n"/>
      <c r="Y325" s="189" t="n"/>
      <c r="Z325" s="189" t="n"/>
      <c r="AA325" s="189" t="n"/>
      <c r="AB325" s="189" t="n"/>
      <c r="AC325" s="189" t="n"/>
      <c r="AD325" s="189" t="n"/>
      <c r="AE325" s="189" t="n"/>
      <c r="AF325" s="189" t="n"/>
      <c r="AG325" s="189" t="n"/>
      <c r="AH325" s="189" t="n"/>
      <c r="AI325" s="51" t="inlineStr">
        <is>
          <t>U6X</t>
        </is>
      </c>
    </row>
    <row r="326">
      <c r="B326" s="189" t="n"/>
      <c r="C326" s="189" t="n"/>
      <c r="D326" s="189" t="n"/>
      <c r="E326" s="189" t="n"/>
      <c r="F326" s="189" t="n"/>
      <c r="G326" s="189" t="n"/>
      <c r="H326" s="189" t="n"/>
      <c r="I326" s="189" t="n"/>
      <c r="J326" s="189" t="n"/>
      <c r="K326" s="189" t="n"/>
      <c r="L326" s="189" t="n"/>
      <c r="M326" s="189" t="n"/>
      <c r="N326" s="189" t="n"/>
      <c r="O326" s="189" t="n"/>
      <c r="P326" s="189" t="n"/>
      <c r="Q326" s="189" t="n"/>
      <c r="R326" s="189" t="n"/>
      <c r="S326" s="189" t="n"/>
      <c r="T326" s="189" t="n"/>
      <c r="U326" s="189" t="n"/>
      <c r="V326" s="189" t="n"/>
      <c r="W326" s="189" t="n"/>
      <c r="X326" s="189" t="n"/>
      <c r="Y326" s="189" t="n"/>
      <c r="Z326" s="189" t="n"/>
      <c r="AA326" s="189" t="n"/>
      <c r="AB326" s="189" t="n"/>
      <c r="AC326" s="189" t="n"/>
      <c r="AD326" s="189" t="n"/>
      <c r="AE326" s="189" t="n"/>
      <c r="AF326" s="189" t="n"/>
      <c r="AG326" s="189" t="n"/>
      <c r="AH326" s="189" t="n"/>
      <c r="AI326" s="51" t="inlineStr">
        <is>
          <t>U6Y</t>
        </is>
      </c>
    </row>
    <row r="327">
      <c r="B327" s="189" t="n"/>
      <c r="C327" s="189" t="n"/>
      <c r="D327" s="189" t="n"/>
      <c r="E327" s="189" t="n"/>
      <c r="F327" s="189" t="n"/>
      <c r="G327" s="189" t="n"/>
      <c r="H327" s="189" t="n"/>
      <c r="I327" s="189" t="n"/>
      <c r="J327" s="189" t="n"/>
      <c r="K327" s="189" t="n"/>
      <c r="L327" s="189" t="n"/>
      <c r="M327" s="189" t="n"/>
      <c r="N327" s="189" t="n"/>
      <c r="O327" s="189" t="n"/>
      <c r="P327" s="189" t="n"/>
      <c r="Q327" s="189" t="n"/>
      <c r="R327" s="189" t="n"/>
      <c r="S327" s="189" t="n"/>
      <c r="T327" s="189" t="n"/>
      <c r="U327" s="189" t="n"/>
      <c r="V327" s="189" t="n"/>
      <c r="W327" s="189" t="n"/>
      <c r="X327" s="189" t="n"/>
      <c r="Y327" s="189" t="n"/>
      <c r="Z327" s="189" t="n"/>
      <c r="AA327" s="189" t="n"/>
      <c r="AB327" s="189" t="n"/>
      <c r="AC327" s="189" t="n"/>
      <c r="AD327" s="189" t="n"/>
      <c r="AE327" s="189" t="n"/>
      <c r="AF327" s="189" t="n"/>
      <c r="AG327" s="189" t="n"/>
      <c r="AH327" s="189" t="n"/>
      <c r="AI327" s="51" t="inlineStr">
        <is>
          <t>U6θ</t>
        </is>
      </c>
    </row>
    <row r="328">
      <c r="B328" s="189" t="n"/>
      <c r="C328" s="189" t="n"/>
      <c r="D328" s="189" t="n"/>
      <c r="E328" s="189" t="n"/>
      <c r="F328" s="189" t="n"/>
      <c r="G328" s="189" t="n"/>
      <c r="H328" s="189" t="n"/>
      <c r="I328" s="189" t="n"/>
      <c r="J328" s="189" t="n"/>
      <c r="K328" s="189" t="n"/>
      <c r="L328" s="189" t="n"/>
      <c r="M328" s="189" t="n"/>
      <c r="N328" s="189" t="n"/>
      <c r="O328" s="189" t="n"/>
      <c r="P328" s="189" t="n"/>
      <c r="Q328" s="189" t="n"/>
      <c r="R328" s="189" t="n"/>
      <c r="S328" s="189" t="n"/>
      <c r="T328" s="189">
        <f>B302</f>
        <v/>
      </c>
      <c r="U328" s="189">
        <f>C302</f>
        <v/>
      </c>
      <c r="V328" s="189">
        <f>D302</f>
        <v/>
      </c>
      <c r="W328" s="189">
        <f>E302</f>
        <v/>
      </c>
      <c r="X328" s="189">
        <f>F302</f>
        <v/>
      </c>
      <c r="Y328" s="189">
        <f>G302</f>
        <v/>
      </c>
      <c r="Z328" s="189" t="n"/>
      <c r="AA328" s="189" t="n"/>
      <c r="AB328" s="189" t="n"/>
      <c r="AC328" s="189" t="n"/>
      <c r="AD328" s="189" t="n"/>
      <c r="AE328" s="189" t="n"/>
      <c r="AF328" s="189" t="n"/>
      <c r="AG328" s="189" t="n"/>
      <c r="AH328" s="189" t="n"/>
      <c r="AI328" s="51" t="inlineStr">
        <is>
          <t>U7X</t>
        </is>
      </c>
    </row>
    <row r="329">
      <c r="B329" s="189" t="n"/>
      <c r="C329" s="189" t="n"/>
      <c r="D329" s="189" t="n"/>
      <c r="E329" s="189" t="n"/>
      <c r="F329" s="189" t="n"/>
      <c r="G329" s="189" t="n"/>
      <c r="H329" s="189" t="n"/>
      <c r="I329" s="189" t="n"/>
      <c r="J329" s="189" t="n"/>
      <c r="K329" s="189" t="n"/>
      <c r="L329" s="189" t="n"/>
      <c r="M329" s="189" t="n"/>
      <c r="N329" s="189" t="n"/>
      <c r="O329" s="189" t="n"/>
      <c r="P329" s="189" t="n"/>
      <c r="Q329" s="189" t="n"/>
      <c r="R329" s="189" t="n"/>
      <c r="S329" s="189" t="n"/>
      <c r="T329" s="189">
        <f>B303</f>
        <v/>
      </c>
      <c r="U329" s="189">
        <f>C303</f>
        <v/>
      </c>
      <c r="V329" s="189">
        <f>D303</f>
        <v/>
      </c>
      <c r="W329" s="189">
        <f>E303</f>
        <v/>
      </c>
      <c r="X329" s="189">
        <f>F303</f>
        <v/>
      </c>
      <c r="Y329" s="189">
        <f>G303</f>
        <v/>
      </c>
      <c r="Z329" s="189" t="n"/>
      <c r="AA329" s="189" t="n"/>
      <c r="AB329" s="189" t="n"/>
      <c r="AC329" s="189" t="n"/>
      <c r="AD329" s="189" t="n"/>
      <c r="AE329" s="189" t="n"/>
      <c r="AF329" s="189" t="n"/>
      <c r="AG329" s="189" t="n"/>
      <c r="AH329" s="189" t="n"/>
      <c r="AI329" s="51" t="inlineStr">
        <is>
          <t>U7Y</t>
        </is>
      </c>
    </row>
    <row r="330">
      <c r="B330" s="189" t="n"/>
      <c r="C330" s="189" t="n"/>
      <c r="D330" s="189" t="n"/>
      <c r="E330" s="189" t="n"/>
      <c r="F330" s="189" t="n"/>
      <c r="G330" s="189" t="n"/>
      <c r="H330" s="189" t="n"/>
      <c r="I330" s="189" t="n"/>
      <c r="J330" s="189" t="n"/>
      <c r="K330" s="189" t="n"/>
      <c r="L330" s="189" t="n"/>
      <c r="M330" s="189" t="n"/>
      <c r="N330" s="189" t="n"/>
      <c r="O330" s="189" t="n"/>
      <c r="P330" s="189" t="n"/>
      <c r="Q330" s="189" t="n"/>
      <c r="R330" s="189" t="n"/>
      <c r="S330" s="189" t="n"/>
      <c r="T330" s="189">
        <f>B304</f>
        <v/>
      </c>
      <c r="U330" s="189">
        <f>C304</f>
        <v/>
      </c>
      <c r="V330" s="189">
        <f>D304</f>
        <v/>
      </c>
      <c r="W330" s="189">
        <f>E304</f>
        <v/>
      </c>
      <c r="X330" s="189">
        <f>F304</f>
        <v/>
      </c>
      <c r="Y330" s="189">
        <f>G304</f>
        <v/>
      </c>
      <c r="Z330" s="189" t="n"/>
      <c r="AA330" s="189" t="n"/>
      <c r="AB330" s="189" t="n"/>
      <c r="AC330" s="189" t="n"/>
      <c r="AD330" s="189" t="n"/>
      <c r="AE330" s="189" t="n"/>
      <c r="AF330" s="189" t="n"/>
      <c r="AG330" s="189" t="n"/>
      <c r="AH330" s="189" t="n"/>
      <c r="AI330" s="51" t="inlineStr">
        <is>
          <t>U7θ</t>
        </is>
      </c>
    </row>
    <row r="331">
      <c r="B331" s="189" t="n"/>
      <c r="C331" s="189" t="n"/>
      <c r="D331" s="189" t="n"/>
      <c r="E331" s="189" t="n"/>
      <c r="F331" s="189" t="n"/>
      <c r="G331" s="189" t="n"/>
      <c r="H331" s="189" t="n"/>
      <c r="I331" s="189" t="n"/>
      <c r="J331" s="189" t="n"/>
      <c r="K331" s="189" t="n"/>
      <c r="L331" s="189" t="n"/>
      <c r="M331" s="189" t="n"/>
      <c r="N331" s="189" t="n"/>
      <c r="O331" s="189" t="n"/>
      <c r="P331" s="189" t="n"/>
      <c r="Q331" s="189" t="n"/>
      <c r="R331" s="189" t="n"/>
      <c r="S331" s="189" t="n"/>
      <c r="T331" s="189">
        <f>B305</f>
        <v/>
      </c>
      <c r="U331" s="189">
        <f>C305</f>
        <v/>
      </c>
      <c r="V331" s="189">
        <f>D305</f>
        <v/>
      </c>
      <c r="W331" s="189">
        <f>E305</f>
        <v/>
      </c>
      <c r="X331" s="189">
        <f>F305</f>
        <v/>
      </c>
      <c r="Y331" s="189">
        <f>G305</f>
        <v/>
      </c>
      <c r="Z331" s="189" t="n"/>
      <c r="AA331" s="189" t="n"/>
      <c r="AB331" s="189" t="n"/>
      <c r="AC331" s="189" t="n"/>
      <c r="AD331" s="189" t="n"/>
      <c r="AE331" s="189" t="n"/>
      <c r="AF331" s="189" t="n"/>
      <c r="AG331" s="189" t="n"/>
      <c r="AH331" s="189" t="n"/>
      <c r="AI331" s="51" t="inlineStr">
        <is>
          <t>U8X</t>
        </is>
      </c>
    </row>
    <row r="332">
      <c r="B332" s="189" t="n"/>
      <c r="C332" s="189" t="n"/>
      <c r="D332" s="189" t="n"/>
      <c r="E332" s="189" t="n"/>
      <c r="F332" s="189" t="n"/>
      <c r="G332" s="189" t="n"/>
      <c r="H332" s="189" t="n"/>
      <c r="I332" s="189" t="n"/>
      <c r="J332" s="189" t="n"/>
      <c r="K332" s="189" t="n"/>
      <c r="L332" s="189" t="n"/>
      <c r="M332" s="189" t="n"/>
      <c r="N332" s="189" t="n"/>
      <c r="O332" s="189" t="n"/>
      <c r="P332" s="189" t="n"/>
      <c r="Q332" s="189" t="n"/>
      <c r="R332" s="189" t="n"/>
      <c r="S332" s="189" t="n"/>
      <c r="T332" s="189">
        <f>B306</f>
        <v/>
      </c>
      <c r="U332" s="189">
        <f>C306</f>
        <v/>
      </c>
      <c r="V332" s="189">
        <f>D306</f>
        <v/>
      </c>
      <c r="W332" s="189">
        <f>E306</f>
        <v/>
      </c>
      <c r="X332" s="189">
        <f>F306</f>
        <v/>
      </c>
      <c r="Y332" s="189">
        <f>G306</f>
        <v/>
      </c>
      <c r="Z332" s="189" t="n"/>
      <c r="AA332" s="189" t="n"/>
      <c r="AB332" s="189" t="n"/>
      <c r="AC332" s="189" t="n"/>
      <c r="AD332" s="189" t="n"/>
      <c r="AE332" s="189" t="n"/>
      <c r="AF332" s="189" t="n"/>
      <c r="AG332" s="189" t="n"/>
      <c r="AH332" s="189" t="n"/>
      <c r="AI332" s="51" t="inlineStr">
        <is>
          <t>U8Y</t>
        </is>
      </c>
    </row>
    <row r="333">
      <c r="B333" s="189" t="n"/>
      <c r="C333" s="189" t="n"/>
      <c r="D333" s="189" t="n"/>
      <c r="E333" s="189" t="n"/>
      <c r="F333" s="189" t="n"/>
      <c r="G333" s="189" t="n"/>
      <c r="H333" s="189" t="n"/>
      <c r="I333" s="189" t="n"/>
      <c r="J333" s="189" t="n"/>
      <c r="K333" s="189" t="n"/>
      <c r="L333" s="189" t="n"/>
      <c r="M333" s="189" t="n"/>
      <c r="N333" s="189" t="n"/>
      <c r="O333" s="189" t="n"/>
      <c r="P333" s="189" t="n"/>
      <c r="Q333" s="189" t="n"/>
      <c r="R333" s="189" t="n"/>
      <c r="S333" s="189" t="n"/>
      <c r="T333" s="189">
        <f>B307</f>
        <v/>
      </c>
      <c r="U333" s="189">
        <f>C307</f>
        <v/>
      </c>
      <c r="V333" s="189">
        <f>D307</f>
        <v/>
      </c>
      <c r="W333" s="189">
        <f>E307</f>
        <v/>
      </c>
      <c r="X333" s="189">
        <f>F307</f>
        <v/>
      </c>
      <c r="Y333" s="189">
        <f>G307</f>
        <v/>
      </c>
      <c r="Z333" s="189" t="n"/>
      <c r="AA333" s="189" t="n"/>
      <c r="AB333" s="189" t="n"/>
      <c r="AC333" s="189" t="n"/>
      <c r="AD333" s="189" t="n"/>
      <c r="AE333" s="189" t="n"/>
      <c r="AF333" s="189" t="n"/>
      <c r="AG333" s="189" t="n"/>
      <c r="AH333" s="189" t="n"/>
      <c r="AI333" s="51" t="inlineStr">
        <is>
          <t>U8θ</t>
        </is>
      </c>
    </row>
    <row r="334">
      <c r="B334" s="189" t="n"/>
      <c r="C334" s="189" t="n"/>
      <c r="D334" s="189" t="n"/>
      <c r="E334" s="189" t="n"/>
      <c r="F334" s="189" t="n"/>
      <c r="G334" s="189" t="n"/>
      <c r="H334" s="189" t="n"/>
      <c r="I334" s="189" t="n"/>
      <c r="J334" s="189" t="n"/>
      <c r="K334" s="189" t="n"/>
      <c r="L334" s="189" t="n"/>
      <c r="M334" s="189" t="n"/>
      <c r="N334" s="189" t="n"/>
      <c r="O334" s="189" t="n"/>
      <c r="P334" s="189" t="n"/>
      <c r="Q334" s="189" t="n"/>
      <c r="R334" s="189" t="n"/>
      <c r="S334" s="189" t="n"/>
      <c r="T334" s="189" t="n"/>
      <c r="U334" s="189" t="n"/>
      <c r="V334" s="189" t="n"/>
      <c r="W334" s="189" t="n"/>
      <c r="X334" s="189" t="n"/>
      <c r="Y334" s="189" t="n"/>
      <c r="Z334" s="189" t="n"/>
      <c r="AA334" s="189" t="n"/>
      <c r="AB334" s="189" t="n"/>
      <c r="AC334" s="189" t="n"/>
      <c r="AD334" s="189" t="n"/>
      <c r="AE334" s="189" t="n"/>
      <c r="AF334" s="189" t="n"/>
      <c r="AG334" s="189" t="n"/>
      <c r="AH334" s="189" t="n"/>
      <c r="AI334" s="51" t="inlineStr">
        <is>
          <t>U9X</t>
        </is>
      </c>
    </row>
    <row r="335">
      <c r="B335" s="189" t="n"/>
      <c r="C335" s="189" t="n"/>
      <c r="D335" s="189" t="n"/>
      <c r="E335" s="189" t="n"/>
      <c r="F335" s="189" t="n"/>
      <c r="G335" s="189" t="n"/>
      <c r="H335" s="189" t="n"/>
      <c r="I335" s="189" t="n"/>
      <c r="J335" s="189" t="n"/>
      <c r="K335" s="189" t="n"/>
      <c r="L335" s="189" t="n"/>
      <c r="M335" s="189" t="n"/>
      <c r="N335" s="189" t="n"/>
      <c r="O335" s="189" t="n"/>
      <c r="P335" s="189" t="n"/>
      <c r="Q335" s="189" t="n"/>
      <c r="R335" s="189" t="n"/>
      <c r="S335" s="189" t="n"/>
      <c r="T335" s="189" t="n"/>
      <c r="U335" s="189" t="n"/>
      <c r="V335" s="189" t="n"/>
      <c r="W335" s="189" t="n"/>
      <c r="X335" s="189" t="n"/>
      <c r="Y335" s="189" t="n"/>
      <c r="Z335" s="189" t="n"/>
      <c r="AA335" s="189" t="n"/>
      <c r="AB335" s="189" t="n"/>
      <c r="AC335" s="189" t="n"/>
      <c r="AD335" s="189" t="n"/>
      <c r="AE335" s="189" t="n"/>
      <c r="AF335" s="189" t="n"/>
      <c r="AG335" s="189" t="n"/>
      <c r="AH335" s="189" t="n"/>
      <c r="AI335" s="51" t="inlineStr">
        <is>
          <t>U9Y</t>
        </is>
      </c>
    </row>
    <row r="336">
      <c r="B336" s="189" t="n"/>
      <c r="C336" s="189" t="n"/>
      <c r="D336" s="189" t="n"/>
      <c r="E336" s="189" t="n"/>
      <c r="F336" s="189" t="n"/>
      <c r="G336" s="189" t="n"/>
      <c r="H336" s="189" t="n"/>
      <c r="I336" s="189" t="n"/>
      <c r="J336" s="189" t="n"/>
      <c r="K336" s="189" t="n"/>
      <c r="L336" s="189" t="n"/>
      <c r="M336" s="189" t="n"/>
      <c r="N336" s="189" t="n"/>
      <c r="O336" s="189" t="n"/>
      <c r="P336" s="189" t="n"/>
      <c r="Q336" s="189" t="n"/>
      <c r="R336" s="189" t="n"/>
      <c r="S336" s="189" t="n"/>
      <c r="T336" s="189" t="n"/>
      <c r="U336" s="189" t="n"/>
      <c r="V336" s="189" t="n"/>
      <c r="W336" s="189" t="n"/>
      <c r="X336" s="189" t="n"/>
      <c r="Y336" s="189" t="n"/>
      <c r="Z336" s="189" t="n"/>
      <c r="AA336" s="189" t="n"/>
      <c r="AB336" s="189" t="n"/>
      <c r="AC336" s="189" t="n"/>
      <c r="AD336" s="189" t="n"/>
      <c r="AE336" s="189" t="n"/>
      <c r="AF336" s="189" t="n"/>
      <c r="AG336" s="189" t="n"/>
      <c r="AH336" s="189" t="n"/>
      <c r="AI336" s="51" t="inlineStr">
        <is>
          <t>U9θ</t>
        </is>
      </c>
    </row>
    <row r="337">
      <c r="B337" s="189" t="n"/>
      <c r="C337" s="189" t="n"/>
      <c r="D337" s="189" t="n"/>
      <c r="E337" s="189" t="n"/>
      <c r="F337" s="189" t="n"/>
      <c r="G337" s="189" t="n"/>
      <c r="H337" s="189" t="n"/>
      <c r="I337" s="189" t="n"/>
      <c r="J337" s="189" t="n"/>
      <c r="K337" s="189" t="n"/>
      <c r="L337" s="189" t="n"/>
      <c r="M337" s="189" t="n"/>
      <c r="N337" s="189" t="n"/>
      <c r="O337" s="189" t="n"/>
      <c r="P337" s="189" t="n"/>
      <c r="Q337" s="189" t="n"/>
      <c r="R337" s="189" t="n"/>
      <c r="S337" s="189" t="n"/>
      <c r="T337" s="189" t="n"/>
      <c r="U337" s="189" t="n"/>
      <c r="V337" s="189" t="n"/>
      <c r="W337" s="189" t="n"/>
      <c r="X337" s="189" t="n"/>
      <c r="Y337" s="189" t="n"/>
      <c r="Z337" s="189" t="n"/>
      <c r="AA337" s="189" t="n"/>
      <c r="AB337" s="189" t="n"/>
      <c r="AC337" s="189" t="n"/>
      <c r="AD337" s="189" t="n"/>
      <c r="AE337" s="189" t="n"/>
      <c r="AF337" s="189" t="n"/>
      <c r="AG337" s="189" t="n"/>
      <c r="AH337" s="189" t="n"/>
      <c r="AI337" s="51" t="inlineStr">
        <is>
          <t>U10X</t>
        </is>
      </c>
    </row>
    <row r="338">
      <c r="B338" s="189" t="n"/>
      <c r="C338" s="189" t="n"/>
      <c r="D338" s="189" t="n"/>
      <c r="E338" s="189" t="n"/>
      <c r="F338" s="189" t="n"/>
      <c r="G338" s="189" t="n"/>
      <c r="H338" s="189" t="n"/>
      <c r="I338" s="189" t="n"/>
      <c r="J338" s="189" t="n"/>
      <c r="K338" s="189" t="n"/>
      <c r="L338" s="189" t="n"/>
      <c r="M338" s="189" t="n"/>
      <c r="N338" s="189" t="n"/>
      <c r="O338" s="189" t="n"/>
      <c r="P338" s="189" t="n"/>
      <c r="Q338" s="189" t="n"/>
      <c r="R338" s="189" t="n"/>
      <c r="S338" s="189" t="n"/>
      <c r="T338" s="189" t="n"/>
      <c r="U338" s="189" t="n"/>
      <c r="V338" s="189" t="n"/>
      <c r="W338" s="189" t="n"/>
      <c r="X338" s="189" t="n"/>
      <c r="Y338" s="189" t="n"/>
      <c r="Z338" s="189" t="n"/>
      <c r="AA338" s="189" t="n"/>
      <c r="AB338" s="189" t="n"/>
      <c r="AC338" s="189" t="n"/>
      <c r="AD338" s="189" t="n"/>
      <c r="AE338" s="189" t="n"/>
      <c r="AF338" s="189" t="n"/>
      <c r="AG338" s="189" t="n"/>
      <c r="AH338" s="189" t="n"/>
      <c r="AI338" s="51" t="inlineStr">
        <is>
          <t>U10Y</t>
        </is>
      </c>
    </row>
    <row r="339">
      <c r="B339" s="189" t="n"/>
      <c r="C339" s="189" t="n"/>
      <c r="D339" s="189" t="n"/>
      <c r="E339" s="189" t="n"/>
      <c r="F339" s="189" t="n"/>
      <c r="G339" s="189" t="n"/>
      <c r="H339" s="189" t="n"/>
      <c r="I339" s="189" t="n"/>
      <c r="J339" s="189" t="n"/>
      <c r="K339" s="189" t="n"/>
      <c r="L339" s="189" t="n"/>
      <c r="M339" s="189" t="n"/>
      <c r="N339" s="189" t="n"/>
      <c r="O339" s="189" t="n"/>
      <c r="P339" s="189" t="n"/>
      <c r="Q339" s="189" t="n"/>
      <c r="R339" s="189" t="n"/>
      <c r="S339" s="189" t="n"/>
      <c r="T339" s="189" t="n"/>
      <c r="U339" s="189" t="n"/>
      <c r="V339" s="189" t="n"/>
      <c r="W339" s="189" t="n"/>
      <c r="X339" s="189" t="n"/>
      <c r="Y339" s="189" t="n"/>
      <c r="Z339" s="189" t="n"/>
      <c r="AA339" s="189" t="n"/>
      <c r="AB339" s="189" t="n"/>
      <c r="AC339" s="189" t="n"/>
      <c r="AD339" s="189" t="n"/>
      <c r="AE339" s="189" t="n"/>
      <c r="AF339" s="189" t="n"/>
      <c r="AG339" s="189" t="n"/>
      <c r="AH339" s="189" t="n"/>
      <c r="AI339" s="51" t="inlineStr">
        <is>
          <t>U10θ</t>
        </is>
      </c>
    </row>
    <row r="340">
      <c r="B340" s="189" t="n"/>
      <c r="C340" s="189" t="n"/>
      <c r="D340" s="189" t="n"/>
      <c r="E340" s="189" t="n"/>
      <c r="F340" s="189" t="n"/>
      <c r="G340" s="189" t="n"/>
      <c r="H340" s="189" t="n"/>
      <c r="I340" s="189" t="n"/>
      <c r="J340" s="189" t="n"/>
      <c r="K340" s="189" t="n"/>
      <c r="L340" s="189" t="n"/>
      <c r="M340" s="189" t="n"/>
      <c r="N340" s="189" t="n"/>
      <c r="O340" s="189" t="n"/>
      <c r="P340" s="189" t="n"/>
      <c r="Q340" s="189" t="n"/>
      <c r="R340" s="189" t="n"/>
      <c r="S340" s="189" t="n"/>
      <c r="T340" s="189" t="n"/>
      <c r="U340" s="189" t="n"/>
      <c r="V340" s="189" t="n"/>
      <c r="W340" s="189" t="n"/>
      <c r="X340" s="189" t="n"/>
      <c r="Y340" s="189" t="n"/>
      <c r="Z340" s="189" t="n"/>
      <c r="AA340" s="189" t="n"/>
      <c r="AB340" s="189" t="n"/>
      <c r="AC340" s="189" t="n"/>
      <c r="AD340" s="189" t="n"/>
      <c r="AE340" s="189" t="n"/>
      <c r="AF340" s="189" t="n"/>
      <c r="AG340" s="189" t="n"/>
      <c r="AH340" s="189" t="n"/>
      <c r="AI340" s="51" t="inlineStr">
        <is>
          <t>U11X</t>
        </is>
      </c>
    </row>
    <row r="341">
      <c r="B341" s="189" t="n"/>
      <c r="C341" s="189" t="n"/>
      <c r="D341" s="189" t="n"/>
      <c r="E341" s="189" t="n"/>
      <c r="F341" s="189" t="n"/>
      <c r="G341" s="189" t="n"/>
      <c r="H341" s="189" t="n"/>
      <c r="I341" s="189" t="n"/>
      <c r="J341" s="189" t="n"/>
      <c r="K341" s="189" t="n"/>
      <c r="L341" s="189" t="n"/>
      <c r="M341" s="189" t="n"/>
      <c r="N341" s="189" t="n"/>
      <c r="O341" s="189" t="n"/>
      <c r="P341" s="189" t="n"/>
      <c r="Q341" s="189" t="n"/>
      <c r="R341" s="189" t="n"/>
      <c r="S341" s="189" t="n"/>
      <c r="T341" s="189" t="n"/>
      <c r="U341" s="189" t="n"/>
      <c r="V341" s="189" t="n"/>
      <c r="W341" s="189" t="n"/>
      <c r="X341" s="189" t="n"/>
      <c r="Y341" s="189" t="n"/>
      <c r="Z341" s="189" t="n"/>
      <c r="AA341" s="189" t="n"/>
      <c r="AB341" s="189" t="n"/>
      <c r="AC341" s="189" t="n"/>
      <c r="AD341" s="189" t="n"/>
      <c r="AE341" s="189" t="n"/>
      <c r="AF341" s="189" t="n"/>
      <c r="AG341" s="189" t="n"/>
      <c r="AH341" s="189" t="n"/>
      <c r="AI341" s="51" t="inlineStr">
        <is>
          <t>U11Y</t>
        </is>
      </c>
    </row>
    <row r="342">
      <c r="B342" s="189" t="n"/>
      <c r="C342" s="189" t="n"/>
      <c r="D342" s="189" t="n"/>
      <c r="E342" s="189" t="n"/>
      <c r="F342" s="189" t="n"/>
      <c r="G342" s="189" t="n"/>
      <c r="H342" s="189" t="n"/>
      <c r="I342" s="189" t="n"/>
      <c r="J342" s="189" t="n"/>
      <c r="K342" s="189" t="n"/>
      <c r="L342" s="189" t="n"/>
      <c r="M342" s="189" t="n"/>
      <c r="N342" s="189" t="n"/>
      <c r="O342" s="189" t="n"/>
      <c r="P342" s="189" t="n"/>
      <c r="Q342" s="189" t="n"/>
      <c r="R342" s="189" t="n"/>
      <c r="S342" s="189" t="n"/>
      <c r="T342" s="189" t="n"/>
      <c r="U342" s="189" t="n"/>
      <c r="V342" s="189" t="n"/>
      <c r="W342" s="189" t="n"/>
      <c r="X342" s="189" t="n"/>
      <c r="Y342" s="189" t="n"/>
      <c r="Z342" s="189" t="n"/>
      <c r="AA342" s="189" t="n"/>
      <c r="AB342" s="189" t="n"/>
      <c r="AC342" s="189" t="n"/>
      <c r="AD342" s="189" t="n"/>
      <c r="AE342" s="189" t="n"/>
      <c r="AF342" s="189" t="n"/>
      <c r="AG342" s="189" t="n"/>
      <c r="AH342" s="189" t="n"/>
      <c r="AI342" s="51" t="inlineStr">
        <is>
          <t>U11θ</t>
        </is>
      </c>
    </row>
    <row r="344">
      <c r="B344" s="51">
        <f>IF(C38="","", CONCATENATE("U",C38,C$30))</f>
        <v/>
      </c>
      <c r="C344" s="51">
        <f>IF(D38="","", CONCATENATE("U",D38,D$30))</f>
        <v/>
      </c>
      <c r="D344" s="51">
        <f>IF(E38="","", CONCATENATE("U",E38,E$30))</f>
        <v/>
      </c>
      <c r="E344" s="51">
        <f>IF(F38="","", CONCATENATE("U",F38,F$30))</f>
        <v/>
      </c>
      <c r="F344" s="51">
        <f>IF(G38="","", CONCATENATE("U",G38,G$30))</f>
        <v/>
      </c>
      <c r="G344" s="51">
        <f>IF(H38="","", CONCATENATE("U",H38,H$30))</f>
        <v/>
      </c>
    </row>
    <row r="345">
      <c r="B345" s="8">
        <f>IF(I25="", 0, M25*K25*K25+N25*L25*L25)</f>
        <v/>
      </c>
      <c r="C345" s="189">
        <f>IF(I25="", 0, (M25-N25)*(K25*L25))</f>
        <v/>
      </c>
      <c r="D345" s="189">
        <f>IF(I25="", 0, -O25*L25)</f>
        <v/>
      </c>
      <c r="E345" s="189">
        <f>-B345</f>
        <v/>
      </c>
      <c r="F345" s="189">
        <f>-C345</f>
        <v/>
      </c>
      <c r="G345" s="189">
        <f>D345</f>
        <v/>
      </c>
      <c r="H345" s="51">
        <f>B344</f>
        <v/>
      </c>
    </row>
    <row r="346">
      <c r="B346" s="189">
        <f>C345</f>
        <v/>
      </c>
      <c r="C346" s="8">
        <f>IF(I25="", 0, M25*L25*L25+N25*K25*K25)</f>
        <v/>
      </c>
      <c r="D346" s="189">
        <f>IF(I25="", 0, O25*K25)</f>
        <v/>
      </c>
      <c r="E346" s="189">
        <f>-B346</f>
        <v/>
      </c>
      <c r="F346" s="189">
        <f>-C346</f>
        <v/>
      </c>
      <c r="G346" s="189">
        <f>D346</f>
        <v/>
      </c>
      <c r="H346" s="51">
        <f>C344</f>
        <v/>
      </c>
    </row>
    <row r="347">
      <c r="A347" s="118" t="inlineStr">
        <is>
          <t>K8 =</t>
        </is>
      </c>
      <c r="B347" s="189">
        <f>D345</f>
        <v/>
      </c>
      <c r="C347" s="189">
        <f>D346</f>
        <v/>
      </c>
      <c r="D347" s="8">
        <f>IF(I25="", 0, P25)</f>
        <v/>
      </c>
      <c r="E347" s="189">
        <f>-B347</f>
        <v/>
      </c>
      <c r="F347" s="189">
        <f>-C347</f>
        <v/>
      </c>
      <c r="G347" s="189">
        <f>IF(I25="", 0, Q25)</f>
        <v/>
      </c>
      <c r="H347" s="51">
        <f>D344</f>
        <v/>
      </c>
    </row>
    <row r="348">
      <c r="B348" s="189">
        <f>E345</f>
        <v/>
      </c>
      <c r="C348" s="189">
        <f>E346</f>
        <v/>
      </c>
      <c r="D348" s="189">
        <f>E347</f>
        <v/>
      </c>
      <c r="E348" s="8">
        <f>B345</f>
        <v/>
      </c>
      <c r="F348" s="189">
        <f>C345</f>
        <v/>
      </c>
      <c r="G348" s="189">
        <f>-D345</f>
        <v/>
      </c>
      <c r="H348" s="51">
        <f>E344</f>
        <v/>
      </c>
    </row>
    <row r="349">
      <c r="B349" s="189">
        <f>F345</f>
        <v/>
      </c>
      <c r="C349" s="189">
        <f>F346</f>
        <v/>
      </c>
      <c r="D349" s="189">
        <f>F347</f>
        <v/>
      </c>
      <c r="E349" s="189">
        <f>F348</f>
        <v/>
      </c>
      <c r="F349" s="8">
        <f>C346</f>
        <v/>
      </c>
      <c r="G349" s="189">
        <f>-D346</f>
        <v/>
      </c>
      <c r="H349" s="51">
        <f>F344</f>
        <v/>
      </c>
    </row>
    <row r="350">
      <c r="B350" s="189">
        <f>G345</f>
        <v/>
      </c>
      <c r="C350" s="189">
        <f>G346</f>
        <v/>
      </c>
      <c r="D350" s="189">
        <f>G347</f>
        <v/>
      </c>
      <c r="E350" s="189">
        <f>G348</f>
        <v/>
      </c>
      <c r="F350" s="189">
        <f>G349</f>
        <v/>
      </c>
      <c r="G350" s="8">
        <f>D347</f>
        <v/>
      </c>
      <c r="H350" s="51">
        <f>G344</f>
        <v/>
      </c>
    </row>
    <row r="352">
      <c r="B352" s="51" t="inlineStr">
        <is>
          <t>U1X</t>
        </is>
      </c>
      <c r="C352" s="51" t="inlineStr">
        <is>
          <t>U1Y</t>
        </is>
      </c>
      <c r="D352" s="51" t="inlineStr">
        <is>
          <t>U1θ</t>
        </is>
      </c>
      <c r="E352" s="51" t="inlineStr">
        <is>
          <t>U2X</t>
        </is>
      </c>
      <c r="F352" s="51" t="inlineStr">
        <is>
          <t>U2Y</t>
        </is>
      </c>
      <c r="G352" s="51" t="inlineStr">
        <is>
          <t>U2θ</t>
        </is>
      </c>
      <c r="H352" s="51" t="inlineStr">
        <is>
          <t>U3X</t>
        </is>
      </c>
      <c r="I352" s="51" t="inlineStr">
        <is>
          <t>U3Y</t>
        </is>
      </c>
      <c r="J352" s="51" t="inlineStr">
        <is>
          <t>U3θ</t>
        </is>
      </c>
      <c r="K352" s="51" t="inlineStr">
        <is>
          <t>U4X</t>
        </is>
      </c>
      <c r="L352" s="51" t="inlineStr">
        <is>
          <t>U4Y</t>
        </is>
      </c>
      <c r="M352" s="51" t="inlineStr">
        <is>
          <t>U4θ</t>
        </is>
      </c>
      <c r="N352" s="51" t="inlineStr">
        <is>
          <t>U5X</t>
        </is>
      </c>
      <c r="O352" s="51" t="inlineStr">
        <is>
          <t>U5Y</t>
        </is>
      </c>
      <c r="P352" s="51" t="inlineStr">
        <is>
          <t>U5θ</t>
        </is>
      </c>
      <c r="Q352" s="51" t="inlineStr">
        <is>
          <t>U6X</t>
        </is>
      </c>
      <c r="R352" s="51" t="inlineStr">
        <is>
          <t>U6Y</t>
        </is>
      </c>
      <c r="S352" s="51" t="inlineStr">
        <is>
          <t>U6θ</t>
        </is>
      </c>
      <c r="T352" s="51" t="inlineStr">
        <is>
          <t>U7X</t>
        </is>
      </c>
      <c r="U352" s="51" t="inlineStr">
        <is>
          <t>U7Y</t>
        </is>
      </c>
      <c r="V352" s="51" t="inlineStr">
        <is>
          <t>U7θ</t>
        </is>
      </c>
      <c r="W352" s="51" t="inlineStr">
        <is>
          <t>U8X</t>
        </is>
      </c>
      <c r="X352" s="51" t="inlineStr">
        <is>
          <t>U8Y</t>
        </is>
      </c>
      <c r="Y352" s="51" t="inlineStr">
        <is>
          <t>U8θ</t>
        </is>
      </c>
      <c r="Z352" s="51" t="inlineStr">
        <is>
          <t>U9X</t>
        </is>
      </c>
      <c r="AA352" s="51" t="inlineStr">
        <is>
          <t>U9Y</t>
        </is>
      </c>
      <c r="AB352" s="51" t="inlineStr">
        <is>
          <t>U9θ</t>
        </is>
      </c>
      <c r="AC352" s="51" t="inlineStr">
        <is>
          <t>U10X</t>
        </is>
      </c>
      <c r="AD352" s="51" t="inlineStr">
        <is>
          <t>U10Y</t>
        </is>
      </c>
      <c r="AE352" s="51" t="inlineStr">
        <is>
          <t>U10θ</t>
        </is>
      </c>
      <c r="AF352" s="51" t="inlineStr">
        <is>
          <t>U11X</t>
        </is>
      </c>
      <c r="AG352" s="51" t="inlineStr">
        <is>
          <t>U11Y</t>
        </is>
      </c>
      <c r="AH352" s="51" t="inlineStr">
        <is>
          <t>U11θ</t>
        </is>
      </c>
    </row>
    <row r="353">
      <c r="B353" s="189" t="n"/>
      <c r="C353" s="189" t="n"/>
      <c r="D353" s="189" t="n"/>
      <c r="E353" s="189" t="n"/>
      <c r="F353" s="189" t="n"/>
      <c r="G353" s="189" t="n"/>
      <c r="H353" s="189" t="n"/>
      <c r="I353" s="189" t="n"/>
      <c r="J353" s="189" t="n"/>
      <c r="K353" s="189" t="n"/>
      <c r="L353" s="189" t="n"/>
      <c r="M353" s="189" t="n"/>
      <c r="N353" s="189" t="n"/>
      <c r="O353" s="189" t="n"/>
      <c r="P353" s="189" t="n"/>
      <c r="Q353" s="189" t="n"/>
      <c r="R353" s="189" t="n"/>
      <c r="S353" s="189" t="n"/>
      <c r="T353" s="189" t="n"/>
      <c r="U353" s="189" t="n"/>
      <c r="V353" s="189" t="n"/>
      <c r="W353" s="189" t="n"/>
      <c r="X353" s="189" t="n"/>
      <c r="Y353" s="189" t="n"/>
      <c r="Z353" s="189" t="n"/>
      <c r="AA353" s="189" t="n"/>
      <c r="AB353" s="189" t="n"/>
      <c r="AC353" s="189" t="n"/>
      <c r="AD353" s="189" t="n"/>
      <c r="AE353" s="189" t="n"/>
      <c r="AF353" s="189" t="n"/>
      <c r="AG353" s="189" t="n"/>
      <c r="AH353" s="189" t="n"/>
      <c r="AI353" s="51" t="inlineStr">
        <is>
          <t>U1X</t>
        </is>
      </c>
    </row>
    <row r="354">
      <c r="B354" s="189" t="n"/>
      <c r="C354" s="189" t="n"/>
      <c r="D354" s="189" t="n"/>
      <c r="E354" s="189" t="n"/>
      <c r="F354" s="189" t="n"/>
      <c r="G354" s="189" t="n"/>
      <c r="H354" s="189" t="n"/>
      <c r="I354" s="189" t="n"/>
      <c r="J354" s="189" t="n"/>
      <c r="K354" s="189" t="n"/>
      <c r="L354" s="189" t="n"/>
      <c r="M354" s="189" t="n"/>
      <c r="N354" s="189" t="n"/>
      <c r="O354" s="189" t="n"/>
      <c r="P354" s="189" t="n"/>
      <c r="Q354" s="189" t="n"/>
      <c r="R354" s="189" t="n"/>
      <c r="S354" s="189" t="n"/>
      <c r="T354" s="189" t="n"/>
      <c r="U354" s="189" t="n"/>
      <c r="V354" s="189" t="n"/>
      <c r="W354" s="189" t="n"/>
      <c r="X354" s="189" t="n"/>
      <c r="Y354" s="189" t="n"/>
      <c r="Z354" s="189" t="n"/>
      <c r="AA354" s="189" t="n"/>
      <c r="AB354" s="189" t="n"/>
      <c r="AC354" s="189" t="n"/>
      <c r="AD354" s="189" t="n"/>
      <c r="AE354" s="189" t="n"/>
      <c r="AF354" s="189" t="n"/>
      <c r="AG354" s="189" t="n"/>
      <c r="AH354" s="189" t="n"/>
      <c r="AI354" s="51" t="inlineStr">
        <is>
          <t>U1Y</t>
        </is>
      </c>
    </row>
    <row r="355">
      <c r="B355" s="189" t="n"/>
      <c r="C355" s="189" t="n"/>
      <c r="D355" s="189" t="n"/>
      <c r="E355" s="189" t="n"/>
      <c r="F355" s="189" t="n"/>
      <c r="G355" s="189" t="n"/>
      <c r="H355" s="189" t="n"/>
      <c r="I355" s="189" t="n"/>
      <c r="J355" s="189" t="n"/>
      <c r="K355" s="189" t="n"/>
      <c r="L355" s="189" t="n"/>
      <c r="M355" s="189" t="n"/>
      <c r="N355" s="189" t="n"/>
      <c r="O355" s="189" t="n"/>
      <c r="P355" s="189" t="n"/>
      <c r="Q355" s="189" t="n"/>
      <c r="R355" s="189" t="n"/>
      <c r="S355" s="189" t="n"/>
      <c r="T355" s="189" t="n"/>
      <c r="U355" s="189" t="n"/>
      <c r="V355" s="189" t="n"/>
      <c r="W355" s="189" t="n"/>
      <c r="X355" s="189" t="n"/>
      <c r="Y355" s="189" t="n"/>
      <c r="Z355" s="189" t="n"/>
      <c r="AA355" s="189" t="n"/>
      <c r="AB355" s="189" t="n"/>
      <c r="AC355" s="189" t="n"/>
      <c r="AD355" s="189" t="n"/>
      <c r="AE355" s="189" t="n"/>
      <c r="AF355" s="189" t="n"/>
      <c r="AG355" s="189" t="n"/>
      <c r="AH355" s="189" t="n"/>
      <c r="AI355" s="51" t="inlineStr">
        <is>
          <t>U1θ</t>
        </is>
      </c>
    </row>
    <row r="356">
      <c r="B356" s="189" t="n"/>
      <c r="C356" s="189" t="n"/>
      <c r="D356" s="189" t="n"/>
      <c r="E356" s="189" t="n"/>
      <c r="F356" s="189" t="n"/>
      <c r="G356" s="189" t="n"/>
      <c r="H356" s="189" t="n"/>
      <c r="I356" s="189" t="n"/>
      <c r="J356" s="189" t="n"/>
      <c r="K356" s="189" t="n"/>
      <c r="L356" s="189" t="n"/>
      <c r="M356" s="189" t="n"/>
      <c r="N356" s="189" t="n"/>
      <c r="O356" s="189" t="n"/>
      <c r="P356" s="189" t="n"/>
      <c r="Q356" s="189" t="n"/>
      <c r="R356" s="189" t="n"/>
      <c r="S356" s="189" t="n"/>
      <c r="T356" s="189" t="n"/>
      <c r="U356" s="189" t="n"/>
      <c r="V356" s="189" t="n"/>
      <c r="W356" s="189" t="n"/>
      <c r="X356" s="189" t="n"/>
      <c r="Y356" s="189" t="n"/>
      <c r="Z356" s="189" t="n"/>
      <c r="AA356" s="189" t="n"/>
      <c r="AB356" s="189" t="n"/>
      <c r="AC356" s="189" t="n"/>
      <c r="AD356" s="189" t="n"/>
      <c r="AE356" s="189" t="n"/>
      <c r="AF356" s="189" t="n"/>
      <c r="AG356" s="189" t="n"/>
      <c r="AH356" s="189" t="n"/>
      <c r="AI356" s="51" t="inlineStr">
        <is>
          <t>U2X</t>
        </is>
      </c>
    </row>
    <row r="357">
      <c r="B357" s="189" t="n"/>
      <c r="C357" s="189" t="n"/>
      <c r="D357" s="189" t="n"/>
      <c r="E357" s="189" t="n"/>
      <c r="F357" s="189" t="n"/>
      <c r="G357" s="189" t="n"/>
      <c r="H357" s="189" t="n"/>
      <c r="I357" s="189" t="n"/>
      <c r="J357" s="189" t="n"/>
      <c r="K357" s="189" t="n"/>
      <c r="L357" s="189" t="n"/>
      <c r="M357" s="189" t="n"/>
      <c r="N357" s="189" t="n"/>
      <c r="O357" s="189" t="n"/>
      <c r="P357" s="189" t="n"/>
      <c r="Q357" s="189" t="n"/>
      <c r="R357" s="189" t="n"/>
      <c r="S357" s="189" t="n"/>
      <c r="T357" s="189" t="n"/>
      <c r="U357" s="189" t="n"/>
      <c r="V357" s="189" t="n"/>
      <c r="W357" s="189" t="n"/>
      <c r="X357" s="189" t="n"/>
      <c r="Y357" s="189" t="n"/>
      <c r="Z357" s="189" t="n"/>
      <c r="AA357" s="189" t="n"/>
      <c r="AB357" s="189" t="n"/>
      <c r="AC357" s="189" t="n"/>
      <c r="AD357" s="189" t="n"/>
      <c r="AE357" s="189" t="n"/>
      <c r="AF357" s="189" t="n"/>
      <c r="AG357" s="189" t="n"/>
      <c r="AH357" s="189" t="n"/>
      <c r="AI357" s="51" t="inlineStr">
        <is>
          <t>U2Y</t>
        </is>
      </c>
    </row>
    <row r="358">
      <c r="B358" s="189" t="n"/>
      <c r="C358" s="189" t="n"/>
      <c r="D358" s="189" t="n"/>
      <c r="E358" s="189" t="n"/>
      <c r="F358" s="189" t="n"/>
      <c r="G358" s="189" t="n"/>
      <c r="H358" s="189" t="n"/>
      <c r="I358" s="189" t="n"/>
      <c r="J358" s="189" t="n"/>
      <c r="K358" s="189" t="n"/>
      <c r="L358" s="189" t="n"/>
      <c r="M358" s="189" t="n"/>
      <c r="N358" s="189" t="n"/>
      <c r="O358" s="189" t="n"/>
      <c r="P358" s="189" t="n"/>
      <c r="Q358" s="189" t="n"/>
      <c r="R358" s="189" t="n"/>
      <c r="S358" s="189" t="n"/>
      <c r="T358" s="189" t="n"/>
      <c r="U358" s="189" t="n"/>
      <c r="V358" s="189" t="n"/>
      <c r="W358" s="189" t="n"/>
      <c r="X358" s="189" t="n"/>
      <c r="Y358" s="189" t="n"/>
      <c r="Z358" s="189" t="n"/>
      <c r="AA358" s="189" t="n"/>
      <c r="AB358" s="189" t="n"/>
      <c r="AC358" s="189" t="n"/>
      <c r="AD358" s="189" t="n"/>
      <c r="AE358" s="189" t="n"/>
      <c r="AF358" s="189" t="n"/>
      <c r="AG358" s="189" t="n"/>
      <c r="AH358" s="189" t="n"/>
      <c r="AI358" s="51" t="inlineStr">
        <is>
          <t>U2θ</t>
        </is>
      </c>
    </row>
    <row r="359">
      <c r="B359" s="189" t="n"/>
      <c r="C359" s="189" t="n"/>
      <c r="D359" s="189" t="n"/>
      <c r="E359" s="189" t="n"/>
      <c r="F359" s="189" t="n"/>
      <c r="G359" s="189" t="n"/>
      <c r="H359" s="189" t="n"/>
      <c r="I359" s="189" t="n"/>
      <c r="J359" s="189" t="n"/>
      <c r="K359" s="189" t="n"/>
      <c r="L359" s="189" t="n"/>
      <c r="M359" s="189" t="n"/>
      <c r="N359" s="189" t="n"/>
      <c r="O359" s="189" t="n"/>
      <c r="P359" s="189" t="n"/>
      <c r="Q359" s="189" t="n"/>
      <c r="R359" s="189" t="n"/>
      <c r="S359" s="189" t="n"/>
      <c r="T359" s="189" t="n"/>
      <c r="U359" s="189" t="n"/>
      <c r="V359" s="189" t="n"/>
      <c r="W359" s="189" t="n"/>
      <c r="X359" s="189" t="n"/>
      <c r="Y359" s="189" t="n"/>
      <c r="Z359" s="189" t="n"/>
      <c r="AA359" s="189" t="n"/>
      <c r="AB359" s="189" t="n"/>
      <c r="AC359" s="189" t="n"/>
      <c r="AD359" s="189" t="n"/>
      <c r="AE359" s="189" t="n"/>
      <c r="AF359" s="189" t="n"/>
      <c r="AG359" s="189" t="n"/>
      <c r="AH359" s="189" t="n"/>
      <c r="AI359" s="51" t="inlineStr">
        <is>
          <t>U3X</t>
        </is>
      </c>
    </row>
    <row r="360">
      <c r="B360" s="189" t="n"/>
      <c r="C360" s="189" t="n"/>
      <c r="D360" s="189" t="n"/>
      <c r="E360" s="189" t="n"/>
      <c r="F360" s="189" t="n"/>
      <c r="G360" s="189" t="n"/>
      <c r="H360" s="189" t="n"/>
      <c r="I360" s="189" t="n"/>
      <c r="J360" s="189" t="n"/>
      <c r="K360" s="189" t="n"/>
      <c r="L360" s="189" t="n"/>
      <c r="M360" s="189" t="n"/>
      <c r="N360" s="189" t="n"/>
      <c r="O360" s="189" t="n"/>
      <c r="P360" s="189" t="n"/>
      <c r="Q360" s="189" t="n"/>
      <c r="R360" s="189" t="n"/>
      <c r="S360" s="189" t="n"/>
      <c r="T360" s="189" t="n"/>
      <c r="U360" s="189" t="n"/>
      <c r="V360" s="189" t="n"/>
      <c r="W360" s="189" t="n"/>
      <c r="X360" s="189" t="n"/>
      <c r="Y360" s="189" t="n"/>
      <c r="Z360" s="189" t="n"/>
      <c r="AA360" s="189" t="n"/>
      <c r="AB360" s="189" t="n"/>
      <c r="AC360" s="189" t="n"/>
      <c r="AD360" s="189" t="n"/>
      <c r="AE360" s="189" t="n"/>
      <c r="AF360" s="189" t="n"/>
      <c r="AG360" s="189" t="n"/>
      <c r="AH360" s="189" t="n"/>
      <c r="AI360" s="51" t="inlineStr">
        <is>
          <t>U3Y</t>
        </is>
      </c>
    </row>
    <row r="361">
      <c r="B361" s="189" t="n"/>
      <c r="C361" s="189" t="n"/>
      <c r="D361" s="189" t="n"/>
      <c r="E361" s="189" t="n"/>
      <c r="F361" s="189" t="n"/>
      <c r="G361" s="189" t="n"/>
      <c r="H361" s="189" t="n"/>
      <c r="I361" s="189" t="n"/>
      <c r="J361" s="189" t="n"/>
      <c r="K361" s="189" t="n"/>
      <c r="L361" s="189" t="n"/>
      <c r="M361" s="189" t="n"/>
      <c r="N361" s="189" t="n"/>
      <c r="O361" s="189" t="n"/>
      <c r="P361" s="189" t="n"/>
      <c r="Q361" s="189" t="n"/>
      <c r="R361" s="189" t="n"/>
      <c r="S361" s="189" t="n"/>
      <c r="T361" s="189" t="n"/>
      <c r="U361" s="189" t="n"/>
      <c r="V361" s="189" t="n"/>
      <c r="W361" s="189" t="n"/>
      <c r="X361" s="189" t="n"/>
      <c r="Y361" s="189" t="n"/>
      <c r="Z361" s="189" t="n"/>
      <c r="AA361" s="189" t="n"/>
      <c r="AB361" s="189" t="n"/>
      <c r="AC361" s="189" t="n"/>
      <c r="AD361" s="189" t="n"/>
      <c r="AE361" s="189" t="n"/>
      <c r="AF361" s="189" t="n"/>
      <c r="AG361" s="189" t="n"/>
      <c r="AH361" s="189" t="n"/>
      <c r="AI361" s="51" t="inlineStr">
        <is>
          <t>U3θ</t>
        </is>
      </c>
    </row>
    <row r="362">
      <c r="B362" s="189" t="n"/>
      <c r="C362" s="189" t="n"/>
      <c r="D362" s="189" t="n"/>
      <c r="E362" s="189" t="n"/>
      <c r="F362" s="189" t="n"/>
      <c r="G362" s="189" t="n"/>
      <c r="H362" s="189" t="n"/>
      <c r="I362" s="189" t="n"/>
      <c r="J362" s="189" t="n"/>
      <c r="K362" s="189" t="n"/>
      <c r="L362" s="189" t="n"/>
      <c r="M362" s="189" t="n"/>
      <c r="N362" s="189" t="n"/>
      <c r="O362" s="189" t="n"/>
      <c r="P362" s="189" t="n"/>
      <c r="Q362" s="189" t="n"/>
      <c r="R362" s="189" t="n"/>
      <c r="S362" s="189" t="n"/>
      <c r="T362" s="189" t="n"/>
      <c r="U362" s="189" t="n"/>
      <c r="V362" s="189" t="n"/>
      <c r="W362" s="189" t="n"/>
      <c r="X362" s="189" t="n"/>
      <c r="Y362" s="189" t="n"/>
      <c r="Z362" s="189" t="n"/>
      <c r="AA362" s="189" t="n"/>
      <c r="AB362" s="189" t="n"/>
      <c r="AC362" s="189" t="n"/>
      <c r="AD362" s="189" t="n"/>
      <c r="AE362" s="189" t="n"/>
      <c r="AF362" s="189" t="n"/>
      <c r="AG362" s="189" t="n"/>
      <c r="AH362" s="189" t="n"/>
      <c r="AI362" s="51" t="inlineStr">
        <is>
          <t>U4X</t>
        </is>
      </c>
    </row>
    <row r="363">
      <c r="B363" s="189" t="n"/>
      <c r="C363" s="189" t="n"/>
      <c r="D363" s="189" t="n"/>
      <c r="E363" s="189" t="n"/>
      <c r="F363" s="189" t="n"/>
      <c r="G363" s="189" t="n"/>
      <c r="H363" s="189" t="n"/>
      <c r="I363" s="189" t="n"/>
      <c r="J363" s="189" t="n"/>
      <c r="K363" s="189" t="n"/>
      <c r="L363" s="189" t="n"/>
      <c r="M363" s="189" t="n"/>
      <c r="N363" s="189" t="n"/>
      <c r="O363" s="189" t="n"/>
      <c r="P363" s="189" t="n"/>
      <c r="Q363" s="189" t="n"/>
      <c r="R363" s="189" t="n"/>
      <c r="S363" s="189" t="n"/>
      <c r="T363" s="189" t="n"/>
      <c r="U363" s="189" t="n"/>
      <c r="V363" s="189" t="n"/>
      <c r="W363" s="189" t="n"/>
      <c r="X363" s="189" t="n"/>
      <c r="Y363" s="189" t="n"/>
      <c r="Z363" s="189" t="n"/>
      <c r="AA363" s="189" t="n"/>
      <c r="AB363" s="189" t="n"/>
      <c r="AC363" s="189" t="n"/>
      <c r="AD363" s="189" t="n"/>
      <c r="AE363" s="189" t="n"/>
      <c r="AF363" s="189" t="n"/>
      <c r="AG363" s="189" t="n"/>
      <c r="AH363" s="189" t="n"/>
      <c r="AI363" s="51" t="inlineStr">
        <is>
          <t>U4Y</t>
        </is>
      </c>
    </row>
    <row r="364">
      <c r="B364" s="189" t="n"/>
      <c r="C364" s="189" t="n"/>
      <c r="D364" s="189" t="n"/>
      <c r="E364" s="189" t="n"/>
      <c r="F364" s="189" t="n"/>
      <c r="G364" s="189" t="n"/>
      <c r="H364" s="189" t="n"/>
      <c r="I364" s="189" t="n"/>
      <c r="J364" s="189" t="n"/>
      <c r="K364" s="189" t="n"/>
      <c r="L364" s="189" t="n"/>
      <c r="M364" s="189" t="n"/>
      <c r="N364" s="189" t="n"/>
      <c r="O364" s="189" t="n"/>
      <c r="P364" s="189" t="n"/>
      <c r="Q364" s="189" t="n"/>
      <c r="R364" s="189" t="n"/>
      <c r="S364" s="189" t="n"/>
      <c r="T364" s="189" t="n"/>
      <c r="U364" s="189" t="n"/>
      <c r="V364" s="189" t="n"/>
      <c r="W364" s="189" t="n"/>
      <c r="X364" s="189" t="n"/>
      <c r="Y364" s="189" t="n"/>
      <c r="Z364" s="189" t="n"/>
      <c r="AA364" s="189" t="n"/>
      <c r="AB364" s="189" t="n"/>
      <c r="AC364" s="189" t="n"/>
      <c r="AD364" s="189" t="n"/>
      <c r="AE364" s="189" t="n"/>
      <c r="AF364" s="189" t="n"/>
      <c r="AG364" s="189" t="n"/>
      <c r="AH364" s="189" t="n"/>
      <c r="AI364" s="51" t="inlineStr">
        <is>
          <t>U4θ</t>
        </is>
      </c>
    </row>
    <row r="365">
      <c r="B365" s="189" t="n"/>
      <c r="C365" s="189" t="n"/>
      <c r="D365" s="189" t="n"/>
      <c r="E365" s="189" t="n"/>
      <c r="F365" s="189" t="n"/>
      <c r="G365" s="189" t="n"/>
      <c r="H365" s="189" t="n"/>
      <c r="I365" s="189" t="n"/>
      <c r="J365" s="189" t="n"/>
      <c r="K365" s="189" t="n"/>
      <c r="L365" s="189" t="n"/>
      <c r="M365" s="189" t="n"/>
      <c r="N365" s="189" t="n"/>
      <c r="O365" s="189" t="n"/>
      <c r="P365" s="189" t="n"/>
      <c r="Q365" s="189" t="n"/>
      <c r="R365" s="189" t="n"/>
      <c r="S365" s="189" t="n"/>
      <c r="T365" s="189" t="n"/>
      <c r="U365" s="189" t="n"/>
      <c r="V365" s="189" t="n"/>
      <c r="W365" s="189" t="n"/>
      <c r="X365" s="189" t="n"/>
      <c r="Y365" s="189" t="n"/>
      <c r="Z365" s="189" t="n"/>
      <c r="AA365" s="189" t="n"/>
      <c r="AB365" s="189" t="n"/>
      <c r="AC365" s="189" t="n"/>
      <c r="AD365" s="189" t="n"/>
      <c r="AE365" s="189" t="n"/>
      <c r="AF365" s="189" t="n"/>
      <c r="AG365" s="189" t="n"/>
      <c r="AH365" s="189" t="n"/>
      <c r="AI365" s="51" t="inlineStr">
        <is>
          <t>U5X</t>
        </is>
      </c>
    </row>
    <row r="366">
      <c r="B366" s="189" t="n"/>
      <c r="C366" s="189" t="n"/>
      <c r="D366" s="189" t="n"/>
      <c r="E366" s="189" t="n"/>
      <c r="F366" s="189" t="n"/>
      <c r="G366" s="189" t="n"/>
      <c r="H366" s="189" t="n"/>
      <c r="I366" s="189" t="n"/>
      <c r="J366" s="189" t="n"/>
      <c r="K366" s="189" t="n"/>
      <c r="L366" s="189" t="n"/>
      <c r="M366" s="189" t="n"/>
      <c r="N366" s="189" t="n"/>
      <c r="O366" s="189" t="n"/>
      <c r="P366" s="189" t="n"/>
      <c r="Q366" s="189" t="n"/>
      <c r="R366" s="189" t="n"/>
      <c r="S366" s="189" t="n"/>
      <c r="T366" s="189" t="n"/>
      <c r="U366" s="189" t="n"/>
      <c r="V366" s="189" t="n"/>
      <c r="W366" s="189" t="n"/>
      <c r="X366" s="189" t="n"/>
      <c r="Y366" s="189" t="n"/>
      <c r="Z366" s="189" t="n"/>
      <c r="AA366" s="189" t="n"/>
      <c r="AB366" s="189" t="n"/>
      <c r="AC366" s="189" t="n"/>
      <c r="AD366" s="189" t="n"/>
      <c r="AE366" s="189" t="n"/>
      <c r="AF366" s="189" t="n"/>
      <c r="AG366" s="189" t="n"/>
      <c r="AH366" s="189" t="n"/>
      <c r="AI366" s="51" t="inlineStr">
        <is>
          <t>U5Y</t>
        </is>
      </c>
    </row>
    <row r="367">
      <c r="B367" s="189" t="n"/>
      <c r="C367" s="189" t="n"/>
      <c r="D367" s="189" t="n"/>
      <c r="E367" s="189" t="n"/>
      <c r="F367" s="189" t="n"/>
      <c r="G367" s="189" t="n"/>
      <c r="H367" s="189" t="n"/>
      <c r="I367" s="189" t="n"/>
      <c r="J367" s="189" t="n"/>
      <c r="K367" s="189" t="n"/>
      <c r="L367" s="189" t="n"/>
      <c r="M367" s="189" t="n"/>
      <c r="N367" s="189" t="n"/>
      <c r="O367" s="189" t="n"/>
      <c r="P367" s="189" t="n"/>
      <c r="Q367" s="189" t="n"/>
      <c r="R367" s="189" t="n"/>
      <c r="S367" s="189" t="n"/>
      <c r="T367" s="189" t="n"/>
      <c r="U367" s="189" t="n"/>
      <c r="V367" s="189" t="n"/>
      <c r="W367" s="189" t="n"/>
      <c r="X367" s="189" t="n"/>
      <c r="Y367" s="189" t="n"/>
      <c r="Z367" s="189" t="n"/>
      <c r="AA367" s="189" t="n"/>
      <c r="AB367" s="189" t="n"/>
      <c r="AC367" s="189" t="n"/>
      <c r="AD367" s="189" t="n"/>
      <c r="AE367" s="189" t="n"/>
      <c r="AF367" s="189" t="n"/>
      <c r="AG367" s="189" t="n"/>
      <c r="AH367" s="189" t="n"/>
      <c r="AI367" s="51" t="inlineStr">
        <is>
          <t>U5θ</t>
        </is>
      </c>
    </row>
    <row r="368">
      <c r="A368" s="118" t="inlineStr">
        <is>
          <t>K8 =</t>
        </is>
      </c>
      <c r="B368" s="189" t="n"/>
      <c r="C368" s="189" t="n"/>
      <c r="D368" s="189" t="n"/>
      <c r="E368" s="189" t="n"/>
      <c r="F368" s="189" t="n"/>
      <c r="G368" s="189" t="n"/>
      <c r="H368" s="189" t="n"/>
      <c r="I368" s="189" t="n"/>
      <c r="J368" s="189" t="n"/>
      <c r="K368" s="189" t="n"/>
      <c r="L368" s="189" t="n"/>
      <c r="M368" s="189" t="n"/>
      <c r="N368" s="189" t="n"/>
      <c r="O368" s="189" t="n"/>
      <c r="P368" s="189" t="n"/>
      <c r="Q368" s="189" t="n"/>
      <c r="R368" s="189" t="n"/>
      <c r="S368" s="189" t="n"/>
      <c r="T368" s="189" t="n"/>
      <c r="U368" s="189" t="n"/>
      <c r="V368" s="189" t="n"/>
      <c r="W368" s="189" t="n"/>
      <c r="X368" s="189" t="n"/>
      <c r="Y368" s="189" t="n"/>
      <c r="Z368" s="189" t="n"/>
      <c r="AA368" s="189" t="n"/>
      <c r="AB368" s="189" t="n"/>
      <c r="AC368" s="189" t="n"/>
      <c r="AD368" s="189" t="n"/>
      <c r="AE368" s="189" t="n"/>
      <c r="AF368" s="189" t="n"/>
      <c r="AG368" s="189" t="n"/>
      <c r="AH368" s="189" t="n"/>
      <c r="AI368" s="51" t="inlineStr">
        <is>
          <t>U6X</t>
        </is>
      </c>
    </row>
    <row r="369">
      <c r="B369" s="189" t="n"/>
      <c r="C369" s="189" t="n"/>
      <c r="D369" s="189" t="n"/>
      <c r="E369" s="189" t="n"/>
      <c r="F369" s="189" t="n"/>
      <c r="G369" s="189" t="n"/>
      <c r="H369" s="189" t="n"/>
      <c r="I369" s="189" t="n"/>
      <c r="J369" s="189" t="n"/>
      <c r="K369" s="189" t="n"/>
      <c r="L369" s="189" t="n"/>
      <c r="M369" s="189" t="n"/>
      <c r="N369" s="189" t="n"/>
      <c r="O369" s="189" t="n"/>
      <c r="P369" s="189" t="n"/>
      <c r="Q369" s="189" t="n"/>
      <c r="R369" s="189" t="n"/>
      <c r="S369" s="189" t="n"/>
      <c r="T369" s="189" t="n"/>
      <c r="U369" s="189" t="n"/>
      <c r="V369" s="189" t="n"/>
      <c r="W369" s="189" t="n"/>
      <c r="X369" s="189" t="n"/>
      <c r="Y369" s="189" t="n"/>
      <c r="Z369" s="189" t="n"/>
      <c r="AA369" s="189" t="n"/>
      <c r="AB369" s="189" t="n"/>
      <c r="AC369" s="189" t="n"/>
      <c r="AD369" s="189" t="n"/>
      <c r="AE369" s="189" t="n"/>
      <c r="AF369" s="189" t="n"/>
      <c r="AG369" s="189" t="n"/>
      <c r="AH369" s="189" t="n"/>
      <c r="AI369" s="51" t="inlineStr">
        <is>
          <t>U6Y</t>
        </is>
      </c>
    </row>
    <row r="370">
      <c r="B370" s="189" t="n"/>
      <c r="C370" s="189" t="n"/>
      <c r="D370" s="189" t="n"/>
      <c r="E370" s="189" t="n"/>
      <c r="F370" s="189" t="n"/>
      <c r="G370" s="189" t="n"/>
      <c r="H370" s="189" t="n"/>
      <c r="I370" s="189" t="n"/>
      <c r="J370" s="189" t="n"/>
      <c r="K370" s="189" t="n"/>
      <c r="L370" s="189" t="n"/>
      <c r="M370" s="189" t="n"/>
      <c r="N370" s="189" t="n"/>
      <c r="O370" s="189" t="n"/>
      <c r="P370" s="189" t="n"/>
      <c r="Q370" s="189" t="n"/>
      <c r="R370" s="189" t="n"/>
      <c r="S370" s="189" t="n"/>
      <c r="T370" s="189" t="n"/>
      <c r="U370" s="189" t="n"/>
      <c r="V370" s="189" t="n"/>
      <c r="W370" s="189" t="n"/>
      <c r="X370" s="189" t="n"/>
      <c r="Y370" s="189" t="n"/>
      <c r="Z370" s="189" t="n"/>
      <c r="AA370" s="189" t="n"/>
      <c r="AB370" s="189" t="n"/>
      <c r="AC370" s="189" t="n"/>
      <c r="AD370" s="189" t="n"/>
      <c r="AE370" s="189" t="n"/>
      <c r="AF370" s="189" t="n"/>
      <c r="AG370" s="189" t="n"/>
      <c r="AH370" s="189" t="n"/>
      <c r="AI370" s="51" t="inlineStr">
        <is>
          <t>U6θ</t>
        </is>
      </c>
    </row>
    <row r="371">
      <c r="B371" s="189" t="n"/>
      <c r="C371" s="189" t="n"/>
      <c r="D371" s="189" t="n"/>
      <c r="E371" s="189" t="n"/>
      <c r="F371" s="189" t="n"/>
      <c r="G371" s="189" t="n"/>
      <c r="H371" s="189" t="n"/>
      <c r="I371" s="189" t="n"/>
      <c r="J371" s="189" t="n"/>
      <c r="K371" s="189" t="n"/>
      <c r="L371" s="189" t="n"/>
      <c r="M371" s="189" t="n"/>
      <c r="N371" s="189" t="n"/>
      <c r="O371" s="189" t="n"/>
      <c r="P371" s="189" t="n"/>
      <c r="Q371" s="189" t="n"/>
      <c r="R371" s="189" t="n"/>
      <c r="S371" s="189" t="n"/>
      <c r="T371" s="189" t="n"/>
      <c r="U371" s="189" t="n"/>
      <c r="V371" s="189" t="n"/>
      <c r="W371" s="189" t="n"/>
      <c r="X371" s="189" t="n"/>
      <c r="Y371" s="189" t="n"/>
      <c r="Z371" s="189" t="n"/>
      <c r="AA371" s="189" t="n"/>
      <c r="AB371" s="189" t="n"/>
      <c r="AC371" s="189" t="n"/>
      <c r="AD371" s="189" t="n"/>
      <c r="AE371" s="189" t="n"/>
      <c r="AF371" s="189" t="n"/>
      <c r="AG371" s="189" t="n"/>
      <c r="AH371" s="189" t="n"/>
      <c r="AI371" s="51" t="inlineStr">
        <is>
          <t>U7X</t>
        </is>
      </c>
    </row>
    <row r="372">
      <c r="B372" s="189" t="n"/>
      <c r="C372" s="189" t="n"/>
      <c r="D372" s="189" t="n"/>
      <c r="E372" s="189" t="n"/>
      <c r="F372" s="189" t="n"/>
      <c r="G372" s="189" t="n"/>
      <c r="H372" s="189" t="n"/>
      <c r="I372" s="189" t="n"/>
      <c r="J372" s="189" t="n"/>
      <c r="K372" s="189" t="n"/>
      <c r="L372" s="189" t="n"/>
      <c r="M372" s="189" t="n"/>
      <c r="N372" s="189" t="n"/>
      <c r="O372" s="189" t="n"/>
      <c r="P372" s="189" t="n"/>
      <c r="Q372" s="189" t="n"/>
      <c r="R372" s="189" t="n"/>
      <c r="S372" s="189" t="n"/>
      <c r="T372" s="189" t="n"/>
      <c r="U372" s="189" t="n"/>
      <c r="V372" s="189" t="n"/>
      <c r="W372" s="189" t="n"/>
      <c r="X372" s="189" t="n"/>
      <c r="Y372" s="189" t="n"/>
      <c r="Z372" s="189" t="n"/>
      <c r="AA372" s="189" t="n"/>
      <c r="AB372" s="189" t="n"/>
      <c r="AC372" s="189" t="n"/>
      <c r="AD372" s="189" t="n"/>
      <c r="AE372" s="189" t="n"/>
      <c r="AF372" s="189" t="n"/>
      <c r="AG372" s="189" t="n"/>
      <c r="AH372" s="189" t="n"/>
      <c r="AI372" s="51" t="inlineStr">
        <is>
          <t>U7Y</t>
        </is>
      </c>
    </row>
    <row r="373">
      <c r="B373" s="189" t="n"/>
      <c r="C373" s="189" t="n"/>
      <c r="D373" s="189" t="n"/>
      <c r="E373" s="189" t="n"/>
      <c r="F373" s="189" t="n"/>
      <c r="G373" s="189" t="n"/>
      <c r="H373" s="189" t="n"/>
      <c r="I373" s="189" t="n"/>
      <c r="J373" s="189" t="n"/>
      <c r="K373" s="189" t="n"/>
      <c r="L373" s="189" t="n"/>
      <c r="M373" s="189" t="n"/>
      <c r="N373" s="189" t="n"/>
      <c r="O373" s="189" t="n"/>
      <c r="P373" s="189" t="n"/>
      <c r="Q373" s="189" t="n"/>
      <c r="R373" s="189" t="n"/>
      <c r="S373" s="189" t="n"/>
      <c r="T373" s="189" t="n"/>
      <c r="U373" s="189" t="n"/>
      <c r="V373" s="189" t="n"/>
      <c r="W373" s="189" t="n"/>
      <c r="X373" s="189" t="n"/>
      <c r="Y373" s="189" t="n"/>
      <c r="Z373" s="189" t="n"/>
      <c r="AA373" s="189" t="n"/>
      <c r="AB373" s="189" t="n"/>
      <c r="AC373" s="189" t="n"/>
      <c r="AD373" s="189" t="n"/>
      <c r="AE373" s="189" t="n"/>
      <c r="AF373" s="189" t="n"/>
      <c r="AG373" s="189" t="n"/>
      <c r="AH373" s="189" t="n"/>
      <c r="AI373" s="51" t="inlineStr">
        <is>
          <t>U7θ</t>
        </is>
      </c>
    </row>
    <row r="374">
      <c r="B374" s="189" t="n"/>
      <c r="C374" s="189" t="n"/>
      <c r="D374" s="189" t="n"/>
      <c r="E374" s="189" t="n"/>
      <c r="F374" s="189" t="n"/>
      <c r="G374" s="189" t="n"/>
      <c r="H374" s="189" t="n"/>
      <c r="I374" s="189" t="n"/>
      <c r="J374" s="189" t="n"/>
      <c r="K374" s="189" t="n"/>
      <c r="L374" s="189" t="n"/>
      <c r="M374" s="189" t="n"/>
      <c r="N374" s="189" t="n"/>
      <c r="O374" s="189" t="n"/>
      <c r="P374" s="189" t="n"/>
      <c r="Q374" s="189" t="n"/>
      <c r="R374" s="189" t="n"/>
      <c r="S374" s="189" t="n"/>
      <c r="T374" s="189" t="n"/>
      <c r="U374" s="189" t="n"/>
      <c r="V374" s="189" t="n"/>
      <c r="W374" s="189">
        <f>B345</f>
        <v/>
      </c>
      <c r="X374" s="189">
        <f>C345</f>
        <v/>
      </c>
      <c r="Y374" s="189">
        <f>D345</f>
        <v/>
      </c>
      <c r="Z374" s="189">
        <f>E345</f>
        <v/>
      </c>
      <c r="AA374" s="189">
        <f>F345</f>
        <v/>
      </c>
      <c r="AB374" s="189">
        <f>G345</f>
        <v/>
      </c>
      <c r="AC374" s="189" t="n"/>
      <c r="AD374" s="189" t="n"/>
      <c r="AE374" s="189" t="n"/>
      <c r="AF374" s="189" t="n"/>
      <c r="AG374" s="189" t="n"/>
      <c r="AH374" s="189" t="n"/>
      <c r="AI374" s="51" t="inlineStr">
        <is>
          <t>U8X</t>
        </is>
      </c>
    </row>
    <row r="375">
      <c r="B375" s="189" t="n"/>
      <c r="C375" s="189" t="n"/>
      <c r="D375" s="189" t="n"/>
      <c r="E375" s="189" t="n"/>
      <c r="F375" s="189" t="n"/>
      <c r="G375" s="189" t="n"/>
      <c r="H375" s="189" t="n"/>
      <c r="I375" s="189" t="n"/>
      <c r="J375" s="189" t="n"/>
      <c r="K375" s="189" t="n"/>
      <c r="L375" s="189" t="n"/>
      <c r="M375" s="189" t="n"/>
      <c r="N375" s="189" t="n"/>
      <c r="O375" s="189" t="n"/>
      <c r="P375" s="189" t="n"/>
      <c r="Q375" s="189" t="n"/>
      <c r="R375" s="189" t="n"/>
      <c r="S375" s="189" t="n"/>
      <c r="T375" s="189" t="n"/>
      <c r="U375" s="189" t="n"/>
      <c r="V375" s="189" t="n"/>
      <c r="W375" s="189">
        <f>B346</f>
        <v/>
      </c>
      <c r="X375" s="189">
        <f>C346</f>
        <v/>
      </c>
      <c r="Y375" s="189">
        <f>D346</f>
        <v/>
      </c>
      <c r="Z375" s="189">
        <f>E346</f>
        <v/>
      </c>
      <c r="AA375" s="189">
        <f>F346</f>
        <v/>
      </c>
      <c r="AB375" s="189">
        <f>G346</f>
        <v/>
      </c>
      <c r="AC375" s="189" t="n"/>
      <c r="AD375" s="189" t="n"/>
      <c r="AE375" s="189" t="n"/>
      <c r="AF375" s="189" t="n"/>
      <c r="AG375" s="189" t="n"/>
      <c r="AH375" s="189" t="n"/>
      <c r="AI375" s="51" t="inlineStr">
        <is>
          <t>U8Y</t>
        </is>
      </c>
    </row>
    <row r="376">
      <c r="B376" s="189" t="n"/>
      <c r="C376" s="189" t="n"/>
      <c r="D376" s="189" t="n"/>
      <c r="E376" s="189" t="n"/>
      <c r="F376" s="189" t="n"/>
      <c r="G376" s="189" t="n"/>
      <c r="H376" s="189" t="n"/>
      <c r="I376" s="189" t="n"/>
      <c r="J376" s="189" t="n"/>
      <c r="K376" s="189" t="n"/>
      <c r="L376" s="189" t="n"/>
      <c r="M376" s="189" t="n"/>
      <c r="N376" s="189" t="n"/>
      <c r="O376" s="189" t="n"/>
      <c r="P376" s="189" t="n"/>
      <c r="Q376" s="189" t="n"/>
      <c r="R376" s="189" t="n"/>
      <c r="S376" s="189" t="n"/>
      <c r="T376" s="189" t="n"/>
      <c r="U376" s="189" t="n"/>
      <c r="V376" s="189" t="n"/>
      <c r="W376" s="189">
        <f>B347</f>
        <v/>
      </c>
      <c r="X376" s="189">
        <f>C347</f>
        <v/>
      </c>
      <c r="Y376" s="189">
        <f>D347</f>
        <v/>
      </c>
      <c r="Z376" s="189">
        <f>E347</f>
        <v/>
      </c>
      <c r="AA376" s="189">
        <f>F347</f>
        <v/>
      </c>
      <c r="AB376" s="189">
        <f>G347</f>
        <v/>
      </c>
      <c r="AC376" s="189" t="n"/>
      <c r="AD376" s="189" t="n"/>
      <c r="AE376" s="189" t="n"/>
      <c r="AF376" s="189" t="n"/>
      <c r="AG376" s="189" t="n"/>
      <c r="AH376" s="189" t="n"/>
      <c r="AI376" s="51" t="inlineStr">
        <is>
          <t>U8θ</t>
        </is>
      </c>
    </row>
    <row r="377">
      <c r="B377" s="189" t="n"/>
      <c r="C377" s="189" t="n"/>
      <c r="D377" s="189" t="n"/>
      <c r="E377" s="189" t="n"/>
      <c r="F377" s="189" t="n"/>
      <c r="G377" s="189" t="n"/>
      <c r="H377" s="189" t="n"/>
      <c r="I377" s="189" t="n"/>
      <c r="J377" s="189" t="n"/>
      <c r="K377" s="189" t="n"/>
      <c r="L377" s="189" t="n"/>
      <c r="M377" s="189" t="n"/>
      <c r="N377" s="189" t="n"/>
      <c r="O377" s="189" t="n"/>
      <c r="P377" s="189" t="n"/>
      <c r="Q377" s="189" t="n"/>
      <c r="R377" s="189" t="n"/>
      <c r="S377" s="189" t="n"/>
      <c r="T377" s="189" t="n"/>
      <c r="U377" s="189" t="n"/>
      <c r="V377" s="189" t="n"/>
      <c r="W377" s="189">
        <f>B348</f>
        <v/>
      </c>
      <c r="X377" s="189">
        <f>C348</f>
        <v/>
      </c>
      <c r="Y377" s="189">
        <f>D348</f>
        <v/>
      </c>
      <c r="Z377" s="189">
        <f>E348</f>
        <v/>
      </c>
      <c r="AA377" s="189">
        <f>F348</f>
        <v/>
      </c>
      <c r="AB377" s="189">
        <f>G348</f>
        <v/>
      </c>
      <c r="AC377" s="189" t="n"/>
      <c r="AD377" s="189" t="n"/>
      <c r="AE377" s="189" t="n"/>
      <c r="AF377" s="189" t="n"/>
      <c r="AG377" s="189" t="n"/>
      <c r="AH377" s="189" t="n"/>
      <c r="AI377" s="51" t="inlineStr">
        <is>
          <t>U9X</t>
        </is>
      </c>
    </row>
    <row r="378">
      <c r="B378" s="189" t="n"/>
      <c r="C378" s="189" t="n"/>
      <c r="D378" s="189" t="n"/>
      <c r="E378" s="189" t="n"/>
      <c r="F378" s="189" t="n"/>
      <c r="G378" s="189" t="n"/>
      <c r="H378" s="189" t="n"/>
      <c r="I378" s="189" t="n"/>
      <c r="J378" s="189" t="n"/>
      <c r="K378" s="189" t="n"/>
      <c r="L378" s="189" t="n"/>
      <c r="M378" s="189" t="n"/>
      <c r="N378" s="189" t="n"/>
      <c r="O378" s="189" t="n"/>
      <c r="P378" s="189" t="n"/>
      <c r="Q378" s="189" t="n"/>
      <c r="R378" s="189" t="n"/>
      <c r="S378" s="189" t="n"/>
      <c r="T378" s="189" t="n"/>
      <c r="U378" s="189" t="n"/>
      <c r="V378" s="189" t="n"/>
      <c r="W378" s="189">
        <f>B349</f>
        <v/>
      </c>
      <c r="X378" s="189">
        <f>C349</f>
        <v/>
      </c>
      <c r="Y378" s="189">
        <f>D349</f>
        <v/>
      </c>
      <c r="Z378" s="189">
        <f>E349</f>
        <v/>
      </c>
      <c r="AA378" s="189">
        <f>F349</f>
        <v/>
      </c>
      <c r="AB378" s="189">
        <f>G349</f>
        <v/>
      </c>
      <c r="AC378" s="189" t="n"/>
      <c r="AD378" s="189" t="n"/>
      <c r="AE378" s="189" t="n"/>
      <c r="AF378" s="189" t="n"/>
      <c r="AG378" s="189" t="n"/>
      <c r="AH378" s="189" t="n"/>
      <c r="AI378" s="51" t="inlineStr">
        <is>
          <t>U9Y</t>
        </is>
      </c>
    </row>
    <row r="379">
      <c r="B379" s="189" t="n"/>
      <c r="C379" s="189" t="n"/>
      <c r="D379" s="189" t="n"/>
      <c r="E379" s="189" t="n"/>
      <c r="F379" s="189" t="n"/>
      <c r="G379" s="189" t="n"/>
      <c r="H379" s="189" t="n"/>
      <c r="I379" s="189" t="n"/>
      <c r="J379" s="189" t="n"/>
      <c r="K379" s="189" t="n"/>
      <c r="L379" s="189" t="n"/>
      <c r="M379" s="189" t="n"/>
      <c r="N379" s="189" t="n"/>
      <c r="O379" s="189" t="n"/>
      <c r="P379" s="189" t="n"/>
      <c r="Q379" s="189" t="n"/>
      <c r="R379" s="189" t="n"/>
      <c r="S379" s="189" t="n"/>
      <c r="T379" s="189" t="n"/>
      <c r="U379" s="189" t="n"/>
      <c r="V379" s="189" t="n"/>
      <c r="W379" s="189">
        <f>B350</f>
        <v/>
      </c>
      <c r="X379" s="189">
        <f>C350</f>
        <v/>
      </c>
      <c r="Y379" s="189">
        <f>D350</f>
        <v/>
      </c>
      <c r="Z379" s="189">
        <f>E350</f>
        <v/>
      </c>
      <c r="AA379" s="189">
        <f>F350</f>
        <v/>
      </c>
      <c r="AB379" s="189">
        <f>G350</f>
        <v/>
      </c>
      <c r="AC379" s="189" t="n"/>
      <c r="AD379" s="189" t="n"/>
      <c r="AE379" s="189" t="n"/>
      <c r="AF379" s="189" t="n"/>
      <c r="AG379" s="189" t="n"/>
      <c r="AH379" s="189" t="n"/>
      <c r="AI379" s="51" t="inlineStr">
        <is>
          <t>U9θ</t>
        </is>
      </c>
    </row>
    <row r="380">
      <c r="B380" s="189" t="n"/>
      <c r="C380" s="189" t="n"/>
      <c r="D380" s="189" t="n"/>
      <c r="E380" s="189" t="n"/>
      <c r="F380" s="189" t="n"/>
      <c r="G380" s="189" t="n"/>
      <c r="H380" s="189" t="n"/>
      <c r="I380" s="189" t="n"/>
      <c r="J380" s="189" t="n"/>
      <c r="K380" s="189" t="n"/>
      <c r="L380" s="189" t="n"/>
      <c r="M380" s="189" t="n"/>
      <c r="N380" s="189" t="n"/>
      <c r="O380" s="189" t="n"/>
      <c r="P380" s="189" t="n"/>
      <c r="Q380" s="189" t="n"/>
      <c r="R380" s="189" t="n"/>
      <c r="S380" s="189" t="n"/>
      <c r="T380" s="189" t="n"/>
      <c r="U380" s="189" t="n"/>
      <c r="V380" s="189" t="n"/>
      <c r="W380" s="189" t="n"/>
      <c r="X380" s="189" t="n"/>
      <c r="Y380" s="189" t="n"/>
      <c r="Z380" s="189" t="n"/>
      <c r="AA380" s="189" t="n"/>
      <c r="AB380" s="189" t="n"/>
      <c r="AC380" s="189" t="n"/>
      <c r="AD380" s="189" t="n"/>
      <c r="AE380" s="189" t="n"/>
      <c r="AF380" s="189" t="n"/>
      <c r="AG380" s="189" t="n"/>
      <c r="AH380" s="189" t="n"/>
      <c r="AI380" s="51" t="inlineStr">
        <is>
          <t>U10X</t>
        </is>
      </c>
    </row>
    <row r="381">
      <c r="B381" s="189" t="n"/>
      <c r="C381" s="189" t="n"/>
      <c r="D381" s="189" t="n"/>
      <c r="E381" s="189" t="n"/>
      <c r="F381" s="189" t="n"/>
      <c r="G381" s="189" t="n"/>
      <c r="H381" s="189" t="n"/>
      <c r="I381" s="189" t="n"/>
      <c r="J381" s="189" t="n"/>
      <c r="K381" s="189" t="n"/>
      <c r="L381" s="189" t="n"/>
      <c r="M381" s="189" t="n"/>
      <c r="N381" s="189" t="n"/>
      <c r="O381" s="189" t="n"/>
      <c r="P381" s="189" t="n"/>
      <c r="Q381" s="189" t="n"/>
      <c r="R381" s="189" t="n"/>
      <c r="S381" s="189" t="n"/>
      <c r="T381" s="189" t="n"/>
      <c r="U381" s="189" t="n"/>
      <c r="V381" s="189" t="n"/>
      <c r="W381" s="189" t="n"/>
      <c r="X381" s="189" t="n"/>
      <c r="Y381" s="189" t="n"/>
      <c r="Z381" s="189" t="n"/>
      <c r="AA381" s="189" t="n"/>
      <c r="AB381" s="189" t="n"/>
      <c r="AC381" s="189" t="n"/>
      <c r="AD381" s="189" t="n"/>
      <c r="AE381" s="189" t="n"/>
      <c r="AF381" s="189" t="n"/>
      <c r="AG381" s="189" t="n"/>
      <c r="AH381" s="189" t="n"/>
      <c r="AI381" s="51" t="inlineStr">
        <is>
          <t>U10Y</t>
        </is>
      </c>
    </row>
    <row r="382">
      <c r="B382" s="189" t="n"/>
      <c r="C382" s="189" t="n"/>
      <c r="D382" s="189" t="n"/>
      <c r="E382" s="189" t="n"/>
      <c r="F382" s="189" t="n"/>
      <c r="G382" s="189" t="n"/>
      <c r="H382" s="189" t="n"/>
      <c r="I382" s="189" t="n"/>
      <c r="J382" s="189" t="n"/>
      <c r="K382" s="189" t="n"/>
      <c r="L382" s="189" t="n"/>
      <c r="M382" s="189" t="n"/>
      <c r="N382" s="189" t="n"/>
      <c r="O382" s="189" t="n"/>
      <c r="P382" s="189" t="n"/>
      <c r="Q382" s="189" t="n"/>
      <c r="R382" s="189" t="n"/>
      <c r="S382" s="189" t="n"/>
      <c r="T382" s="189" t="n"/>
      <c r="U382" s="189" t="n"/>
      <c r="V382" s="189" t="n"/>
      <c r="W382" s="189" t="n"/>
      <c r="X382" s="189" t="n"/>
      <c r="Y382" s="189" t="n"/>
      <c r="Z382" s="189" t="n"/>
      <c r="AA382" s="189" t="n"/>
      <c r="AB382" s="189" t="n"/>
      <c r="AC382" s="189" t="n"/>
      <c r="AD382" s="189" t="n"/>
      <c r="AE382" s="189" t="n"/>
      <c r="AF382" s="189" t="n"/>
      <c r="AG382" s="189" t="n"/>
      <c r="AH382" s="189" t="n"/>
      <c r="AI382" s="51" t="inlineStr">
        <is>
          <t>U10θ</t>
        </is>
      </c>
    </row>
    <row r="383">
      <c r="B383" s="189" t="n"/>
      <c r="C383" s="189" t="n"/>
      <c r="D383" s="189" t="n"/>
      <c r="E383" s="189" t="n"/>
      <c r="F383" s="189" t="n"/>
      <c r="G383" s="189" t="n"/>
      <c r="H383" s="189" t="n"/>
      <c r="I383" s="189" t="n"/>
      <c r="J383" s="189" t="n"/>
      <c r="K383" s="189" t="n"/>
      <c r="L383" s="189" t="n"/>
      <c r="M383" s="189" t="n"/>
      <c r="N383" s="189" t="n"/>
      <c r="O383" s="189" t="n"/>
      <c r="P383" s="189" t="n"/>
      <c r="Q383" s="189" t="n"/>
      <c r="R383" s="189" t="n"/>
      <c r="S383" s="189" t="n"/>
      <c r="T383" s="189" t="n"/>
      <c r="U383" s="189" t="n"/>
      <c r="V383" s="189" t="n"/>
      <c r="W383" s="189" t="n"/>
      <c r="X383" s="189" t="n"/>
      <c r="Y383" s="189" t="n"/>
      <c r="Z383" s="189" t="n"/>
      <c r="AA383" s="189" t="n"/>
      <c r="AB383" s="189" t="n"/>
      <c r="AC383" s="189" t="n"/>
      <c r="AD383" s="189" t="n"/>
      <c r="AE383" s="189" t="n"/>
      <c r="AF383" s="189" t="n"/>
      <c r="AG383" s="189" t="n"/>
      <c r="AH383" s="189" t="n"/>
      <c r="AI383" s="51" t="inlineStr">
        <is>
          <t>U11X</t>
        </is>
      </c>
    </row>
    <row r="384">
      <c r="B384" s="189" t="n"/>
      <c r="C384" s="189" t="n"/>
      <c r="D384" s="189" t="n"/>
      <c r="E384" s="189" t="n"/>
      <c r="F384" s="189" t="n"/>
      <c r="G384" s="189" t="n"/>
      <c r="H384" s="189" t="n"/>
      <c r="I384" s="189" t="n"/>
      <c r="J384" s="189" t="n"/>
      <c r="K384" s="189" t="n"/>
      <c r="L384" s="189" t="n"/>
      <c r="M384" s="189" t="n"/>
      <c r="N384" s="189" t="n"/>
      <c r="O384" s="189" t="n"/>
      <c r="P384" s="189" t="n"/>
      <c r="Q384" s="189" t="n"/>
      <c r="R384" s="189" t="n"/>
      <c r="S384" s="189" t="n"/>
      <c r="T384" s="189" t="n"/>
      <c r="U384" s="189" t="n"/>
      <c r="V384" s="189" t="n"/>
      <c r="W384" s="189" t="n"/>
      <c r="X384" s="189" t="n"/>
      <c r="Y384" s="189" t="n"/>
      <c r="Z384" s="189" t="n"/>
      <c r="AA384" s="189" t="n"/>
      <c r="AB384" s="189" t="n"/>
      <c r="AC384" s="189" t="n"/>
      <c r="AD384" s="189" t="n"/>
      <c r="AE384" s="189" t="n"/>
      <c r="AF384" s="189" t="n"/>
      <c r="AG384" s="189" t="n"/>
      <c r="AH384" s="189" t="n"/>
      <c r="AI384" s="51" t="inlineStr">
        <is>
          <t>U11Y</t>
        </is>
      </c>
    </row>
    <row r="385">
      <c r="B385" s="189" t="n"/>
      <c r="C385" s="189" t="n"/>
      <c r="D385" s="189" t="n"/>
      <c r="E385" s="189" t="n"/>
      <c r="F385" s="189" t="n"/>
      <c r="G385" s="189" t="n"/>
      <c r="H385" s="189" t="n"/>
      <c r="I385" s="189" t="n"/>
      <c r="J385" s="189" t="n"/>
      <c r="K385" s="189" t="n"/>
      <c r="L385" s="189" t="n"/>
      <c r="M385" s="189" t="n"/>
      <c r="N385" s="189" t="n"/>
      <c r="O385" s="189" t="n"/>
      <c r="P385" s="189" t="n"/>
      <c r="Q385" s="189" t="n"/>
      <c r="R385" s="189" t="n"/>
      <c r="S385" s="189" t="n"/>
      <c r="T385" s="189" t="n"/>
      <c r="U385" s="189" t="n"/>
      <c r="V385" s="189" t="n"/>
      <c r="W385" s="189" t="n"/>
      <c r="X385" s="189" t="n"/>
      <c r="Y385" s="189" t="n"/>
      <c r="Z385" s="189" t="n"/>
      <c r="AA385" s="189" t="n"/>
      <c r="AB385" s="189" t="n"/>
      <c r="AC385" s="189" t="n"/>
      <c r="AD385" s="189" t="n"/>
      <c r="AE385" s="189" t="n"/>
      <c r="AF385" s="189" t="n"/>
      <c r="AG385" s="189" t="n"/>
      <c r="AH385" s="189" t="n"/>
      <c r="AI385" s="51" t="inlineStr">
        <is>
          <t>U11θ</t>
        </is>
      </c>
    </row>
    <row r="387">
      <c r="B387" s="51">
        <f>IF(C39="","", CONCATENATE("U",C39,C$30))</f>
        <v/>
      </c>
      <c r="C387" s="51">
        <f>IF(D39="","", CONCATENATE("U",D39,D$30))</f>
        <v/>
      </c>
      <c r="D387" s="51">
        <f>IF(E39="","", CONCATENATE("U",E39,E$30))</f>
        <v/>
      </c>
      <c r="E387" s="51">
        <f>IF(F39="","", CONCATENATE("U",F39,F$30))</f>
        <v/>
      </c>
      <c r="F387" s="51">
        <f>IF(G39="","", CONCATENATE("U",G39,G$30))</f>
        <v/>
      </c>
      <c r="G387" s="51">
        <f>IF(H39="","", CONCATENATE("U",H39,H$30))</f>
        <v/>
      </c>
    </row>
    <row r="388">
      <c r="B388" s="8">
        <f>IF(I26="", 0, M26*K26*K26+N26*L26*L26)</f>
        <v/>
      </c>
      <c r="C388" s="189">
        <f>IF(I26="", 0, (M26-N26)*(K26*L26))</f>
        <v/>
      </c>
      <c r="D388" s="189">
        <f>IF(I26="", 0, -O26*L26)</f>
        <v/>
      </c>
      <c r="E388" s="189">
        <f>-B388</f>
        <v/>
      </c>
      <c r="F388" s="189">
        <f>-C388</f>
        <v/>
      </c>
      <c r="G388" s="189">
        <f>D388</f>
        <v/>
      </c>
      <c r="H388" s="51">
        <f>B387</f>
        <v/>
      </c>
    </row>
    <row r="389">
      <c r="B389" s="189">
        <f>C388</f>
        <v/>
      </c>
      <c r="C389" s="8">
        <f>IF(I26="", 0, M26*L26*L26+N26*K26*K26)</f>
        <v/>
      </c>
      <c r="D389" s="189">
        <f>IF(I26="", 0, O26*K26)</f>
        <v/>
      </c>
      <c r="E389" s="189">
        <f>-B389</f>
        <v/>
      </c>
      <c r="F389" s="189">
        <f>-C389</f>
        <v/>
      </c>
      <c r="G389" s="189">
        <f>D389</f>
        <v/>
      </c>
      <c r="H389" s="51">
        <f>C387</f>
        <v/>
      </c>
    </row>
    <row r="390">
      <c r="A390" s="118" t="inlineStr">
        <is>
          <t>K9 =</t>
        </is>
      </c>
      <c r="B390" s="189">
        <f>D388</f>
        <v/>
      </c>
      <c r="C390" s="189">
        <f>D389</f>
        <v/>
      </c>
      <c r="D390" s="8">
        <f>IF(I26="", 0, P26)</f>
        <v/>
      </c>
      <c r="E390" s="189">
        <f>-B390</f>
        <v/>
      </c>
      <c r="F390" s="189">
        <f>-C390</f>
        <v/>
      </c>
      <c r="G390" s="189">
        <f>IF(I26="", 0, Q26)</f>
        <v/>
      </c>
      <c r="H390" s="51">
        <f>D387</f>
        <v/>
      </c>
    </row>
    <row r="391">
      <c r="B391" s="189">
        <f>E388</f>
        <v/>
      </c>
      <c r="C391" s="189">
        <f>E389</f>
        <v/>
      </c>
      <c r="D391" s="189">
        <f>E390</f>
        <v/>
      </c>
      <c r="E391" s="8">
        <f>B388</f>
        <v/>
      </c>
      <c r="F391" s="189">
        <f>C388</f>
        <v/>
      </c>
      <c r="G391" s="189">
        <f>-D388</f>
        <v/>
      </c>
      <c r="H391" s="51">
        <f>E387</f>
        <v/>
      </c>
    </row>
    <row r="392">
      <c r="B392" s="189">
        <f>F388</f>
        <v/>
      </c>
      <c r="C392" s="189">
        <f>F389</f>
        <v/>
      </c>
      <c r="D392" s="189">
        <f>F390</f>
        <v/>
      </c>
      <c r="E392" s="189">
        <f>F391</f>
        <v/>
      </c>
      <c r="F392" s="8">
        <f>C389</f>
        <v/>
      </c>
      <c r="G392" s="189">
        <f>-D389</f>
        <v/>
      </c>
      <c r="H392" s="51">
        <f>F387</f>
        <v/>
      </c>
    </row>
    <row r="393">
      <c r="B393" s="189">
        <f>G388</f>
        <v/>
      </c>
      <c r="C393" s="189">
        <f>G389</f>
        <v/>
      </c>
      <c r="D393" s="189">
        <f>G390</f>
        <v/>
      </c>
      <c r="E393" s="189">
        <f>G391</f>
        <v/>
      </c>
      <c r="F393" s="189">
        <f>G392</f>
        <v/>
      </c>
      <c r="G393" s="8">
        <f>D390</f>
        <v/>
      </c>
      <c r="H393" s="51">
        <f>G387</f>
        <v/>
      </c>
    </row>
    <row r="395">
      <c r="B395" s="51" t="inlineStr">
        <is>
          <t>U1X</t>
        </is>
      </c>
      <c r="C395" s="51" t="inlineStr">
        <is>
          <t>U1Y</t>
        </is>
      </c>
      <c r="D395" s="51" t="inlineStr">
        <is>
          <t>U1θ</t>
        </is>
      </c>
      <c r="E395" s="51" t="inlineStr">
        <is>
          <t>U2X</t>
        </is>
      </c>
      <c r="F395" s="51" t="inlineStr">
        <is>
          <t>U2Y</t>
        </is>
      </c>
      <c r="G395" s="51" t="inlineStr">
        <is>
          <t>U2θ</t>
        </is>
      </c>
      <c r="H395" s="51" t="inlineStr">
        <is>
          <t>U3X</t>
        </is>
      </c>
      <c r="I395" s="51" t="inlineStr">
        <is>
          <t>U3Y</t>
        </is>
      </c>
      <c r="J395" s="51" t="inlineStr">
        <is>
          <t>U3θ</t>
        </is>
      </c>
      <c r="K395" s="51" t="inlineStr">
        <is>
          <t>U4X</t>
        </is>
      </c>
      <c r="L395" s="51" t="inlineStr">
        <is>
          <t>U4Y</t>
        </is>
      </c>
      <c r="M395" s="51" t="inlineStr">
        <is>
          <t>U4θ</t>
        </is>
      </c>
      <c r="N395" s="51" t="inlineStr">
        <is>
          <t>U5X</t>
        </is>
      </c>
      <c r="O395" s="51" t="inlineStr">
        <is>
          <t>U5Y</t>
        </is>
      </c>
      <c r="P395" s="51" t="inlineStr">
        <is>
          <t>U5θ</t>
        </is>
      </c>
      <c r="Q395" s="51" t="inlineStr">
        <is>
          <t>U6X</t>
        </is>
      </c>
      <c r="R395" s="51" t="inlineStr">
        <is>
          <t>U6Y</t>
        </is>
      </c>
      <c r="S395" s="51" t="inlineStr">
        <is>
          <t>U6θ</t>
        </is>
      </c>
      <c r="T395" s="51" t="inlineStr">
        <is>
          <t>U7X</t>
        </is>
      </c>
      <c r="U395" s="51" t="inlineStr">
        <is>
          <t>U7Y</t>
        </is>
      </c>
      <c r="V395" s="51" t="inlineStr">
        <is>
          <t>U7θ</t>
        </is>
      </c>
      <c r="W395" s="51" t="inlineStr">
        <is>
          <t>U8X</t>
        </is>
      </c>
      <c r="X395" s="51" t="inlineStr">
        <is>
          <t>U8Y</t>
        </is>
      </c>
      <c r="Y395" s="51" t="inlineStr">
        <is>
          <t>U8θ</t>
        </is>
      </c>
      <c r="Z395" s="51" t="inlineStr">
        <is>
          <t>U9X</t>
        </is>
      </c>
      <c r="AA395" s="51" t="inlineStr">
        <is>
          <t>U9Y</t>
        </is>
      </c>
      <c r="AB395" s="51" t="inlineStr">
        <is>
          <t>U9θ</t>
        </is>
      </c>
      <c r="AC395" s="51" t="inlineStr">
        <is>
          <t>U10X</t>
        </is>
      </c>
      <c r="AD395" s="51" t="inlineStr">
        <is>
          <t>U10Y</t>
        </is>
      </c>
      <c r="AE395" s="51" t="inlineStr">
        <is>
          <t>U10θ</t>
        </is>
      </c>
      <c r="AF395" s="51" t="inlineStr">
        <is>
          <t>U11X</t>
        </is>
      </c>
      <c r="AG395" s="51" t="inlineStr">
        <is>
          <t>U11Y</t>
        </is>
      </c>
      <c r="AH395" s="51" t="inlineStr">
        <is>
          <t>U11θ</t>
        </is>
      </c>
    </row>
    <row r="396">
      <c r="B396" s="189" t="n"/>
      <c r="C396" s="189" t="n"/>
      <c r="D396" s="189" t="n"/>
      <c r="E396" s="189" t="n"/>
      <c r="F396" s="189" t="n"/>
      <c r="G396" s="189" t="n"/>
      <c r="H396" s="189" t="n"/>
      <c r="I396" s="189" t="n"/>
      <c r="J396" s="189" t="n"/>
      <c r="K396" s="189" t="n"/>
      <c r="L396" s="189" t="n"/>
      <c r="M396" s="189" t="n"/>
      <c r="N396" s="189" t="n"/>
      <c r="O396" s="189" t="n"/>
      <c r="P396" s="189" t="n"/>
      <c r="Q396" s="189" t="n"/>
      <c r="R396" s="189" t="n"/>
      <c r="S396" s="189" t="n"/>
      <c r="T396" s="189" t="n"/>
      <c r="U396" s="189" t="n"/>
      <c r="V396" s="189" t="n"/>
      <c r="W396" s="189" t="n"/>
      <c r="X396" s="189" t="n"/>
      <c r="Y396" s="189" t="n"/>
      <c r="Z396" s="189" t="n"/>
      <c r="AA396" s="189" t="n"/>
      <c r="AB396" s="189" t="n"/>
      <c r="AC396" s="189" t="n"/>
      <c r="AD396" s="189" t="n"/>
      <c r="AE396" s="189" t="n"/>
      <c r="AF396" s="189" t="n"/>
      <c r="AG396" s="189" t="n"/>
      <c r="AH396" s="189" t="n"/>
      <c r="AI396" s="51" t="inlineStr">
        <is>
          <t>U1X</t>
        </is>
      </c>
    </row>
    <row r="397">
      <c r="B397" s="189" t="n"/>
      <c r="C397" s="189" t="n"/>
      <c r="D397" s="189" t="n"/>
      <c r="E397" s="189" t="n"/>
      <c r="F397" s="189" t="n"/>
      <c r="G397" s="189" t="n"/>
      <c r="H397" s="189" t="n"/>
      <c r="I397" s="189" t="n"/>
      <c r="J397" s="189" t="n"/>
      <c r="K397" s="189" t="n"/>
      <c r="L397" s="189" t="n"/>
      <c r="M397" s="189" t="n"/>
      <c r="N397" s="189" t="n"/>
      <c r="O397" s="189" t="n"/>
      <c r="P397" s="189" t="n"/>
      <c r="Q397" s="189" t="n"/>
      <c r="R397" s="189" t="n"/>
      <c r="S397" s="189" t="n"/>
      <c r="T397" s="189" t="n"/>
      <c r="U397" s="189" t="n"/>
      <c r="V397" s="189" t="n"/>
      <c r="W397" s="189" t="n"/>
      <c r="X397" s="189" t="n"/>
      <c r="Y397" s="189" t="n"/>
      <c r="Z397" s="189" t="n"/>
      <c r="AA397" s="189" t="n"/>
      <c r="AB397" s="189" t="n"/>
      <c r="AC397" s="189" t="n"/>
      <c r="AD397" s="189" t="n"/>
      <c r="AE397" s="189" t="n"/>
      <c r="AF397" s="189" t="n"/>
      <c r="AG397" s="189" t="n"/>
      <c r="AH397" s="189" t="n"/>
      <c r="AI397" s="51" t="inlineStr">
        <is>
          <t>U1Y</t>
        </is>
      </c>
    </row>
    <row r="398">
      <c r="B398" s="189" t="n"/>
      <c r="C398" s="189" t="n"/>
      <c r="D398" s="189" t="n"/>
      <c r="E398" s="189" t="n"/>
      <c r="F398" s="189" t="n"/>
      <c r="G398" s="189" t="n"/>
      <c r="H398" s="189" t="n"/>
      <c r="I398" s="189" t="n"/>
      <c r="J398" s="189" t="n"/>
      <c r="K398" s="189" t="n"/>
      <c r="L398" s="189" t="n"/>
      <c r="M398" s="189" t="n"/>
      <c r="N398" s="189" t="n"/>
      <c r="O398" s="189" t="n"/>
      <c r="P398" s="189" t="n"/>
      <c r="Q398" s="189" t="n"/>
      <c r="R398" s="189" t="n"/>
      <c r="S398" s="189" t="n"/>
      <c r="T398" s="189" t="n"/>
      <c r="U398" s="189" t="n"/>
      <c r="V398" s="189" t="n"/>
      <c r="W398" s="189" t="n"/>
      <c r="X398" s="189" t="n"/>
      <c r="Y398" s="189" t="n"/>
      <c r="Z398" s="189" t="n"/>
      <c r="AA398" s="189" t="n"/>
      <c r="AB398" s="189" t="n"/>
      <c r="AC398" s="189" t="n"/>
      <c r="AD398" s="189" t="n"/>
      <c r="AE398" s="189" t="n"/>
      <c r="AF398" s="189" t="n"/>
      <c r="AG398" s="189" t="n"/>
      <c r="AH398" s="189" t="n"/>
      <c r="AI398" s="51" t="inlineStr">
        <is>
          <t>U1θ</t>
        </is>
      </c>
    </row>
    <row r="399">
      <c r="B399" s="189" t="n"/>
      <c r="C399" s="189" t="n"/>
      <c r="D399" s="189" t="n"/>
      <c r="E399" s="189" t="n"/>
      <c r="F399" s="189" t="n"/>
      <c r="G399" s="189" t="n"/>
      <c r="H399" s="189" t="n"/>
      <c r="I399" s="189" t="n"/>
      <c r="J399" s="189" t="n"/>
      <c r="K399" s="189" t="n"/>
      <c r="L399" s="189" t="n"/>
      <c r="M399" s="189" t="n"/>
      <c r="N399" s="189" t="n"/>
      <c r="O399" s="189" t="n"/>
      <c r="P399" s="189" t="n"/>
      <c r="Q399" s="189" t="n"/>
      <c r="R399" s="189" t="n"/>
      <c r="S399" s="189" t="n"/>
      <c r="T399" s="189" t="n"/>
      <c r="U399" s="189" t="n"/>
      <c r="V399" s="189" t="n"/>
      <c r="W399" s="189" t="n"/>
      <c r="X399" s="189" t="n"/>
      <c r="Y399" s="189" t="n"/>
      <c r="Z399" s="189" t="n"/>
      <c r="AA399" s="189" t="n"/>
      <c r="AB399" s="189" t="n"/>
      <c r="AC399" s="189" t="n"/>
      <c r="AD399" s="189" t="n"/>
      <c r="AE399" s="189" t="n"/>
      <c r="AF399" s="189" t="n"/>
      <c r="AG399" s="189" t="n"/>
      <c r="AH399" s="189" t="n"/>
      <c r="AI399" s="51" t="inlineStr">
        <is>
          <t>U2X</t>
        </is>
      </c>
    </row>
    <row r="400">
      <c r="B400" s="189" t="n"/>
      <c r="C400" s="189" t="n"/>
      <c r="D400" s="189" t="n"/>
      <c r="E400" s="189" t="n"/>
      <c r="F400" s="189" t="n"/>
      <c r="G400" s="189" t="n"/>
      <c r="H400" s="189" t="n"/>
      <c r="I400" s="189" t="n"/>
      <c r="J400" s="189" t="n"/>
      <c r="K400" s="189" t="n"/>
      <c r="L400" s="189" t="n"/>
      <c r="M400" s="189" t="n"/>
      <c r="N400" s="189" t="n"/>
      <c r="O400" s="189" t="n"/>
      <c r="P400" s="189" t="n"/>
      <c r="Q400" s="189" t="n"/>
      <c r="R400" s="189" t="n"/>
      <c r="S400" s="189" t="n"/>
      <c r="T400" s="189" t="n"/>
      <c r="U400" s="189" t="n"/>
      <c r="V400" s="189" t="n"/>
      <c r="W400" s="189" t="n"/>
      <c r="X400" s="189" t="n"/>
      <c r="Y400" s="189" t="n"/>
      <c r="Z400" s="189" t="n"/>
      <c r="AA400" s="189" t="n"/>
      <c r="AB400" s="189" t="n"/>
      <c r="AC400" s="189" t="n"/>
      <c r="AD400" s="189" t="n"/>
      <c r="AE400" s="189" t="n"/>
      <c r="AF400" s="189" t="n"/>
      <c r="AG400" s="189" t="n"/>
      <c r="AH400" s="189" t="n"/>
      <c r="AI400" s="51" t="inlineStr">
        <is>
          <t>U2Y</t>
        </is>
      </c>
    </row>
    <row r="401">
      <c r="B401" s="189" t="n"/>
      <c r="C401" s="189" t="n"/>
      <c r="D401" s="189" t="n"/>
      <c r="E401" s="189" t="n"/>
      <c r="F401" s="189" t="n"/>
      <c r="G401" s="189" t="n"/>
      <c r="H401" s="189" t="n"/>
      <c r="I401" s="189" t="n"/>
      <c r="J401" s="189" t="n"/>
      <c r="K401" s="189" t="n"/>
      <c r="L401" s="189" t="n"/>
      <c r="M401" s="189" t="n"/>
      <c r="N401" s="189" t="n"/>
      <c r="O401" s="189" t="n"/>
      <c r="P401" s="189" t="n"/>
      <c r="Q401" s="189" t="n"/>
      <c r="R401" s="189" t="n"/>
      <c r="S401" s="189" t="n"/>
      <c r="T401" s="189" t="n"/>
      <c r="U401" s="189" t="n"/>
      <c r="V401" s="189" t="n"/>
      <c r="W401" s="189" t="n"/>
      <c r="X401" s="189" t="n"/>
      <c r="Y401" s="189" t="n"/>
      <c r="Z401" s="189" t="n"/>
      <c r="AA401" s="189" t="n"/>
      <c r="AB401" s="189" t="n"/>
      <c r="AC401" s="189" t="n"/>
      <c r="AD401" s="189" t="n"/>
      <c r="AE401" s="189" t="n"/>
      <c r="AF401" s="189" t="n"/>
      <c r="AG401" s="189" t="n"/>
      <c r="AH401" s="189" t="n"/>
      <c r="AI401" s="51" t="inlineStr">
        <is>
          <t>U2θ</t>
        </is>
      </c>
    </row>
    <row r="402">
      <c r="B402" s="189" t="n"/>
      <c r="C402" s="189" t="n"/>
      <c r="D402" s="189" t="n"/>
      <c r="E402" s="189" t="n"/>
      <c r="F402" s="189" t="n"/>
      <c r="G402" s="189" t="n"/>
      <c r="H402" s="189" t="n"/>
      <c r="I402" s="189" t="n"/>
      <c r="J402" s="189" t="n"/>
      <c r="K402" s="189" t="n"/>
      <c r="L402" s="189" t="n"/>
      <c r="M402" s="189" t="n"/>
      <c r="N402" s="189" t="n"/>
      <c r="O402" s="189" t="n"/>
      <c r="P402" s="189" t="n"/>
      <c r="Q402" s="189" t="n"/>
      <c r="R402" s="189" t="n"/>
      <c r="S402" s="189" t="n"/>
      <c r="T402" s="189" t="n"/>
      <c r="U402" s="189" t="n"/>
      <c r="V402" s="189" t="n"/>
      <c r="W402" s="189" t="n"/>
      <c r="X402" s="189" t="n"/>
      <c r="Y402" s="189" t="n"/>
      <c r="Z402" s="189" t="n"/>
      <c r="AA402" s="189" t="n"/>
      <c r="AB402" s="189" t="n"/>
      <c r="AC402" s="189" t="n"/>
      <c r="AD402" s="189" t="n"/>
      <c r="AE402" s="189" t="n"/>
      <c r="AF402" s="189" t="n"/>
      <c r="AG402" s="189" t="n"/>
      <c r="AH402" s="189" t="n"/>
      <c r="AI402" s="51" t="inlineStr">
        <is>
          <t>U3X</t>
        </is>
      </c>
    </row>
    <row r="403">
      <c r="B403" s="189" t="n"/>
      <c r="C403" s="189" t="n"/>
      <c r="D403" s="189" t="n"/>
      <c r="E403" s="189" t="n"/>
      <c r="F403" s="189" t="n"/>
      <c r="G403" s="189" t="n"/>
      <c r="H403" s="189" t="n"/>
      <c r="I403" s="189" t="n"/>
      <c r="J403" s="189" t="n"/>
      <c r="K403" s="189" t="n"/>
      <c r="L403" s="189" t="n"/>
      <c r="M403" s="189" t="n"/>
      <c r="N403" s="189" t="n"/>
      <c r="O403" s="189" t="n"/>
      <c r="P403" s="189" t="n"/>
      <c r="Q403" s="189" t="n"/>
      <c r="R403" s="189" t="n"/>
      <c r="S403" s="189" t="n"/>
      <c r="T403" s="189" t="n"/>
      <c r="U403" s="189" t="n"/>
      <c r="V403" s="189" t="n"/>
      <c r="W403" s="189" t="n"/>
      <c r="X403" s="189" t="n"/>
      <c r="Y403" s="189" t="n"/>
      <c r="Z403" s="189" t="n"/>
      <c r="AA403" s="189" t="n"/>
      <c r="AB403" s="189" t="n"/>
      <c r="AC403" s="189" t="n"/>
      <c r="AD403" s="189" t="n"/>
      <c r="AE403" s="189" t="n"/>
      <c r="AF403" s="189" t="n"/>
      <c r="AG403" s="189" t="n"/>
      <c r="AH403" s="189" t="n"/>
      <c r="AI403" s="51" t="inlineStr">
        <is>
          <t>U3Y</t>
        </is>
      </c>
    </row>
    <row r="404">
      <c r="B404" s="189" t="n"/>
      <c r="C404" s="189" t="n"/>
      <c r="D404" s="189" t="n"/>
      <c r="E404" s="189" t="n"/>
      <c r="F404" s="189" t="n"/>
      <c r="G404" s="189" t="n"/>
      <c r="H404" s="189" t="n"/>
      <c r="I404" s="189" t="n"/>
      <c r="J404" s="189" t="n"/>
      <c r="K404" s="189" t="n"/>
      <c r="L404" s="189" t="n"/>
      <c r="M404" s="189" t="n"/>
      <c r="N404" s="189" t="n"/>
      <c r="O404" s="189" t="n"/>
      <c r="P404" s="189" t="n"/>
      <c r="Q404" s="189" t="n"/>
      <c r="R404" s="189" t="n"/>
      <c r="S404" s="189" t="n"/>
      <c r="T404" s="189" t="n"/>
      <c r="U404" s="189" t="n"/>
      <c r="V404" s="189" t="n"/>
      <c r="W404" s="189" t="n"/>
      <c r="X404" s="189" t="n"/>
      <c r="Y404" s="189" t="n"/>
      <c r="Z404" s="189" t="n"/>
      <c r="AA404" s="189" t="n"/>
      <c r="AB404" s="189" t="n"/>
      <c r="AC404" s="189" t="n"/>
      <c r="AD404" s="189" t="n"/>
      <c r="AE404" s="189" t="n"/>
      <c r="AF404" s="189" t="n"/>
      <c r="AG404" s="189" t="n"/>
      <c r="AH404" s="189" t="n"/>
      <c r="AI404" s="51" t="inlineStr">
        <is>
          <t>U3θ</t>
        </is>
      </c>
    </row>
    <row r="405">
      <c r="B405" s="189" t="n"/>
      <c r="C405" s="189" t="n"/>
      <c r="D405" s="189" t="n"/>
      <c r="E405" s="189" t="n"/>
      <c r="F405" s="189" t="n"/>
      <c r="G405" s="189" t="n"/>
      <c r="H405" s="189" t="n"/>
      <c r="I405" s="189" t="n"/>
      <c r="J405" s="189" t="n"/>
      <c r="K405" s="189" t="n"/>
      <c r="L405" s="189" t="n"/>
      <c r="M405" s="189" t="n"/>
      <c r="N405" s="189" t="n"/>
      <c r="O405" s="189" t="n"/>
      <c r="P405" s="189" t="n"/>
      <c r="Q405" s="189" t="n"/>
      <c r="R405" s="189" t="n"/>
      <c r="S405" s="189" t="n"/>
      <c r="T405" s="189" t="n"/>
      <c r="U405" s="189" t="n"/>
      <c r="V405" s="189" t="n"/>
      <c r="W405" s="189" t="n"/>
      <c r="X405" s="189" t="n"/>
      <c r="Y405" s="189" t="n"/>
      <c r="Z405" s="189" t="n"/>
      <c r="AA405" s="189" t="n"/>
      <c r="AB405" s="189" t="n"/>
      <c r="AC405" s="189" t="n"/>
      <c r="AD405" s="189" t="n"/>
      <c r="AE405" s="189" t="n"/>
      <c r="AF405" s="189" t="n"/>
      <c r="AG405" s="189" t="n"/>
      <c r="AH405" s="189" t="n"/>
      <c r="AI405" s="51" t="inlineStr">
        <is>
          <t>U4X</t>
        </is>
      </c>
    </row>
    <row r="406">
      <c r="B406" s="189" t="n"/>
      <c r="C406" s="189" t="n"/>
      <c r="D406" s="189" t="n"/>
      <c r="E406" s="189" t="n"/>
      <c r="F406" s="189" t="n"/>
      <c r="G406" s="189" t="n"/>
      <c r="H406" s="189" t="n"/>
      <c r="I406" s="189" t="n"/>
      <c r="J406" s="189" t="n"/>
      <c r="K406" s="189" t="n"/>
      <c r="L406" s="189" t="n"/>
      <c r="M406" s="189" t="n"/>
      <c r="N406" s="189" t="n"/>
      <c r="O406" s="189" t="n"/>
      <c r="P406" s="189" t="n"/>
      <c r="Q406" s="189" t="n"/>
      <c r="R406" s="189" t="n"/>
      <c r="S406" s="189" t="n"/>
      <c r="T406" s="189" t="n"/>
      <c r="U406" s="189" t="n"/>
      <c r="V406" s="189" t="n"/>
      <c r="W406" s="189" t="n"/>
      <c r="X406" s="189" t="n"/>
      <c r="Y406" s="189" t="n"/>
      <c r="Z406" s="189" t="n"/>
      <c r="AA406" s="189" t="n"/>
      <c r="AB406" s="189" t="n"/>
      <c r="AC406" s="189" t="n"/>
      <c r="AD406" s="189" t="n"/>
      <c r="AE406" s="189" t="n"/>
      <c r="AF406" s="189" t="n"/>
      <c r="AG406" s="189" t="n"/>
      <c r="AH406" s="189" t="n"/>
      <c r="AI406" s="51" t="inlineStr">
        <is>
          <t>U4Y</t>
        </is>
      </c>
    </row>
    <row r="407">
      <c r="B407" s="189" t="n"/>
      <c r="C407" s="189" t="n"/>
      <c r="D407" s="189" t="n"/>
      <c r="E407" s="189" t="n"/>
      <c r="F407" s="189" t="n"/>
      <c r="G407" s="189" t="n"/>
      <c r="H407" s="189" t="n"/>
      <c r="I407" s="189" t="n"/>
      <c r="J407" s="189" t="n"/>
      <c r="K407" s="189" t="n"/>
      <c r="L407" s="189" t="n"/>
      <c r="M407" s="189" t="n"/>
      <c r="N407" s="189" t="n"/>
      <c r="O407" s="189" t="n"/>
      <c r="P407" s="189" t="n"/>
      <c r="Q407" s="189" t="n"/>
      <c r="R407" s="189" t="n"/>
      <c r="S407" s="189" t="n"/>
      <c r="T407" s="189" t="n"/>
      <c r="U407" s="189" t="n"/>
      <c r="V407" s="189" t="n"/>
      <c r="W407" s="189" t="n"/>
      <c r="X407" s="189" t="n"/>
      <c r="Y407" s="189" t="n"/>
      <c r="Z407" s="189" t="n"/>
      <c r="AA407" s="189" t="n"/>
      <c r="AB407" s="189" t="n"/>
      <c r="AC407" s="189" t="n"/>
      <c r="AD407" s="189" t="n"/>
      <c r="AE407" s="189" t="n"/>
      <c r="AF407" s="189" t="n"/>
      <c r="AG407" s="189" t="n"/>
      <c r="AH407" s="189" t="n"/>
      <c r="AI407" s="51" t="inlineStr">
        <is>
          <t>U4θ</t>
        </is>
      </c>
    </row>
    <row r="408">
      <c r="B408" s="189" t="n"/>
      <c r="C408" s="189" t="n"/>
      <c r="D408" s="189" t="n"/>
      <c r="E408" s="189" t="n"/>
      <c r="F408" s="189" t="n"/>
      <c r="G408" s="189" t="n"/>
      <c r="H408" s="189" t="n"/>
      <c r="I408" s="189" t="n"/>
      <c r="J408" s="189" t="n"/>
      <c r="K408" s="189" t="n"/>
      <c r="L408" s="189" t="n"/>
      <c r="M408" s="189" t="n"/>
      <c r="N408" s="189" t="n"/>
      <c r="O408" s="189" t="n"/>
      <c r="P408" s="189" t="n"/>
      <c r="Q408" s="189" t="n"/>
      <c r="R408" s="189" t="n"/>
      <c r="S408" s="189" t="n"/>
      <c r="T408" s="189" t="n"/>
      <c r="U408" s="189" t="n"/>
      <c r="V408" s="189" t="n"/>
      <c r="W408" s="189" t="n"/>
      <c r="X408" s="189" t="n"/>
      <c r="Y408" s="189" t="n"/>
      <c r="Z408" s="189" t="n"/>
      <c r="AA408" s="189" t="n"/>
      <c r="AB408" s="189" t="n"/>
      <c r="AC408" s="189" t="n"/>
      <c r="AD408" s="189" t="n"/>
      <c r="AE408" s="189" t="n"/>
      <c r="AF408" s="189" t="n"/>
      <c r="AG408" s="189" t="n"/>
      <c r="AH408" s="189" t="n"/>
      <c r="AI408" s="51" t="inlineStr">
        <is>
          <t>U5X</t>
        </is>
      </c>
    </row>
    <row r="409">
      <c r="B409" s="189" t="n"/>
      <c r="C409" s="189" t="n"/>
      <c r="D409" s="189" t="n"/>
      <c r="E409" s="189" t="n"/>
      <c r="F409" s="189" t="n"/>
      <c r="G409" s="189" t="n"/>
      <c r="H409" s="189" t="n"/>
      <c r="I409" s="189" t="n"/>
      <c r="J409" s="189" t="n"/>
      <c r="K409" s="189" t="n"/>
      <c r="L409" s="189" t="n"/>
      <c r="M409" s="189" t="n"/>
      <c r="N409" s="189" t="n"/>
      <c r="O409" s="189" t="n"/>
      <c r="P409" s="189" t="n"/>
      <c r="Q409" s="189" t="n"/>
      <c r="R409" s="189" t="n"/>
      <c r="S409" s="189" t="n"/>
      <c r="T409" s="189" t="n"/>
      <c r="U409" s="189" t="n"/>
      <c r="V409" s="189" t="n"/>
      <c r="W409" s="189" t="n"/>
      <c r="X409" s="189" t="n"/>
      <c r="Y409" s="189" t="n"/>
      <c r="Z409" s="189" t="n"/>
      <c r="AA409" s="189" t="n"/>
      <c r="AB409" s="189" t="n"/>
      <c r="AC409" s="189" t="n"/>
      <c r="AD409" s="189" t="n"/>
      <c r="AE409" s="189" t="n"/>
      <c r="AF409" s="189" t="n"/>
      <c r="AG409" s="189" t="n"/>
      <c r="AH409" s="189" t="n"/>
      <c r="AI409" s="51" t="inlineStr">
        <is>
          <t>U5Y</t>
        </is>
      </c>
    </row>
    <row r="410">
      <c r="B410" s="189" t="n"/>
      <c r="C410" s="189" t="n"/>
      <c r="D410" s="189" t="n"/>
      <c r="E410" s="189" t="n"/>
      <c r="F410" s="189" t="n"/>
      <c r="G410" s="189" t="n"/>
      <c r="H410" s="189" t="n"/>
      <c r="I410" s="189" t="n"/>
      <c r="J410" s="189" t="n"/>
      <c r="K410" s="189" t="n"/>
      <c r="L410" s="189" t="n"/>
      <c r="M410" s="189" t="n"/>
      <c r="N410" s="189" t="n"/>
      <c r="O410" s="189" t="n"/>
      <c r="P410" s="189" t="n"/>
      <c r="Q410" s="189" t="n"/>
      <c r="R410" s="189" t="n"/>
      <c r="S410" s="189" t="n"/>
      <c r="T410" s="189" t="n"/>
      <c r="U410" s="189" t="n"/>
      <c r="V410" s="189" t="n"/>
      <c r="W410" s="189" t="n"/>
      <c r="X410" s="189" t="n"/>
      <c r="Y410" s="189" t="n"/>
      <c r="Z410" s="189" t="n"/>
      <c r="AA410" s="189" t="n"/>
      <c r="AB410" s="189" t="n"/>
      <c r="AC410" s="189" t="n"/>
      <c r="AD410" s="189" t="n"/>
      <c r="AE410" s="189" t="n"/>
      <c r="AF410" s="189" t="n"/>
      <c r="AG410" s="189" t="n"/>
      <c r="AH410" s="189" t="n"/>
      <c r="AI410" s="51" t="inlineStr">
        <is>
          <t>U5θ</t>
        </is>
      </c>
    </row>
    <row r="411">
      <c r="A411" s="118" t="inlineStr">
        <is>
          <t>K9 =</t>
        </is>
      </c>
      <c r="B411" s="189" t="n"/>
      <c r="C411" s="189" t="n"/>
      <c r="D411" s="189" t="n"/>
      <c r="E411" s="189" t="n"/>
      <c r="F411" s="189" t="n"/>
      <c r="G411" s="189" t="n"/>
      <c r="H411" s="189" t="n"/>
      <c r="I411" s="189" t="n"/>
      <c r="J411" s="189" t="n"/>
      <c r="K411" s="189" t="n"/>
      <c r="L411" s="189" t="n"/>
      <c r="M411" s="189" t="n"/>
      <c r="N411" s="189" t="n"/>
      <c r="O411" s="189" t="n"/>
      <c r="P411" s="189" t="n"/>
      <c r="Q411" s="189" t="n"/>
      <c r="R411" s="189" t="n"/>
      <c r="S411" s="189" t="n"/>
      <c r="T411" s="189" t="n"/>
      <c r="U411" s="189" t="n"/>
      <c r="V411" s="189" t="n"/>
      <c r="W411" s="189" t="n"/>
      <c r="X411" s="189" t="n"/>
      <c r="Y411" s="189" t="n"/>
      <c r="Z411" s="189" t="n"/>
      <c r="AA411" s="189" t="n"/>
      <c r="AB411" s="189" t="n"/>
      <c r="AC411" s="189" t="n"/>
      <c r="AD411" s="189" t="n"/>
      <c r="AE411" s="189" t="n"/>
      <c r="AF411" s="189" t="n"/>
      <c r="AG411" s="189" t="n"/>
      <c r="AH411" s="189" t="n"/>
      <c r="AI411" s="51" t="inlineStr">
        <is>
          <t>U6X</t>
        </is>
      </c>
    </row>
    <row r="412">
      <c r="B412" s="189" t="n"/>
      <c r="C412" s="189" t="n"/>
      <c r="D412" s="189" t="n"/>
      <c r="E412" s="189" t="n"/>
      <c r="F412" s="189" t="n"/>
      <c r="G412" s="189" t="n"/>
      <c r="H412" s="189" t="n"/>
      <c r="I412" s="189" t="n"/>
      <c r="J412" s="189" t="n"/>
      <c r="K412" s="189" t="n"/>
      <c r="L412" s="189" t="n"/>
      <c r="M412" s="189" t="n"/>
      <c r="N412" s="189" t="n"/>
      <c r="O412" s="189" t="n"/>
      <c r="P412" s="189" t="n"/>
      <c r="Q412" s="189" t="n"/>
      <c r="R412" s="189" t="n"/>
      <c r="S412" s="189" t="n"/>
      <c r="T412" s="189" t="n"/>
      <c r="U412" s="189" t="n"/>
      <c r="V412" s="189" t="n"/>
      <c r="W412" s="189" t="n"/>
      <c r="X412" s="189" t="n"/>
      <c r="Y412" s="189" t="n"/>
      <c r="Z412" s="189" t="n"/>
      <c r="AA412" s="189" t="n"/>
      <c r="AB412" s="189" t="n"/>
      <c r="AC412" s="189" t="n"/>
      <c r="AD412" s="189" t="n"/>
      <c r="AE412" s="189" t="n"/>
      <c r="AF412" s="189" t="n"/>
      <c r="AG412" s="189" t="n"/>
      <c r="AH412" s="189" t="n"/>
      <c r="AI412" s="51" t="inlineStr">
        <is>
          <t>U6Y</t>
        </is>
      </c>
    </row>
    <row r="413">
      <c r="B413" s="189" t="n"/>
      <c r="C413" s="189" t="n"/>
      <c r="D413" s="189" t="n"/>
      <c r="E413" s="189" t="n"/>
      <c r="F413" s="189" t="n"/>
      <c r="G413" s="189" t="n"/>
      <c r="H413" s="189" t="n"/>
      <c r="I413" s="189" t="n"/>
      <c r="J413" s="189" t="n"/>
      <c r="K413" s="189" t="n"/>
      <c r="L413" s="189" t="n"/>
      <c r="M413" s="189" t="n"/>
      <c r="N413" s="189" t="n"/>
      <c r="O413" s="189" t="n"/>
      <c r="P413" s="189" t="n"/>
      <c r="Q413" s="189" t="n"/>
      <c r="R413" s="189" t="n"/>
      <c r="S413" s="189" t="n"/>
      <c r="T413" s="189" t="n"/>
      <c r="U413" s="189" t="n"/>
      <c r="V413" s="189" t="n"/>
      <c r="W413" s="189" t="n"/>
      <c r="X413" s="189" t="n"/>
      <c r="Y413" s="189" t="n"/>
      <c r="Z413" s="189" t="n"/>
      <c r="AA413" s="189" t="n"/>
      <c r="AB413" s="189" t="n"/>
      <c r="AC413" s="189" t="n"/>
      <c r="AD413" s="189" t="n"/>
      <c r="AE413" s="189" t="n"/>
      <c r="AF413" s="189" t="n"/>
      <c r="AG413" s="189" t="n"/>
      <c r="AH413" s="189" t="n"/>
      <c r="AI413" s="51" t="inlineStr">
        <is>
          <t>U6θ</t>
        </is>
      </c>
    </row>
    <row r="414">
      <c r="B414" s="189" t="n"/>
      <c r="C414" s="189" t="n"/>
      <c r="D414" s="189" t="n"/>
      <c r="E414" s="189" t="n"/>
      <c r="F414" s="189" t="n"/>
      <c r="G414" s="189" t="n"/>
      <c r="H414" s="189" t="n"/>
      <c r="I414" s="189" t="n"/>
      <c r="J414" s="189" t="n"/>
      <c r="K414" s="189" t="n"/>
      <c r="L414" s="189" t="n"/>
      <c r="M414" s="189" t="n"/>
      <c r="N414" s="189" t="n"/>
      <c r="O414" s="189" t="n"/>
      <c r="P414" s="189" t="n"/>
      <c r="Q414" s="189" t="n"/>
      <c r="R414" s="189" t="n"/>
      <c r="S414" s="189" t="n"/>
      <c r="T414" s="189" t="n"/>
      <c r="U414" s="189" t="n"/>
      <c r="V414" s="189" t="n"/>
      <c r="W414" s="189" t="n"/>
      <c r="X414" s="189" t="n"/>
      <c r="Y414" s="189" t="n"/>
      <c r="Z414" s="189" t="n"/>
      <c r="AA414" s="189" t="n"/>
      <c r="AB414" s="189" t="n"/>
      <c r="AC414" s="189" t="n"/>
      <c r="AD414" s="189" t="n"/>
      <c r="AE414" s="189" t="n"/>
      <c r="AF414" s="189" t="n"/>
      <c r="AG414" s="189" t="n"/>
      <c r="AH414" s="189" t="n"/>
      <c r="AI414" s="51" t="inlineStr">
        <is>
          <t>U7X</t>
        </is>
      </c>
    </row>
    <row r="415">
      <c r="B415" s="189" t="n"/>
      <c r="C415" s="189" t="n"/>
      <c r="D415" s="189" t="n"/>
      <c r="E415" s="189" t="n"/>
      <c r="F415" s="189" t="n"/>
      <c r="G415" s="189" t="n"/>
      <c r="H415" s="189" t="n"/>
      <c r="I415" s="189" t="n"/>
      <c r="J415" s="189" t="n"/>
      <c r="K415" s="189" t="n"/>
      <c r="L415" s="189" t="n"/>
      <c r="M415" s="189" t="n"/>
      <c r="N415" s="189" t="n"/>
      <c r="O415" s="189" t="n"/>
      <c r="P415" s="189" t="n"/>
      <c r="Q415" s="189" t="n"/>
      <c r="R415" s="189" t="n"/>
      <c r="S415" s="189" t="n"/>
      <c r="T415" s="189" t="n"/>
      <c r="U415" s="189" t="n"/>
      <c r="V415" s="189" t="n"/>
      <c r="W415" s="189" t="n"/>
      <c r="X415" s="189" t="n"/>
      <c r="Y415" s="189" t="n"/>
      <c r="Z415" s="189" t="n"/>
      <c r="AA415" s="189" t="n"/>
      <c r="AB415" s="189" t="n"/>
      <c r="AC415" s="189" t="n"/>
      <c r="AD415" s="189" t="n"/>
      <c r="AE415" s="189" t="n"/>
      <c r="AF415" s="189" t="n"/>
      <c r="AG415" s="189" t="n"/>
      <c r="AH415" s="189" t="n"/>
      <c r="AI415" s="51" t="inlineStr">
        <is>
          <t>U7Y</t>
        </is>
      </c>
    </row>
    <row r="416">
      <c r="B416" s="189" t="n"/>
      <c r="C416" s="189" t="n"/>
      <c r="D416" s="189" t="n"/>
      <c r="E416" s="189" t="n"/>
      <c r="F416" s="189" t="n"/>
      <c r="G416" s="189" t="n"/>
      <c r="H416" s="189" t="n"/>
      <c r="I416" s="189" t="n"/>
      <c r="J416" s="189" t="n"/>
      <c r="K416" s="189" t="n"/>
      <c r="L416" s="189" t="n"/>
      <c r="M416" s="189" t="n"/>
      <c r="N416" s="189" t="n"/>
      <c r="O416" s="189" t="n"/>
      <c r="P416" s="189" t="n"/>
      <c r="Q416" s="189" t="n"/>
      <c r="R416" s="189" t="n"/>
      <c r="S416" s="189" t="n"/>
      <c r="T416" s="189" t="n"/>
      <c r="U416" s="189" t="n"/>
      <c r="V416" s="189" t="n"/>
      <c r="W416" s="189" t="n"/>
      <c r="X416" s="189" t="n"/>
      <c r="Y416" s="189" t="n"/>
      <c r="Z416" s="189" t="n"/>
      <c r="AA416" s="189" t="n"/>
      <c r="AB416" s="189" t="n"/>
      <c r="AC416" s="189" t="n"/>
      <c r="AD416" s="189" t="n"/>
      <c r="AE416" s="189" t="n"/>
      <c r="AF416" s="189" t="n"/>
      <c r="AG416" s="189" t="n"/>
      <c r="AH416" s="189" t="n"/>
      <c r="AI416" s="51" t="inlineStr">
        <is>
          <t>U7θ</t>
        </is>
      </c>
    </row>
    <row r="417">
      <c r="B417" s="189" t="n"/>
      <c r="C417" s="189" t="n"/>
      <c r="D417" s="189" t="n"/>
      <c r="E417" s="189" t="n"/>
      <c r="F417" s="189" t="n"/>
      <c r="G417" s="189" t="n"/>
      <c r="H417" s="189" t="n"/>
      <c r="I417" s="189" t="n"/>
      <c r="J417" s="189" t="n"/>
      <c r="K417" s="189" t="n"/>
      <c r="L417" s="189" t="n"/>
      <c r="M417" s="189" t="n"/>
      <c r="N417" s="189" t="n"/>
      <c r="O417" s="189" t="n"/>
      <c r="P417" s="189" t="n"/>
      <c r="Q417" s="189" t="n"/>
      <c r="R417" s="189" t="n"/>
      <c r="S417" s="189" t="n"/>
      <c r="T417" s="189" t="n"/>
      <c r="U417" s="189" t="n"/>
      <c r="V417" s="189" t="n"/>
      <c r="W417" s="189" t="n"/>
      <c r="X417" s="189" t="n"/>
      <c r="Y417" s="189" t="n"/>
      <c r="Z417" s="189" t="n"/>
      <c r="AA417" s="189" t="n"/>
      <c r="AB417" s="189" t="n"/>
      <c r="AC417" s="189" t="n"/>
      <c r="AD417" s="189" t="n"/>
      <c r="AE417" s="189" t="n"/>
      <c r="AF417" s="189" t="n"/>
      <c r="AG417" s="189" t="n"/>
      <c r="AH417" s="189" t="n"/>
      <c r="AI417" s="51" t="inlineStr">
        <is>
          <t>U8X</t>
        </is>
      </c>
    </row>
    <row r="418">
      <c r="B418" s="189" t="n"/>
      <c r="C418" s="189" t="n"/>
      <c r="D418" s="189" t="n"/>
      <c r="E418" s="189" t="n"/>
      <c r="F418" s="189" t="n"/>
      <c r="G418" s="189" t="n"/>
      <c r="H418" s="189" t="n"/>
      <c r="I418" s="189" t="n"/>
      <c r="J418" s="189" t="n"/>
      <c r="K418" s="189" t="n"/>
      <c r="L418" s="189" t="n"/>
      <c r="M418" s="189" t="n"/>
      <c r="N418" s="189" t="n"/>
      <c r="O418" s="189" t="n"/>
      <c r="P418" s="189" t="n"/>
      <c r="Q418" s="189" t="n"/>
      <c r="R418" s="189" t="n"/>
      <c r="S418" s="189" t="n"/>
      <c r="T418" s="189" t="n"/>
      <c r="U418" s="189" t="n"/>
      <c r="V418" s="189" t="n"/>
      <c r="W418" s="189" t="n"/>
      <c r="X418" s="189" t="n"/>
      <c r="Y418" s="189" t="n"/>
      <c r="Z418" s="189" t="n"/>
      <c r="AA418" s="189" t="n"/>
      <c r="AB418" s="189" t="n"/>
      <c r="AC418" s="189" t="n"/>
      <c r="AD418" s="189" t="n"/>
      <c r="AE418" s="189" t="n"/>
      <c r="AF418" s="189" t="n"/>
      <c r="AG418" s="189" t="n"/>
      <c r="AH418" s="189" t="n"/>
      <c r="AI418" s="51" t="inlineStr">
        <is>
          <t>U8Y</t>
        </is>
      </c>
    </row>
    <row r="419">
      <c r="B419" s="189" t="n"/>
      <c r="C419" s="189" t="n"/>
      <c r="D419" s="189" t="n"/>
      <c r="E419" s="189" t="n"/>
      <c r="F419" s="189" t="n"/>
      <c r="G419" s="189" t="n"/>
      <c r="H419" s="189" t="n"/>
      <c r="I419" s="189" t="n"/>
      <c r="J419" s="189" t="n"/>
      <c r="K419" s="189" t="n"/>
      <c r="L419" s="189" t="n"/>
      <c r="M419" s="189" t="n"/>
      <c r="N419" s="189" t="n"/>
      <c r="O419" s="189" t="n"/>
      <c r="P419" s="189" t="n"/>
      <c r="Q419" s="189" t="n"/>
      <c r="R419" s="189" t="n"/>
      <c r="S419" s="189" t="n"/>
      <c r="T419" s="189" t="n"/>
      <c r="U419" s="189" t="n"/>
      <c r="V419" s="189" t="n"/>
      <c r="W419" s="189" t="n"/>
      <c r="X419" s="189" t="n"/>
      <c r="Y419" s="189" t="n"/>
      <c r="Z419" s="189" t="n"/>
      <c r="AA419" s="189" t="n"/>
      <c r="AB419" s="189" t="n"/>
      <c r="AC419" s="189" t="n"/>
      <c r="AD419" s="189" t="n"/>
      <c r="AE419" s="189" t="n"/>
      <c r="AF419" s="189" t="n"/>
      <c r="AG419" s="189" t="n"/>
      <c r="AH419" s="189" t="n"/>
      <c r="AI419" s="51" t="inlineStr">
        <is>
          <t>U8θ</t>
        </is>
      </c>
    </row>
    <row r="420">
      <c r="B420" s="189" t="n"/>
      <c r="C420" s="189" t="n"/>
      <c r="D420" s="189" t="n"/>
      <c r="E420" s="189" t="n"/>
      <c r="F420" s="189" t="n"/>
      <c r="G420" s="189" t="n"/>
      <c r="H420" s="189" t="n"/>
      <c r="I420" s="189" t="n"/>
      <c r="J420" s="189" t="n"/>
      <c r="K420" s="189" t="n"/>
      <c r="L420" s="189" t="n"/>
      <c r="M420" s="189" t="n"/>
      <c r="N420" s="189" t="n"/>
      <c r="O420" s="189" t="n"/>
      <c r="P420" s="189" t="n"/>
      <c r="Q420" s="189" t="n"/>
      <c r="R420" s="189" t="n"/>
      <c r="S420" s="189" t="n"/>
      <c r="T420" s="189" t="n"/>
      <c r="U420" s="189" t="n"/>
      <c r="V420" s="189" t="n"/>
      <c r="W420" s="189" t="n"/>
      <c r="X420" s="189" t="n"/>
      <c r="Y420" s="189" t="n"/>
      <c r="Z420" s="189">
        <f>B388</f>
        <v/>
      </c>
      <c r="AA420" s="189">
        <f>C388</f>
        <v/>
      </c>
      <c r="AB420" s="189">
        <f>D388</f>
        <v/>
      </c>
      <c r="AC420" s="189">
        <f>E388</f>
        <v/>
      </c>
      <c r="AD420" s="189">
        <f>F388</f>
        <v/>
      </c>
      <c r="AE420" s="189">
        <f>G388</f>
        <v/>
      </c>
      <c r="AF420" s="189" t="n"/>
      <c r="AG420" s="189" t="n"/>
      <c r="AH420" s="189" t="n"/>
      <c r="AI420" s="51" t="inlineStr">
        <is>
          <t>U9X</t>
        </is>
      </c>
    </row>
    <row r="421">
      <c r="B421" s="189" t="n"/>
      <c r="C421" s="189" t="n"/>
      <c r="D421" s="189" t="n"/>
      <c r="E421" s="189" t="n"/>
      <c r="F421" s="189" t="n"/>
      <c r="G421" s="189" t="n"/>
      <c r="H421" s="189" t="n"/>
      <c r="I421" s="189" t="n"/>
      <c r="J421" s="189" t="n"/>
      <c r="K421" s="189" t="n"/>
      <c r="L421" s="189" t="n"/>
      <c r="M421" s="189" t="n"/>
      <c r="N421" s="189" t="n"/>
      <c r="O421" s="189" t="n"/>
      <c r="P421" s="189" t="n"/>
      <c r="Q421" s="189" t="n"/>
      <c r="R421" s="189" t="n"/>
      <c r="S421" s="189" t="n"/>
      <c r="T421" s="189" t="n"/>
      <c r="U421" s="189" t="n"/>
      <c r="V421" s="189" t="n"/>
      <c r="W421" s="189" t="n"/>
      <c r="X421" s="189" t="n"/>
      <c r="Y421" s="189" t="n"/>
      <c r="Z421" s="189">
        <f>B389</f>
        <v/>
      </c>
      <c r="AA421" s="189">
        <f>C389</f>
        <v/>
      </c>
      <c r="AB421" s="189">
        <f>D389</f>
        <v/>
      </c>
      <c r="AC421" s="189">
        <f>E389</f>
        <v/>
      </c>
      <c r="AD421" s="189">
        <f>F389</f>
        <v/>
      </c>
      <c r="AE421" s="189">
        <f>G389</f>
        <v/>
      </c>
      <c r="AF421" s="189" t="n"/>
      <c r="AG421" s="189" t="n"/>
      <c r="AH421" s="189" t="n"/>
      <c r="AI421" s="51" t="inlineStr">
        <is>
          <t>U9Y</t>
        </is>
      </c>
    </row>
    <row r="422">
      <c r="B422" s="189" t="n"/>
      <c r="C422" s="189" t="n"/>
      <c r="D422" s="189" t="n"/>
      <c r="E422" s="189" t="n"/>
      <c r="F422" s="189" t="n"/>
      <c r="G422" s="189" t="n"/>
      <c r="H422" s="189" t="n"/>
      <c r="I422" s="189" t="n"/>
      <c r="J422" s="189" t="n"/>
      <c r="K422" s="189" t="n"/>
      <c r="L422" s="189" t="n"/>
      <c r="M422" s="189" t="n"/>
      <c r="N422" s="189" t="n"/>
      <c r="O422" s="189" t="n"/>
      <c r="P422" s="189" t="n"/>
      <c r="Q422" s="189" t="n"/>
      <c r="R422" s="189" t="n"/>
      <c r="S422" s="189" t="n"/>
      <c r="T422" s="189" t="n"/>
      <c r="U422" s="189" t="n"/>
      <c r="V422" s="189" t="n"/>
      <c r="W422" s="189" t="n"/>
      <c r="X422" s="189" t="n"/>
      <c r="Y422" s="189" t="n"/>
      <c r="Z422" s="189">
        <f>B390</f>
        <v/>
      </c>
      <c r="AA422" s="189">
        <f>C390</f>
        <v/>
      </c>
      <c r="AB422" s="189">
        <f>D390</f>
        <v/>
      </c>
      <c r="AC422" s="189">
        <f>E390</f>
        <v/>
      </c>
      <c r="AD422" s="189">
        <f>F390</f>
        <v/>
      </c>
      <c r="AE422" s="189">
        <f>G390</f>
        <v/>
      </c>
      <c r="AF422" s="189" t="n"/>
      <c r="AG422" s="189" t="n"/>
      <c r="AH422" s="189" t="n"/>
      <c r="AI422" s="51" t="inlineStr">
        <is>
          <t>U9θ</t>
        </is>
      </c>
    </row>
    <row r="423">
      <c r="B423" s="189" t="n"/>
      <c r="C423" s="189" t="n"/>
      <c r="D423" s="189" t="n"/>
      <c r="E423" s="189" t="n"/>
      <c r="F423" s="189" t="n"/>
      <c r="G423" s="189" t="n"/>
      <c r="H423" s="189" t="n"/>
      <c r="I423" s="189" t="n"/>
      <c r="J423" s="189" t="n"/>
      <c r="K423" s="189" t="n"/>
      <c r="L423" s="189" t="n"/>
      <c r="M423" s="189" t="n"/>
      <c r="N423" s="189" t="n"/>
      <c r="O423" s="189" t="n"/>
      <c r="P423" s="189" t="n"/>
      <c r="Q423" s="189" t="n"/>
      <c r="R423" s="189" t="n"/>
      <c r="S423" s="189" t="n"/>
      <c r="T423" s="189" t="n"/>
      <c r="U423" s="189" t="n"/>
      <c r="V423" s="189" t="n"/>
      <c r="W423" s="189" t="n"/>
      <c r="X423" s="189" t="n"/>
      <c r="Y423" s="189" t="n"/>
      <c r="Z423" s="189">
        <f>B391</f>
        <v/>
      </c>
      <c r="AA423" s="189">
        <f>C391</f>
        <v/>
      </c>
      <c r="AB423" s="189">
        <f>D391</f>
        <v/>
      </c>
      <c r="AC423" s="189">
        <f>E391</f>
        <v/>
      </c>
      <c r="AD423" s="189">
        <f>F391</f>
        <v/>
      </c>
      <c r="AE423" s="189">
        <f>G391</f>
        <v/>
      </c>
      <c r="AF423" s="189" t="n"/>
      <c r="AG423" s="189" t="n"/>
      <c r="AH423" s="189" t="n"/>
      <c r="AI423" s="51" t="inlineStr">
        <is>
          <t>U10X</t>
        </is>
      </c>
    </row>
    <row r="424">
      <c r="B424" s="189" t="n"/>
      <c r="C424" s="189" t="n"/>
      <c r="D424" s="189" t="n"/>
      <c r="E424" s="189" t="n"/>
      <c r="F424" s="189" t="n"/>
      <c r="G424" s="189" t="n"/>
      <c r="H424" s="189" t="n"/>
      <c r="I424" s="189" t="n"/>
      <c r="J424" s="189" t="n"/>
      <c r="K424" s="189" t="n"/>
      <c r="L424" s="189" t="n"/>
      <c r="M424" s="189" t="n"/>
      <c r="N424" s="189" t="n"/>
      <c r="O424" s="189" t="n"/>
      <c r="P424" s="189" t="n"/>
      <c r="Q424" s="189" t="n"/>
      <c r="R424" s="189" t="n"/>
      <c r="S424" s="189" t="n"/>
      <c r="T424" s="189" t="n"/>
      <c r="U424" s="189" t="n"/>
      <c r="V424" s="189" t="n"/>
      <c r="W424" s="189" t="n"/>
      <c r="X424" s="189" t="n"/>
      <c r="Y424" s="189" t="n"/>
      <c r="Z424" s="189">
        <f>B392</f>
        <v/>
      </c>
      <c r="AA424" s="189">
        <f>C392</f>
        <v/>
      </c>
      <c r="AB424" s="189">
        <f>D392</f>
        <v/>
      </c>
      <c r="AC424" s="189">
        <f>E392</f>
        <v/>
      </c>
      <c r="AD424" s="189">
        <f>F392</f>
        <v/>
      </c>
      <c r="AE424" s="189">
        <f>G392</f>
        <v/>
      </c>
      <c r="AF424" s="189" t="n"/>
      <c r="AG424" s="189" t="n"/>
      <c r="AH424" s="189" t="n"/>
      <c r="AI424" s="51" t="inlineStr">
        <is>
          <t>U10Y</t>
        </is>
      </c>
    </row>
    <row r="425">
      <c r="B425" s="189" t="n"/>
      <c r="C425" s="189" t="n"/>
      <c r="D425" s="189" t="n"/>
      <c r="E425" s="189" t="n"/>
      <c r="F425" s="189" t="n"/>
      <c r="G425" s="189" t="n"/>
      <c r="H425" s="189" t="n"/>
      <c r="I425" s="189" t="n"/>
      <c r="J425" s="189" t="n"/>
      <c r="K425" s="189" t="n"/>
      <c r="L425" s="189" t="n"/>
      <c r="M425" s="189" t="n"/>
      <c r="N425" s="189" t="n"/>
      <c r="O425" s="189" t="n"/>
      <c r="P425" s="189" t="n"/>
      <c r="Q425" s="189" t="n"/>
      <c r="R425" s="189" t="n"/>
      <c r="S425" s="189" t="n"/>
      <c r="T425" s="189" t="n"/>
      <c r="U425" s="189" t="n"/>
      <c r="V425" s="189" t="n"/>
      <c r="W425" s="189" t="n"/>
      <c r="X425" s="189" t="n"/>
      <c r="Y425" s="189" t="n"/>
      <c r="Z425" s="189">
        <f>B393</f>
        <v/>
      </c>
      <c r="AA425" s="189">
        <f>C393</f>
        <v/>
      </c>
      <c r="AB425" s="189">
        <f>D393</f>
        <v/>
      </c>
      <c r="AC425" s="189">
        <f>E393</f>
        <v/>
      </c>
      <c r="AD425" s="189">
        <f>F393</f>
        <v/>
      </c>
      <c r="AE425" s="189">
        <f>G393</f>
        <v/>
      </c>
      <c r="AF425" s="189" t="n"/>
      <c r="AG425" s="189" t="n"/>
      <c r="AH425" s="189" t="n"/>
      <c r="AI425" s="51" t="inlineStr">
        <is>
          <t>U10θ</t>
        </is>
      </c>
    </row>
    <row r="426">
      <c r="B426" s="189" t="n"/>
      <c r="C426" s="189" t="n"/>
      <c r="D426" s="189" t="n"/>
      <c r="E426" s="189" t="n"/>
      <c r="F426" s="189" t="n"/>
      <c r="G426" s="189" t="n"/>
      <c r="H426" s="189" t="n"/>
      <c r="I426" s="189" t="n"/>
      <c r="J426" s="189" t="n"/>
      <c r="K426" s="189" t="n"/>
      <c r="L426" s="189" t="n"/>
      <c r="M426" s="189" t="n"/>
      <c r="N426" s="189" t="n"/>
      <c r="O426" s="189" t="n"/>
      <c r="P426" s="189" t="n"/>
      <c r="Q426" s="189" t="n"/>
      <c r="R426" s="189" t="n"/>
      <c r="S426" s="189" t="n"/>
      <c r="T426" s="189" t="n"/>
      <c r="U426" s="189" t="n"/>
      <c r="V426" s="189" t="n"/>
      <c r="W426" s="189" t="n"/>
      <c r="X426" s="189" t="n"/>
      <c r="Y426" s="189" t="n"/>
      <c r="Z426" s="189" t="n"/>
      <c r="AA426" s="189" t="n"/>
      <c r="AB426" s="189" t="n"/>
      <c r="AC426" s="189" t="n"/>
      <c r="AD426" s="189" t="n"/>
      <c r="AE426" s="189" t="n"/>
      <c r="AF426" s="189" t="n"/>
      <c r="AG426" s="189" t="n"/>
      <c r="AH426" s="189" t="n"/>
      <c r="AI426" s="51" t="inlineStr">
        <is>
          <t>U11X</t>
        </is>
      </c>
    </row>
    <row r="427">
      <c r="B427" s="189" t="n"/>
      <c r="C427" s="189" t="n"/>
      <c r="D427" s="189" t="n"/>
      <c r="E427" s="189" t="n"/>
      <c r="F427" s="189" t="n"/>
      <c r="G427" s="189" t="n"/>
      <c r="H427" s="189" t="n"/>
      <c r="I427" s="189" t="n"/>
      <c r="J427" s="189" t="n"/>
      <c r="K427" s="189" t="n"/>
      <c r="L427" s="189" t="n"/>
      <c r="M427" s="189" t="n"/>
      <c r="N427" s="189" t="n"/>
      <c r="O427" s="189" t="n"/>
      <c r="P427" s="189" t="n"/>
      <c r="Q427" s="189" t="n"/>
      <c r="R427" s="189" t="n"/>
      <c r="S427" s="189" t="n"/>
      <c r="T427" s="189" t="n"/>
      <c r="U427" s="189" t="n"/>
      <c r="V427" s="189" t="n"/>
      <c r="W427" s="189" t="n"/>
      <c r="X427" s="189" t="n"/>
      <c r="Y427" s="189" t="n"/>
      <c r="Z427" s="189" t="n"/>
      <c r="AA427" s="189" t="n"/>
      <c r="AB427" s="189" t="n"/>
      <c r="AC427" s="189" t="n"/>
      <c r="AD427" s="189" t="n"/>
      <c r="AE427" s="189" t="n"/>
      <c r="AF427" s="189" t="n"/>
      <c r="AG427" s="189" t="n"/>
      <c r="AH427" s="189" t="n"/>
      <c r="AI427" s="51" t="inlineStr">
        <is>
          <t>U11Y</t>
        </is>
      </c>
    </row>
    <row r="428">
      <c r="B428" s="189" t="n"/>
      <c r="C428" s="189" t="n"/>
      <c r="D428" s="189" t="n"/>
      <c r="E428" s="189" t="n"/>
      <c r="F428" s="189" t="n"/>
      <c r="G428" s="189" t="n"/>
      <c r="H428" s="189" t="n"/>
      <c r="I428" s="189" t="n"/>
      <c r="J428" s="189" t="n"/>
      <c r="K428" s="189" t="n"/>
      <c r="L428" s="189" t="n"/>
      <c r="M428" s="189" t="n"/>
      <c r="N428" s="189" t="n"/>
      <c r="O428" s="189" t="n"/>
      <c r="P428" s="189" t="n"/>
      <c r="Q428" s="189" t="n"/>
      <c r="R428" s="189" t="n"/>
      <c r="S428" s="189" t="n"/>
      <c r="T428" s="189" t="n"/>
      <c r="U428" s="189" t="n"/>
      <c r="V428" s="189" t="n"/>
      <c r="W428" s="189" t="n"/>
      <c r="X428" s="189" t="n"/>
      <c r="Y428" s="189" t="n"/>
      <c r="Z428" s="189" t="n"/>
      <c r="AA428" s="189" t="n"/>
      <c r="AB428" s="189" t="n"/>
      <c r="AC428" s="189" t="n"/>
      <c r="AD428" s="189" t="n"/>
      <c r="AE428" s="189" t="n"/>
      <c r="AF428" s="189" t="n"/>
      <c r="AG428" s="189" t="n"/>
      <c r="AH428" s="189" t="n"/>
      <c r="AI428" s="51" t="inlineStr">
        <is>
          <t>U11θ</t>
        </is>
      </c>
    </row>
    <row r="430">
      <c r="B430" s="51">
        <f>IF(C40="","", CONCATENATE("U",C40,C$30))</f>
        <v/>
      </c>
      <c r="C430" s="51">
        <f>IF(D40="","", CONCATENATE("U",D40,D$30))</f>
        <v/>
      </c>
      <c r="D430" s="51">
        <f>IF(E40="","", CONCATENATE("U",E40,E$30))</f>
        <v/>
      </c>
      <c r="E430" s="51">
        <f>IF(F40="","", CONCATENATE("U",F40,F$30))</f>
        <v/>
      </c>
      <c r="F430" s="51">
        <f>IF(G40="","", CONCATENATE("U",G40,G$30))</f>
        <v/>
      </c>
      <c r="G430" s="51">
        <f>IF(H40="","", CONCATENATE("U",H40,H$30))</f>
        <v/>
      </c>
    </row>
    <row r="431">
      <c r="B431" s="8">
        <f>IF(I27="", 0, M27*K27*K27+N27*L27*L27)</f>
        <v/>
      </c>
      <c r="C431" s="189">
        <f>IF(I27="", 0, (M27-N27)*(K27*L27))</f>
        <v/>
      </c>
      <c r="D431" s="189">
        <f>IF(I27="", 0, -O27*L27)</f>
        <v/>
      </c>
      <c r="E431" s="189">
        <f>-B431</f>
        <v/>
      </c>
      <c r="F431" s="189">
        <f>-C431</f>
        <v/>
      </c>
      <c r="G431" s="189">
        <f>D431</f>
        <v/>
      </c>
      <c r="H431" s="51">
        <f>B430</f>
        <v/>
      </c>
    </row>
    <row r="432">
      <c r="B432" s="189">
        <f>C431</f>
        <v/>
      </c>
      <c r="C432" s="8">
        <f>IF(I27="", 0, M27*L27*L27+N27*K27*K27)</f>
        <v/>
      </c>
      <c r="D432" s="189">
        <f>IF(I27="", 0, O27*K27)</f>
        <v/>
      </c>
      <c r="E432" s="189">
        <f>-B432</f>
        <v/>
      </c>
      <c r="F432" s="189">
        <f>-C432</f>
        <v/>
      </c>
      <c r="G432" s="189">
        <f>D432</f>
        <v/>
      </c>
      <c r="H432" s="51">
        <f>C430</f>
        <v/>
      </c>
    </row>
    <row r="433">
      <c r="A433" s="118" t="inlineStr">
        <is>
          <t>K10 =</t>
        </is>
      </c>
      <c r="B433" s="189">
        <f>D431</f>
        <v/>
      </c>
      <c r="C433" s="189">
        <f>D432</f>
        <v/>
      </c>
      <c r="D433" s="8">
        <f>IF(I27="", 0, P27)</f>
        <v/>
      </c>
      <c r="E433" s="189">
        <f>-B433</f>
        <v/>
      </c>
      <c r="F433" s="189">
        <f>-C433</f>
        <v/>
      </c>
      <c r="G433" s="189">
        <f>IF(I27="", 0, Q27)</f>
        <v/>
      </c>
      <c r="H433" s="51">
        <f>D430</f>
        <v/>
      </c>
    </row>
    <row r="434">
      <c r="B434" s="189">
        <f>E431</f>
        <v/>
      </c>
      <c r="C434" s="189">
        <f>E432</f>
        <v/>
      </c>
      <c r="D434" s="189">
        <f>E433</f>
        <v/>
      </c>
      <c r="E434" s="8">
        <f>B431</f>
        <v/>
      </c>
      <c r="F434" s="189">
        <f>C431</f>
        <v/>
      </c>
      <c r="G434" s="189">
        <f>-D431</f>
        <v/>
      </c>
      <c r="H434" s="51">
        <f>E430</f>
        <v/>
      </c>
    </row>
    <row r="435">
      <c r="B435" s="189">
        <f>F431</f>
        <v/>
      </c>
      <c r="C435" s="189">
        <f>F432</f>
        <v/>
      </c>
      <c r="D435" s="189">
        <f>F433</f>
        <v/>
      </c>
      <c r="E435" s="189">
        <f>F434</f>
        <v/>
      </c>
      <c r="F435" s="8">
        <f>C432</f>
        <v/>
      </c>
      <c r="G435" s="189">
        <f>-D432</f>
        <v/>
      </c>
      <c r="H435" s="51">
        <f>F430</f>
        <v/>
      </c>
    </row>
    <row r="436">
      <c r="B436" s="189">
        <f>G431</f>
        <v/>
      </c>
      <c r="C436" s="189">
        <f>G432</f>
        <v/>
      </c>
      <c r="D436" s="189">
        <f>G433</f>
        <v/>
      </c>
      <c r="E436" s="189">
        <f>G434</f>
        <v/>
      </c>
      <c r="F436" s="189">
        <f>G435</f>
        <v/>
      </c>
      <c r="G436" s="8">
        <f>D433</f>
        <v/>
      </c>
      <c r="H436" s="51">
        <f>G430</f>
        <v/>
      </c>
    </row>
    <row r="438">
      <c r="B438" s="51" t="inlineStr">
        <is>
          <t>U1X</t>
        </is>
      </c>
      <c r="C438" s="51" t="inlineStr">
        <is>
          <t>U1Y</t>
        </is>
      </c>
      <c r="D438" s="51" t="inlineStr">
        <is>
          <t>U1θ</t>
        </is>
      </c>
      <c r="E438" s="51" t="inlineStr">
        <is>
          <t>U2X</t>
        </is>
      </c>
      <c r="F438" s="51" t="inlineStr">
        <is>
          <t>U2Y</t>
        </is>
      </c>
      <c r="G438" s="51" t="inlineStr">
        <is>
          <t>U2θ</t>
        </is>
      </c>
      <c r="H438" s="51" t="inlineStr">
        <is>
          <t>U3X</t>
        </is>
      </c>
      <c r="I438" s="51" t="inlineStr">
        <is>
          <t>U3Y</t>
        </is>
      </c>
      <c r="J438" s="51" t="inlineStr">
        <is>
          <t>U3θ</t>
        </is>
      </c>
      <c r="K438" s="51" t="inlineStr">
        <is>
          <t>U4X</t>
        </is>
      </c>
      <c r="L438" s="51" t="inlineStr">
        <is>
          <t>U4Y</t>
        </is>
      </c>
      <c r="M438" s="51" t="inlineStr">
        <is>
          <t>U4θ</t>
        </is>
      </c>
      <c r="N438" s="51" t="inlineStr">
        <is>
          <t>U5X</t>
        </is>
      </c>
      <c r="O438" s="51" t="inlineStr">
        <is>
          <t>U5Y</t>
        </is>
      </c>
      <c r="P438" s="51" t="inlineStr">
        <is>
          <t>U5θ</t>
        </is>
      </c>
      <c r="Q438" s="51" t="inlineStr">
        <is>
          <t>U6X</t>
        </is>
      </c>
      <c r="R438" s="51" t="inlineStr">
        <is>
          <t>U6Y</t>
        </is>
      </c>
      <c r="S438" s="51" t="inlineStr">
        <is>
          <t>U6θ</t>
        </is>
      </c>
      <c r="T438" s="51" t="inlineStr">
        <is>
          <t>U7X</t>
        </is>
      </c>
      <c r="U438" s="51" t="inlineStr">
        <is>
          <t>U7Y</t>
        </is>
      </c>
      <c r="V438" s="51" t="inlineStr">
        <is>
          <t>U7θ</t>
        </is>
      </c>
      <c r="W438" s="51" t="inlineStr">
        <is>
          <t>U8X</t>
        </is>
      </c>
      <c r="X438" s="51" t="inlineStr">
        <is>
          <t>U8Y</t>
        </is>
      </c>
      <c r="Y438" s="51" t="inlineStr">
        <is>
          <t>U8θ</t>
        </is>
      </c>
      <c r="Z438" s="51" t="inlineStr">
        <is>
          <t>U9X</t>
        </is>
      </c>
      <c r="AA438" s="51" t="inlineStr">
        <is>
          <t>U9Y</t>
        </is>
      </c>
      <c r="AB438" s="51" t="inlineStr">
        <is>
          <t>U9θ</t>
        </is>
      </c>
      <c r="AC438" s="51" t="inlineStr">
        <is>
          <t>U10X</t>
        </is>
      </c>
      <c r="AD438" s="51" t="inlineStr">
        <is>
          <t>U10Y</t>
        </is>
      </c>
      <c r="AE438" s="51" t="inlineStr">
        <is>
          <t>U10θ</t>
        </is>
      </c>
      <c r="AF438" s="51" t="inlineStr">
        <is>
          <t>U11X</t>
        </is>
      </c>
      <c r="AG438" s="51" t="inlineStr">
        <is>
          <t>U11Y</t>
        </is>
      </c>
      <c r="AH438" s="51" t="inlineStr">
        <is>
          <t>U11θ</t>
        </is>
      </c>
    </row>
    <row r="439">
      <c r="B439" s="189" t="n"/>
      <c r="C439" s="189" t="n"/>
      <c r="D439" s="189" t="n"/>
      <c r="E439" s="189" t="n"/>
      <c r="F439" s="189" t="n"/>
      <c r="G439" s="189" t="n"/>
      <c r="H439" s="189" t="n"/>
      <c r="I439" s="189" t="n"/>
      <c r="J439" s="189" t="n"/>
      <c r="K439" s="189" t="n"/>
      <c r="L439" s="189" t="n"/>
      <c r="M439" s="189" t="n"/>
      <c r="N439" s="189" t="n"/>
      <c r="O439" s="189" t="n"/>
      <c r="P439" s="189" t="n"/>
      <c r="Q439" s="189" t="n"/>
      <c r="R439" s="189" t="n"/>
      <c r="S439" s="189" t="n"/>
      <c r="T439" s="189" t="n"/>
      <c r="U439" s="189" t="n"/>
      <c r="V439" s="189" t="n"/>
      <c r="W439" s="189" t="n"/>
      <c r="X439" s="189" t="n"/>
      <c r="Y439" s="189" t="n"/>
      <c r="Z439" s="189" t="n"/>
      <c r="AA439" s="189" t="n"/>
      <c r="AB439" s="189" t="n"/>
      <c r="AC439" s="189" t="n"/>
      <c r="AD439" s="189" t="n"/>
      <c r="AE439" s="189" t="n"/>
      <c r="AF439" s="189" t="n"/>
      <c r="AG439" s="189" t="n"/>
      <c r="AH439" s="189" t="n"/>
      <c r="AI439" s="51" t="inlineStr">
        <is>
          <t>U1X</t>
        </is>
      </c>
    </row>
    <row r="440">
      <c r="B440" s="189" t="n"/>
      <c r="C440" s="189" t="n"/>
      <c r="D440" s="189" t="n"/>
      <c r="E440" s="189" t="n"/>
      <c r="F440" s="189" t="n"/>
      <c r="G440" s="189" t="n"/>
      <c r="H440" s="189" t="n"/>
      <c r="I440" s="189" t="n"/>
      <c r="J440" s="189" t="n"/>
      <c r="K440" s="189" t="n"/>
      <c r="L440" s="189" t="n"/>
      <c r="M440" s="189" t="n"/>
      <c r="N440" s="189" t="n"/>
      <c r="O440" s="189" t="n"/>
      <c r="P440" s="189" t="n"/>
      <c r="Q440" s="189" t="n"/>
      <c r="R440" s="189" t="n"/>
      <c r="S440" s="189" t="n"/>
      <c r="T440" s="189" t="n"/>
      <c r="U440" s="189" t="n"/>
      <c r="V440" s="189" t="n"/>
      <c r="W440" s="189" t="n"/>
      <c r="X440" s="189" t="n"/>
      <c r="Y440" s="189" t="n"/>
      <c r="Z440" s="189" t="n"/>
      <c r="AA440" s="189" t="n"/>
      <c r="AB440" s="189" t="n"/>
      <c r="AC440" s="189" t="n"/>
      <c r="AD440" s="189" t="n"/>
      <c r="AE440" s="189" t="n"/>
      <c r="AF440" s="189" t="n"/>
      <c r="AG440" s="189" t="n"/>
      <c r="AH440" s="189" t="n"/>
      <c r="AI440" s="51" t="inlineStr">
        <is>
          <t>U1Y</t>
        </is>
      </c>
    </row>
    <row r="441">
      <c r="B441" s="189" t="n"/>
      <c r="C441" s="189" t="n"/>
      <c r="D441" s="189" t="n"/>
      <c r="E441" s="189" t="n"/>
      <c r="F441" s="189" t="n"/>
      <c r="G441" s="189" t="n"/>
      <c r="H441" s="189" t="n"/>
      <c r="I441" s="189" t="n"/>
      <c r="J441" s="189" t="n"/>
      <c r="K441" s="189" t="n"/>
      <c r="L441" s="189" t="n"/>
      <c r="M441" s="189" t="n"/>
      <c r="N441" s="189" t="n"/>
      <c r="O441" s="189" t="n"/>
      <c r="P441" s="189" t="n"/>
      <c r="Q441" s="189" t="n"/>
      <c r="R441" s="189" t="n"/>
      <c r="S441" s="189" t="n"/>
      <c r="T441" s="189" t="n"/>
      <c r="U441" s="189" t="n"/>
      <c r="V441" s="189" t="n"/>
      <c r="W441" s="189" t="n"/>
      <c r="X441" s="189" t="n"/>
      <c r="Y441" s="189" t="n"/>
      <c r="Z441" s="189" t="n"/>
      <c r="AA441" s="189" t="n"/>
      <c r="AB441" s="189" t="n"/>
      <c r="AC441" s="189" t="n"/>
      <c r="AD441" s="189" t="n"/>
      <c r="AE441" s="189" t="n"/>
      <c r="AF441" s="189" t="n"/>
      <c r="AG441" s="189" t="n"/>
      <c r="AH441" s="189" t="n"/>
      <c r="AI441" s="51" t="inlineStr">
        <is>
          <t>U1θ</t>
        </is>
      </c>
    </row>
    <row r="442">
      <c r="B442" s="189" t="n"/>
      <c r="C442" s="189" t="n"/>
      <c r="D442" s="189" t="n"/>
      <c r="E442" s="189" t="n"/>
      <c r="F442" s="189" t="n"/>
      <c r="G442" s="189" t="n"/>
      <c r="H442" s="189" t="n"/>
      <c r="I442" s="189" t="n"/>
      <c r="J442" s="189" t="n"/>
      <c r="K442" s="189" t="n"/>
      <c r="L442" s="189" t="n"/>
      <c r="M442" s="189" t="n"/>
      <c r="N442" s="189" t="n"/>
      <c r="O442" s="189" t="n"/>
      <c r="P442" s="189" t="n"/>
      <c r="Q442" s="189" t="n"/>
      <c r="R442" s="189" t="n"/>
      <c r="S442" s="189" t="n"/>
      <c r="T442" s="189" t="n"/>
      <c r="U442" s="189" t="n"/>
      <c r="V442" s="189" t="n"/>
      <c r="W442" s="189" t="n"/>
      <c r="X442" s="189" t="n"/>
      <c r="Y442" s="189" t="n"/>
      <c r="Z442" s="189" t="n"/>
      <c r="AA442" s="189" t="n"/>
      <c r="AB442" s="189" t="n"/>
      <c r="AC442" s="189" t="n"/>
      <c r="AD442" s="189" t="n"/>
      <c r="AE442" s="189" t="n"/>
      <c r="AF442" s="189" t="n"/>
      <c r="AG442" s="189" t="n"/>
      <c r="AH442" s="189" t="n"/>
      <c r="AI442" s="51" t="inlineStr">
        <is>
          <t>U2X</t>
        </is>
      </c>
    </row>
    <row r="443">
      <c r="B443" s="189" t="n"/>
      <c r="C443" s="189" t="n"/>
      <c r="D443" s="189" t="n"/>
      <c r="E443" s="189" t="n"/>
      <c r="F443" s="189" t="n"/>
      <c r="G443" s="189" t="n"/>
      <c r="H443" s="189" t="n"/>
      <c r="I443" s="189" t="n"/>
      <c r="J443" s="189" t="n"/>
      <c r="K443" s="189" t="n"/>
      <c r="L443" s="189" t="n"/>
      <c r="M443" s="189" t="n"/>
      <c r="N443" s="189" t="n"/>
      <c r="O443" s="189" t="n"/>
      <c r="P443" s="189" t="n"/>
      <c r="Q443" s="189" t="n"/>
      <c r="R443" s="189" t="n"/>
      <c r="S443" s="189" t="n"/>
      <c r="T443" s="189" t="n"/>
      <c r="U443" s="189" t="n"/>
      <c r="V443" s="189" t="n"/>
      <c r="W443" s="189" t="n"/>
      <c r="X443" s="189" t="n"/>
      <c r="Y443" s="189" t="n"/>
      <c r="Z443" s="189" t="n"/>
      <c r="AA443" s="189" t="n"/>
      <c r="AB443" s="189" t="n"/>
      <c r="AC443" s="189" t="n"/>
      <c r="AD443" s="189" t="n"/>
      <c r="AE443" s="189" t="n"/>
      <c r="AF443" s="189" t="n"/>
      <c r="AG443" s="189" t="n"/>
      <c r="AH443" s="189" t="n"/>
      <c r="AI443" s="51" t="inlineStr">
        <is>
          <t>U2Y</t>
        </is>
      </c>
    </row>
    <row r="444">
      <c r="B444" s="189" t="n"/>
      <c r="C444" s="189" t="n"/>
      <c r="D444" s="189" t="n"/>
      <c r="E444" s="189" t="n"/>
      <c r="F444" s="189" t="n"/>
      <c r="G444" s="189" t="n"/>
      <c r="H444" s="189" t="n"/>
      <c r="I444" s="189" t="n"/>
      <c r="J444" s="189" t="n"/>
      <c r="K444" s="189" t="n"/>
      <c r="L444" s="189" t="n"/>
      <c r="M444" s="189" t="n"/>
      <c r="N444" s="189" t="n"/>
      <c r="O444" s="189" t="n"/>
      <c r="P444" s="189" t="n"/>
      <c r="Q444" s="189" t="n"/>
      <c r="R444" s="189" t="n"/>
      <c r="S444" s="189" t="n"/>
      <c r="T444" s="189" t="n"/>
      <c r="U444" s="189" t="n"/>
      <c r="V444" s="189" t="n"/>
      <c r="W444" s="189" t="n"/>
      <c r="X444" s="189" t="n"/>
      <c r="Y444" s="189" t="n"/>
      <c r="Z444" s="189" t="n"/>
      <c r="AA444" s="189" t="n"/>
      <c r="AB444" s="189" t="n"/>
      <c r="AC444" s="189" t="n"/>
      <c r="AD444" s="189" t="n"/>
      <c r="AE444" s="189" t="n"/>
      <c r="AF444" s="189" t="n"/>
      <c r="AG444" s="189" t="n"/>
      <c r="AH444" s="189" t="n"/>
      <c r="AI444" s="51" t="inlineStr">
        <is>
          <t>U2θ</t>
        </is>
      </c>
    </row>
    <row r="445">
      <c r="B445" s="189" t="n"/>
      <c r="C445" s="189" t="n"/>
      <c r="D445" s="189" t="n"/>
      <c r="E445" s="189" t="n"/>
      <c r="F445" s="189" t="n"/>
      <c r="G445" s="189" t="n"/>
      <c r="H445" s="189" t="n"/>
      <c r="I445" s="189" t="n"/>
      <c r="J445" s="189" t="n"/>
      <c r="K445" s="189" t="n"/>
      <c r="L445" s="189" t="n"/>
      <c r="M445" s="189" t="n"/>
      <c r="N445" s="189" t="n"/>
      <c r="O445" s="189" t="n"/>
      <c r="P445" s="189" t="n"/>
      <c r="Q445" s="189" t="n"/>
      <c r="R445" s="189" t="n"/>
      <c r="S445" s="189" t="n"/>
      <c r="T445" s="189" t="n"/>
      <c r="U445" s="189" t="n"/>
      <c r="V445" s="189" t="n"/>
      <c r="W445" s="189" t="n"/>
      <c r="X445" s="189" t="n"/>
      <c r="Y445" s="189" t="n"/>
      <c r="Z445" s="189" t="n"/>
      <c r="AA445" s="189" t="n"/>
      <c r="AB445" s="189" t="n"/>
      <c r="AC445" s="189" t="n"/>
      <c r="AD445" s="189" t="n"/>
      <c r="AE445" s="189" t="n"/>
      <c r="AF445" s="189" t="n"/>
      <c r="AG445" s="189" t="n"/>
      <c r="AH445" s="189" t="n"/>
      <c r="AI445" s="51" t="inlineStr">
        <is>
          <t>U3X</t>
        </is>
      </c>
    </row>
    <row r="446">
      <c r="B446" s="189" t="n"/>
      <c r="C446" s="189" t="n"/>
      <c r="D446" s="189" t="n"/>
      <c r="E446" s="189" t="n"/>
      <c r="F446" s="189" t="n"/>
      <c r="G446" s="189" t="n"/>
      <c r="H446" s="189" t="n"/>
      <c r="I446" s="189" t="n"/>
      <c r="J446" s="189" t="n"/>
      <c r="K446" s="189" t="n"/>
      <c r="L446" s="189" t="n"/>
      <c r="M446" s="189" t="n"/>
      <c r="N446" s="189" t="n"/>
      <c r="O446" s="189" t="n"/>
      <c r="P446" s="189" t="n"/>
      <c r="Q446" s="189" t="n"/>
      <c r="R446" s="189" t="n"/>
      <c r="S446" s="189" t="n"/>
      <c r="T446" s="189" t="n"/>
      <c r="U446" s="189" t="n"/>
      <c r="V446" s="189" t="n"/>
      <c r="W446" s="189" t="n"/>
      <c r="X446" s="189" t="n"/>
      <c r="Y446" s="189" t="n"/>
      <c r="Z446" s="189" t="n"/>
      <c r="AA446" s="189" t="n"/>
      <c r="AB446" s="189" t="n"/>
      <c r="AC446" s="189" t="n"/>
      <c r="AD446" s="189" t="n"/>
      <c r="AE446" s="189" t="n"/>
      <c r="AF446" s="189" t="n"/>
      <c r="AG446" s="189" t="n"/>
      <c r="AH446" s="189" t="n"/>
      <c r="AI446" s="51" t="inlineStr">
        <is>
          <t>U3Y</t>
        </is>
      </c>
    </row>
    <row r="447">
      <c r="B447" s="189" t="n"/>
      <c r="C447" s="189" t="n"/>
      <c r="D447" s="189" t="n"/>
      <c r="E447" s="189" t="n"/>
      <c r="F447" s="189" t="n"/>
      <c r="G447" s="189" t="n"/>
      <c r="H447" s="189" t="n"/>
      <c r="I447" s="189" t="n"/>
      <c r="J447" s="189" t="n"/>
      <c r="K447" s="189" t="n"/>
      <c r="L447" s="189" t="n"/>
      <c r="M447" s="189" t="n"/>
      <c r="N447" s="189" t="n"/>
      <c r="O447" s="189" t="n"/>
      <c r="P447" s="189" t="n"/>
      <c r="Q447" s="189" t="n"/>
      <c r="R447" s="189" t="n"/>
      <c r="S447" s="189" t="n"/>
      <c r="T447" s="189" t="n"/>
      <c r="U447" s="189" t="n"/>
      <c r="V447" s="189" t="n"/>
      <c r="W447" s="189" t="n"/>
      <c r="X447" s="189" t="n"/>
      <c r="Y447" s="189" t="n"/>
      <c r="Z447" s="189" t="n"/>
      <c r="AA447" s="189" t="n"/>
      <c r="AB447" s="189" t="n"/>
      <c r="AC447" s="189" t="n"/>
      <c r="AD447" s="189" t="n"/>
      <c r="AE447" s="189" t="n"/>
      <c r="AF447" s="189" t="n"/>
      <c r="AG447" s="189" t="n"/>
      <c r="AH447" s="189" t="n"/>
      <c r="AI447" s="51" t="inlineStr">
        <is>
          <t>U3θ</t>
        </is>
      </c>
    </row>
    <row r="448">
      <c r="B448" s="189" t="n"/>
      <c r="C448" s="189" t="n"/>
      <c r="D448" s="189" t="n"/>
      <c r="E448" s="189" t="n"/>
      <c r="F448" s="189" t="n"/>
      <c r="G448" s="189" t="n"/>
      <c r="H448" s="189" t="n"/>
      <c r="I448" s="189" t="n"/>
      <c r="J448" s="189" t="n"/>
      <c r="K448" s="189" t="n"/>
      <c r="L448" s="189" t="n"/>
      <c r="M448" s="189" t="n"/>
      <c r="N448" s="189" t="n"/>
      <c r="O448" s="189" t="n"/>
      <c r="P448" s="189" t="n"/>
      <c r="Q448" s="189" t="n"/>
      <c r="R448" s="189" t="n"/>
      <c r="S448" s="189" t="n"/>
      <c r="T448" s="189" t="n"/>
      <c r="U448" s="189" t="n"/>
      <c r="V448" s="189" t="n"/>
      <c r="W448" s="189" t="n"/>
      <c r="X448" s="189" t="n"/>
      <c r="Y448" s="189" t="n"/>
      <c r="Z448" s="189" t="n"/>
      <c r="AA448" s="189" t="n"/>
      <c r="AB448" s="189" t="n"/>
      <c r="AC448" s="189" t="n"/>
      <c r="AD448" s="189" t="n"/>
      <c r="AE448" s="189" t="n"/>
      <c r="AF448" s="189" t="n"/>
      <c r="AG448" s="189" t="n"/>
      <c r="AH448" s="189" t="n"/>
      <c r="AI448" s="51" t="inlineStr">
        <is>
          <t>U4X</t>
        </is>
      </c>
    </row>
    <row r="449">
      <c r="B449" s="189" t="n"/>
      <c r="C449" s="189" t="n"/>
      <c r="D449" s="189" t="n"/>
      <c r="E449" s="189" t="n"/>
      <c r="F449" s="189" t="n"/>
      <c r="G449" s="189" t="n"/>
      <c r="H449" s="189" t="n"/>
      <c r="I449" s="189" t="n"/>
      <c r="J449" s="189" t="n"/>
      <c r="K449" s="189" t="n"/>
      <c r="L449" s="189" t="n"/>
      <c r="M449" s="189" t="n"/>
      <c r="N449" s="189" t="n"/>
      <c r="O449" s="189" t="n"/>
      <c r="P449" s="189" t="n"/>
      <c r="Q449" s="189" t="n"/>
      <c r="R449" s="189" t="n"/>
      <c r="S449" s="189" t="n"/>
      <c r="T449" s="189" t="n"/>
      <c r="U449" s="189" t="n"/>
      <c r="V449" s="189" t="n"/>
      <c r="W449" s="189" t="n"/>
      <c r="X449" s="189" t="n"/>
      <c r="Y449" s="189" t="n"/>
      <c r="Z449" s="189" t="n"/>
      <c r="AA449" s="189" t="n"/>
      <c r="AB449" s="189" t="n"/>
      <c r="AC449" s="189" t="n"/>
      <c r="AD449" s="189" t="n"/>
      <c r="AE449" s="189" t="n"/>
      <c r="AF449" s="189" t="n"/>
      <c r="AG449" s="189" t="n"/>
      <c r="AH449" s="189" t="n"/>
      <c r="AI449" s="51" t="inlineStr">
        <is>
          <t>U4Y</t>
        </is>
      </c>
    </row>
    <row r="450">
      <c r="B450" s="189" t="n"/>
      <c r="C450" s="189" t="n"/>
      <c r="D450" s="189" t="n"/>
      <c r="E450" s="189" t="n"/>
      <c r="F450" s="189" t="n"/>
      <c r="G450" s="189" t="n"/>
      <c r="H450" s="189" t="n"/>
      <c r="I450" s="189" t="n"/>
      <c r="J450" s="189" t="n"/>
      <c r="K450" s="189" t="n"/>
      <c r="L450" s="189" t="n"/>
      <c r="M450" s="189" t="n"/>
      <c r="N450" s="189" t="n"/>
      <c r="O450" s="189" t="n"/>
      <c r="P450" s="189" t="n"/>
      <c r="Q450" s="189" t="n"/>
      <c r="R450" s="189" t="n"/>
      <c r="S450" s="189" t="n"/>
      <c r="T450" s="189" t="n"/>
      <c r="U450" s="189" t="n"/>
      <c r="V450" s="189" t="n"/>
      <c r="W450" s="189" t="n"/>
      <c r="X450" s="189" t="n"/>
      <c r="Y450" s="189" t="n"/>
      <c r="Z450" s="189" t="n"/>
      <c r="AA450" s="189" t="n"/>
      <c r="AB450" s="189" t="n"/>
      <c r="AC450" s="189" t="n"/>
      <c r="AD450" s="189" t="n"/>
      <c r="AE450" s="189" t="n"/>
      <c r="AF450" s="189" t="n"/>
      <c r="AG450" s="189" t="n"/>
      <c r="AH450" s="189" t="n"/>
      <c r="AI450" s="51" t="inlineStr">
        <is>
          <t>U4θ</t>
        </is>
      </c>
    </row>
    <row r="451">
      <c r="B451" s="189" t="n"/>
      <c r="C451" s="189" t="n"/>
      <c r="D451" s="189" t="n"/>
      <c r="E451" s="189" t="n"/>
      <c r="F451" s="189" t="n"/>
      <c r="G451" s="189" t="n"/>
      <c r="H451" s="189" t="n"/>
      <c r="I451" s="189" t="n"/>
      <c r="J451" s="189" t="n"/>
      <c r="K451" s="189" t="n"/>
      <c r="L451" s="189" t="n"/>
      <c r="M451" s="189" t="n"/>
      <c r="N451" s="189" t="n"/>
      <c r="O451" s="189" t="n"/>
      <c r="P451" s="189" t="n"/>
      <c r="Q451" s="189" t="n"/>
      <c r="R451" s="189" t="n"/>
      <c r="S451" s="189" t="n"/>
      <c r="T451" s="189" t="n"/>
      <c r="U451" s="189" t="n"/>
      <c r="V451" s="189" t="n"/>
      <c r="W451" s="189" t="n"/>
      <c r="X451" s="189" t="n"/>
      <c r="Y451" s="189" t="n"/>
      <c r="Z451" s="189" t="n"/>
      <c r="AA451" s="189" t="n"/>
      <c r="AB451" s="189" t="n"/>
      <c r="AC451" s="189" t="n"/>
      <c r="AD451" s="189" t="n"/>
      <c r="AE451" s="189" t="n"/>
      <c r="AF451" s="189" t="n"/>
      <c r="AG451" s="189" t="n"/>
      <c r="AH451" s="189" t="n"/>
      <c r="AI451" s="51" t="inlineStr">
        <is>
          <t>U5X</t>
        </is>
      </c>
    </row>
    <row r="452">
      <c r="B452" s="189" t="n"/>
      <c r="C452" s="189" t="n"/>
      <c r="D452" s="189" t="n"/>
      <c r="E452" s="189" t="n"/>
      <c r="F452" s="189" t="n"/>
      <c r="G452" s="189" t="n"/>
      <c r="H452" s="189" t="n"/>
      <c r="I452" s="189" t="n"/>
      <c r="J452" s="189" t="n"/>
      <c r="K452" s="189" t="n"/>
      <c r="L452" s="189" t="n"/>
      <c r="M452" s="189" t="n"/>
      <c r="N452" s="189" t="n"/>
      <c r="O452" s="189" t="n"/>
      <c r="P452" s="189" t="n"/>
      <c r="Q452" s="189" t="n"/>
      <c r="R452" s="189" t="n"/>
      <c r="S452" s="189" t="n"/>
      <c r="T452" s="189" t="n"/>
      <c r="U452" s="189" t="n"/>
      <c r="V452" s="189" t="n"/>
      <c r="W452" s="189" t="n"/>
      <c r="X452" s="189" t="n"/>
      <c r="Y452" s="189" t="n"/>
      <c r="Z452" s="189" t="n"/>
      <c r="AA452" s="189" t="n"/>
      <c r="AB452" s="189" t="n"/>
      <c r="AC452" s="189" t="n"/>
      <c r="AD452" s="189" t="n"/>
      <c r="AE452" s="189" t="n"/>
      <c r="AF452" s="189" t="n"/>
      <c r="AG452" s="189" t="n"/>
      <c r="AH452" s="189" t="n"/>
      <c r="AI452" s="51" t="inlineStr">
        <is>
          <t>U5Y</t>
        </is>
      </c>
    </row>
    <row r="453">
      <c r="B453" s="189" t="n"/>
      <c r="C453" s="189" t="n"/>
      <c r="D453" s="189" t="n"/>
      <c r="E453" s="189" t="n"/>
      <c r="F453" s="189" t="n"/>
      <c r="G453" s="189" t="n"/>
      <c r="H453" s="189" t="n"/>
      <c r="I453" s="189" t="n"/>
      <c r="J453" s="189" t="n"/>
      <c r="K453" s="189" t="n"/>
      <c r="L453" s="189" t="n"/>
      <c r="M453" s="189" t="n"/>
      <c r="N453" s="189" t="n"/>
      <c r="O453" s="189" t="n"/>
      <c r="P453" s="189" t="n"/>
      <c r="Q453" s="189" t="n"/>
      <c r="R453" s="189" t="n"/>
      <c r="S453" s="189" t="n"/>
      <c r="T453" s="189" t="n"/>
      <c r="U453" s="189" t="n"/>
      <c r="V453" s="189" t="n"/>
      <c r="W453" s="189" t="n"/>
      <c r="X453" s="189" t="n"/>
      <c r="Y453" s="189" t="n"/>
      <c r="Z453" s="189" t="n"/>
      <c r="AA453" s="189" t="n"/>
      <c r="AB453" s="189" t="n"/>
      <c r="AC453" s="189" t="n"/>
      <c r="AD453" s="189" t="n"/>
      <c r="AE453" s="189" t="n"/>
      <c r="AF453" s="189" t="n"/>
      <c r="AG453" s="189" t="n"/>
      <c r="AH453" s="189" t="n"/>
      <c r="AI453" s="51" t="inlineStr">
        <is>
          <t>U5θ</t>
        </is>
      </c>
    </row>
    <row r="454">
      <c r="A454" s="118" t="inlineStr">
        <is>
          <t>K10 =</t>
        </is>
      </c>
      <c r="B454" s="189" t="n"/>
      <c r="C454" s="189" t="n"/>
      <c r="D454" s="189" t="n"/>
      <c r="E454" s="189" t="n"/>
      <c r="F454" s="189" t="n"/>
      <c r="G454" s="189" t="n"/>
      <c r="H454" s="189" t="n"/>
      <c r="I454" s="189" t="n"/>
      <c r="J454" s="189" t="n"/>
      <c r="K454" s="189" t="n"/>
      <c r="L454" s="189" t="n"/>
      <c r="M454" s="189" t="n"/>
      <c r="N454" s="189" t="n"/>
      <c r="O454" s="189" t="n"/>
      <c r="P454" s="189" t="n"/>
      <c r="Q454" s="189" t="n"/>
      <c r="R454" s="189" t="n"/>
      <c r="S454" s="189" t="n"/>
      <c r="T454" s="189" t="n"/>
      <c r="U454" s="189" t="n"/>
      <c r="V454" s="189" t="n"/>
      <c r="W454" s="189" t="n"/>
      <c r="X454" s="189" t="n"/>
      <c r="Y454" s="189" t="n"/>
      <c r="Z454" s="189" t="n"/>
      <c r="AA454" s="189" t="n"/>
      <c r="AB454" s="189" t="n"/>
      <c r="AC454" s="189" t="n"/>
      <c r="AD454" s="189" t="n"/>
      <c r="AE454" s="189" t="n"/>
      <c r="AF454" s="189" t="n"/>
      <c r="AG454" s="189" t="n"/>
      <c r="AH454" s="189" t="n"/>
      <c r="AI454" s="51" t="inlineStr">
        <is>
          <t>U6X</t>
        </is>
      </c>
    </row>
    <row r="455">
      <c r="B455" s="189" t="n"/>
      <c r="C455" s="189" t="n"/>
      <c r="D455" s="189" t="n"/>
      <c r="E455" s="189" t="n"/>
      <c r="F455" s="189" t="n"/>
      <c r="G455" s="189" t="n"/>
      <c r="H455" s="189" t="n"/>
      <c r="I455" s="189" t="n"/>
      <c r="J455" s="189" t="n"/>
      <c r="K455" s="189" t="n"/>
      <c r="L455" s="189" t="n"/>
      <c r="M455" s="189" t="n"/>
      <c r="N455" s="189" t="n"/>
      <c r="O455" s="189" t="n"/>
      <c r="P455" s="189" t="n"/>
      <c r="Q455" s="189" t="n"/>
      <c r="R455" s="189" t="n"/>
      <c r="S455" s="189" t="n"/>
      <c r="T455" s="189" t="n"/>
      <c r="U455" s="189" t="n"/>
      <c r="V455" s="189" t="n"/>
      <c r="W455" s="189" t="n"/>
      <c r="X455" s="189" t="n"/>
      <c r="Y455" s="189" t="n"/>
      <c r="Z455" s="189" t="n"/>
      <c r="AA455" s="189" t="n"/>
      <c r="AB455" s="189" t="n"/>
      <c r="AC455" s="189" t="n"/>
      <c r="AD455" s="189" t="n"/>
      <c r="AE455" s="189" t="n"/>
      <c r="AF455" s="189" t="n"/>
      <c r="AG455" s="189" t="n"/>
      <c r="AH455" s="189" t="n"/>
      <c r="AI455" s="51" t="inlineStr">
        <is>
          <t>U6Y</t>
        </is>
      </c>
    </row>
    <row r="456">
      <c r="B456" s="189" t="n"/>
      <c r="C456" s="189" t="n"/>
      <c r="D456" s="189" t="n"/>
      <c r="E456" s="189" t="n"/>
      <c r="F456" s="189" t="n"/>
      <c r="G456" s="189" t="n"/>
      <c r="H456" s="189" t="n"/>
      <c r="I456" s="189" t="n"/>
      <c r="J456" s="189" t="n"/>
      <c r="K456" s="189" t="n"/>
      <c r="L456" s="189" t="n"/>
      <c r="M456" s="189" t="n"/>
      <c r="N456" s="189" t="n"/>
      <c r="O456" s="189" t="n"/>
      <c r="P456" s="189" t="n"/>
      <c r="Q456" s="189" t="n"/>
      <c r="R456" s="189" t="n"/>
      <c r="S456" s="189" t="n"/>
      <c r="T456" s="189" t="n"/>
      <c r="U456" s="189" t="n"/>
      <c r="V456" s="189" t="n"/>
      <c r="W456" s="189" t="n"/>
      <c r="X456" s="189" t="n"/>
      <c r="Y456" s="189" t="n"/>
      <c r="Z456" s="189" t="n"/>
      <c r="AA456" s="189" t="n"/>
      <c r="AB456" s="189" t="n"/>
      <c r="AC456" s="189" t="n"/>
      <c r="AD456" s="189" t="n"/>
      <c r="AE456" s="189" t="n"/>
      <c r="AF456" s="189" t="n"/>
      <c r="AG456" s="189" t="n"/>
      <c r="AH456" s="189" t="n"/>
      <c r="AI456" s="51" t="inlineStr">
        <is>
          <t>U6θ</t>
        </is>
      </c>
    </row>
    <row r="457">
      <c r="B457" s="189" t="n"/>
      <c r="C457" s="189" t="n"/>
      <c r="D457" s="189" t="n"/>
      <c r="E457" s="189" t="n"/>
      <c r="F457" s="189" t="n"/>
      <c r="G457" s="189" t="n"/>
      <c r="H457" s="189" t="n"/>
      <c r="I457" s="189" t="n"/>
      <c r="J457" s="189" t="n"/>
      <c r="K457" s="189" t="n"/>
      <c r="L457" s="189" t="n"/>
      <c r="M457" s="189" t="n"/>
      <c r="N457" s="189" t="n"/>
      <c r="O457" s="189" t="n"/>
      <c r="P457" s="189" t="n"/>
      <c r="Q457" s="189" t="n"/>
      <c r="R457" s="189" t="n"/>
      <c r="S457" s="189" t="n"/>
      <c r="T457" s="189" t="n"/>
      <c r="U457" s="189" t="n"/>
      <c r="V457" s="189" t="n"/>
      <c r="W457" s="189" t="n"/>
      <c r="X457" s="189" t="n"/>
      <c r="Y457" s="189" t="n"/>
      <c r="Z457" s="189" t="n"/>
      <c r="AA457" s="189" t="n"/>
      <c r="AB457" s="189" t="n"/>
      <c r="AC457" s="189" t="n"/>
      <c r="AD457" s="189" t="n"/>
      <c r="AE457" s="189" t="n"/>
      <c r="AF457" s="189" t="n"/>
      <c r="AG457" s="189" t="n"/>
      <c r="AH457" s="189" t="n"/>
      <c r="AI457" s="51" t="inlineStr">
        <is>
          <t>U7X</t>
        </is>
      </c>
    </row>
    <row r="458">
      <c r="B458" s="189" t="n"/>
      <c r="C458" s="189" t="n"/>
      <c r="D458" s="189" t="n"/>
      <c r="E458" s="189" t="n"/>
      <c r="F458" s="189" t="n"/>
      <c r="G458" s="189" t="n"/>
      <c r="H458" s="189" t="n"/>
      <c r="I458" s="189" t="n"/>
      <c r="J458" s="189" t="n"/>
      <c r="K458" s="189" t="n"/>
      <c r="L458" s="189" t="n"/>
      <c r="M458" s="189" t="n"/>
      <c r="N458" s="189" t="n"/>
      <c r="O458" s="189" t="n"/>
      <c r="P458" s="189" t="n"/>
      <c r="Q458" s="189" t="n"/>
      <c r="R458" s="189" t="n"/>
      <c r="S458" s="189" t="n"/>
      <c r="T458" s="189" t="n"/>
      <c r="U458" s="189" t="n"/>
      <c r="V458" s="189" t="n"/>
      <c r="W458" s="189" t="n"/>
      <c r="X458" s="189" t="n"/>
      <c r="Y458" s="189" t="n"/>
      <c r="Z458" s="189" t="n"/>
      <c r="AA458" s="189" t="n"/>
      <c r="AB458" s="189" t="n"/>
      <c r="AC458" s="189" t="n"/>
      <c r="AD458" s="189" t="n"/>
      <c r="AE458" s="189" t="n"/>
      <c r="AF458" s="189" t="n"/>
      <c r="AG458" s="189" t="n"/>
      <c r="AH458" s="189" t="n"/>
      <c r="AI458" s="51" t="inlineStr">
        <is>
          <t>U7Y</t>
        </is>
      </c>
    </row>
    <row r="459">
      <c r="B459" s="189" t="n"/>
      <c r="C459" s="189" t="n"/>
      <c r="D459" s="189" t="n"/>
      <c r="E459" s="189" t="n"/>
      <c r="F459" s="189" t="n"/>
      <c r="G459" s="189" t="n"/>
      <c r="H459" s="189" t="n"/>
      <c r="I459" s="189" t="n"/>
      <c r="J459" s="189" t="n"/>
      <c r="K459" s="189" t="n"/>
      <c r="L459" s="189" t="n"/>
      <c r="M459" s="189" t="n"/>
      <c r="N459" s="189" t="n"/>
      <c r="O459" s="189" t="n"/>
      <c r="P459" s="189" t="n"/>
      <c r="Q459" s="189" t="n"/>
      <c r="R459" s="189" t="n"/>
      <c r="S459" s="189" t="n"/>
      <c r="T459" s="189" t="n"/>
      <c r="U459" s="189" t="n"/>
      <c r="V459" s="189" t="n"/>
      <c r="W459" s="189" t="n"/>
      <c r="X459" s="189" t="n"/>
      <c r="Y459" s="189" t="n"/>
      <c r="Z459" s="189" t="n"/>
      <c r="AA459" s="189" t="n"/>
      <c r="AB459" s="189" t="n"/>
      <c r="AC459" s="189" t="n"/>
      <c r="AD459" s="189" t="n"/>
      <c r="AE459" s="189" t="n"/>
      <c r="AF459" s="189" t="n"/>
      <c r="AG459" s="189" t="n"/>
      <c r="AH459" s="189" t="n"/>
      <c r="AI459" s="51" t="inlineStr">
        <is>
          <t>U7θ</t>
        </is>
      </c>
    </row>
    <row r="460">
      <c r="B460" s="189" t="n"/>
      <c r="C460" s="189" t="n"/>
      <c r="D460" s="189" t="n"/>
      <c r="E460" s="189" t="n"/>
      <c r="F460" s="189" t="n"/>
      <c r="G460" s="189" t="n"/>
      <c r="H460" s="189" t="n"/>
      <c r="I460" s="189" t="n"/>
      <c r="J460" s="189" t="n"/>
      <c r="K460" s="189" t="n"/>
      <c r="L460" s="189" t="n"/>
      <c r="M460" s="189" t="n"/>
      <c r="N460" s="189" t="n"/>
      <c r="O460" s="189" t="n"/>
      <c r="P460" s="189" t="n"/>
      <c r="Q460" s="189" t="n"/>
      <c r="R460" s="189" t="n"/>
      <c r="S460" s="189" t="n"/>
      <c r="T460" s="189" t="n"/>
      <c r="U460" s="189" t="n"/>
      <c r="V460" s="189" t="n"/>
      <c r="W460" s="189" t="n"/>
      <c r="X460" s="189" t="n"/>
      <c r="Y460" s="189" t="n"/>
      <c r="Z460" s="189" t="n"/>
      <c r="AA460" s="189" t="n"/>
      <c r="AB460" s="189" t="n"/>
      <c r="AC460" s="189" t="n"/>
      <c r="AD460" s="189" t="n"/>
      <c r="AE460" s="189" t="n"/>
      <c r="AF460" s="189" t="n"/>
      <c r="AG460" s="189" t="n"/>
      <c r="AH460" s="189" t="n"/>
      <c r="AI460" s="51" t="inlineStr">
        <is>
          <t>U8X</t>
        </is>
      </c>
    </row>
    <row r="461">
      <c r="B461" s="189" t="n"/>
      <c r="C461" s="189" t="n"/>
      <c r="D461" s="189" t="n"/>
      <c r="E461" s="189" t="n"/>
      <c r="F461" s="189" t="n"/>
      <c r="G461" s="189" t="n"/>
      <c r="H461" s="189" t="n"/>
      <c r="I461" s="189" t="n"/>
      <c r="J461" s="189" t="n"/>
      <c r="K461" s="189" t="n"/>
      <c r="L461" s="189" t="n"/>
      <c r="M461" s="189" t="n"/>
      <c r="N461" s="189" t="n"/>
      <c r="O461" s="189" t="n"/>
      <c r="P461" s="189" t="n"/>
      <c r="Q461" s="189" t="n"/>
      <c r="R461" s="189" t="n"/>
      <c r="S461" s="189" t="n"/>
      <c r="T461" s="189" t="n"/>
      <c r="U461" s="189" t="n"/>
      <c r="V461" s="189" t="n"/>
      <c r="W461" s="189" t="n"/>
      <c r="X461" s="189" t="n"/>
      <c r="Y461" s="189" t="n"/>
      <c r="Z461" s="189" t="n"/>
      <c r="AA461" s="189" t="n"/>
      <c r="AB461" s="189" t="n"/>
      <c r="AC461" s="189" t="n"/>
      <c r="AD461" s="189" t="n"/>
      <c r="AE461" s="189" t="n"/>
      <c r="AF461" s="189" t="n"/>
      <c r="AG461" s="189" t="n"/>
      <c r="AH461" s="189" t="n"/>
      <c r="AI461" s="51" t="inlineStr">
        <is>
          <t>U8Y</t>
        </is>
      </c>
    </row>
    <row r="462">
      <c r="B462" s="189" t="n"/>
      <c r="C462" s="189" t="n"/>
      <c r="D462" s="189" t="n"/>
      <c r="E462" s="189" t="n"/>
      <c r="F462" s="189" t="n"/>
      <c r="G462" s="189" t="n"/>
      <c r="H462" s="189" t="n"/>
      <c r="I462" s="189" t="n"/>
      <c r="J462" s="189" t="n"/>
      <c r="K462" s="189" t="n"/>
      <c r="L462" s="189" t="n"/>
      <c r="M462" s="189" t="n"/>
      <c r="N462" s="189" t="n"/>
      <c r="O462" s="189" t="n"/>
      <c r="P462" s="189" t="n"/>
      <c r="Q462" s="189" t="n"/>
      <c r="R462" s="189" t="n"/>
      <c r="S462" s="189" t="n"/>
      <c r="T462" s="189" t="n"/>
      <c r="U462" s="189" t="n"/>
      <c r="V462" s="189" t="n"/>
      <c r="W462" s="189" t="n"/>
      <c r="X462" s="189" t="n"/>
      <c r="Y462" s="189" t="n"/>
      <c r="Z462" s="189" t="n"/>
      <c r="AA462" s="189" t="n"/>
      <c r="AB462" s="189" t="n"/>
      <c r="AC462" s="189" t="n"/>
      <c r="AD462" s="189" t="n"/>
      <c r="AE462" s="189" t="n"/>
      <c r="AF462" s="189" t="n"/>
      <c r="AG462" s="189" t="n"/>
      <c r="AH462" s="189" t="n"/>
      <c r="AI462" s="51" t="inlineStr">
        <is>
          <t>U8θ</t>
        </is>
      </c>
    </row>
    <row r="463">
      <c r="B463" s="189" t="n"/>
      <c r="C463" s="189" t="n"/>
      <c r="D463" s="189" t="n"/>
      <c r="E463" s="189" t="n"/>
      <c r="F463" s="189" t="n"/>
      <c r="G463" s="189" t="n"/>
      <c r="H463" s="189" t="n"/>
      <c r="I463" s="189" t="n"/>
      <c r="J463" s="189" t="n"/>
      <c r="K463" s="189" t="n"/>
      <c r="L463" s="189" t="n"/>
      <c r="M463" s="189" t="n"/>
      <c r="N463" s="189" t="n"/>
      <c r="O463" s="189" t="n"/>
      <c r="P463" s="189" t="n"/>
      <c r="Q463" s="189" t="n"/>
      <c r="R463" s="189" t="n"/>
      <c r="S463" s="189" t="n"/>
      <c r="T463" s="189" t="n"/>
      <c r="U463" s="189" t="n"/>
      <c r="V463" s="189" t="n"/>
      <c r="W463" s="189" t="n"/>
      <c r="X463" s="189" t="n"/>
      <c r="Y463" s="189" t="n"/>
      <c r="Z463" s="189" t="n"/>
      <c r="AA463" s="189" t="n"/>
      <c r="AB463" s="189" t="n"/>
      <c r="AC463" s="189" t="n"/>
      <c r="AD463" s="189" t="n"/>
      <c r="AE463" s="189" t="n"/>
      <c r="AF463" s="189" t="n"/>
      <c r="AG463" s="189" t="n"/>
      <c r="AH463" s="189" t="n"/>
      <c r="AI463" s="51" t="inlineStr">
        <is>
          <t>U9X</t>
        </is>
      </c>
    </row>
    <row r="464">
      <c r="B464" s="189" t="n"/>
      <c r="C464" s="189" t="n"/>
      <c r="D464" s="189" t="n"/>
      <c r="E464" s="189" t="n"/>
      <c r="F464" s="189" t="n"/>
      <c r="G464" s="189" t="n"/>
      <c r="H464" s="189" t="n"/>
      <c r="I464" s="189" t="n"/>
      <c r="J464" s="189" t="n"/>
      <c r="K464" s="189" t="n"/>
      <c r="L464" s="189" t="n"/>
      <c r="M464" s="189" t="n"/>
      <c r="N464" s="189" t="n"/>
      <c r="O464" s="189" t="n"/>
      <c r="P464" s="189" t="n"/>
      <c r="Q464" s="189" t="n"/>
      <c r="R464" s="189" t="n"/>
      <c r="S464" s="189" t="n"/>
      <c r="T464" s="189" t="n"/>
      <c r="U464" s="189" t="n"/>
      <c r="V464" s="189" t="n"/>
      <c r="W464" s="189" t="n"/>
      <c r="X464" s="189" t="n"/>
      <c r="Y464" s="189" t="n"/>
      <c r="Z464" s="189" t="n"/>
      <c r="AA464" s="189" t="n"/>
      <c r="AB464" s="189" t="n"/>
      <c r="AC464" s="189" t="n"/>
      <c r="AD464" s="189" t="n"/>
      <c r="AE464" s="189" t="n"/>
      <c r="AF464" s="189" t="n"/>
      <c r="AG464" s="189" t="n"/>
      <c r="AH464" s="189" t="n"/>
      <c r="AI464" s="51" t="inlineStr">
        <is>
          <t>U9Y</t>
        </is>
      </c>
    </row>
    <row r="465">
      <c r="B465" s="189" t="n"/>
      <c r="C465" s="189" t="n"/>
      <c r="D465" s="189" t="n"/>
      <c r="E465" s="189" t="n"/>
      <c r="F465" s="189" t="n"/>
      <c r="G465" s="189" t="n"/>
      <c r="H465" s="189" t="n"/>
      <c r="I465" s="189" t="n"/>
      <c r="J465" s="189" t="n"/>
      <c r="K465" s="189" t="n"/>
      <c r="L465" s="189" t="n"/>
      <c r="M465" s="189" t="n"/>
      <c r="N465" s="189" t="n"/>
      <c r="O465" s="189" t="n"/>
      <c r="P465" s="189" t="n"/>
      <c r="Q465" s="189" t="n"/>
      <c r="R465" s="189" t="n"/>
      <c r="S465" s="189" t="n"/>
      <c r="T465" s="189" t="n"/>
      <c r="U465" s="189" t="n"/>
      <c r="V465" s="189" t="n"/>
      <c r="W465" s="189" t="n"/>
      <c r="X465" s="189" t="n"/>
      <c r="Y465" s="189" t="n"/>
      <c r="Z465" s="189" t="n"/>
      <c r="AA465" s="189" t="n"/>
      <c r="AB465" s="189" t="n"/>
      <c r="AC465" s="189" t="n"/>
      <c r="AD465" s="189" t="n"/>
      <c r="AE465" s="189" t="n"/>
      <c r="AF465" s="189" t="n"/>
      <c r="AG465" s="189" t="n"/>
      <c r="AH465" s="189" t="n"/>
      <c r="AI465" s="51" t="inlineStr">
        <is>
          <t>U9θ</t>
        </is>
      </c>
    </row>
    <row r="466">
      <c r="B466" s="189" t="n"/>
      <c r="C466" s="189" t="n"/>
      <c r="D466" s="189" t="n"/>
      <c r="E466" s="189" t="n"/>
      <c r="F466" s="189" t="n"/>
      <c r="G466" s="189" t="n"/>
      <c r="H466" s="189" t="n"/>
      <c r="I466" s="189" t="n"/>
      <c r="J466" s="189" t="n"/>
      <c r="K466" s="189" t="n"/>
      <c r="L466" s="189" t="n"/>
      <c r="M466" s="189" t="n"/>
      <c r="N466" s="189" t="n"/>
      <c r="O466" s="189" t="n"/>
      <c r="P466" s="189" t="n"/>
      <c r="Q466" s="189" t="n"/>
      <c r="R466" s="189" t="n"/>
      <c r="S466" s="189" t="n"/>
      <c r="T466" s="189" t="n"/>
      <c r="U466" s="189" t="n"/>
      <c r="V466" s="189" t="n"/>
      <c r="W466" s="189" t="n"/>
      <c r="X466" s="189" t="n"/>
      <c r="Y466" s="189" t="n"/>
      <c r="Z466" s="189" t="n"/>
      <c r="AA466" s="189" t="n"/>
      <c r="AB466" s="189" t="n"/>
      <c r="AC466" s="189">
        <f>B431</f>
        <v/>
      </c>
      <c r="AD466" s="189">
        <f>C431</f>
        <v/>
      </c>
      <c r="AE466" s="189">
        <f>D431</f>
        <v/>
      </c>
      <c r="AF466" s="189">
        <f>E431</f>
        <v/>
      </c>
      <c r="AG466" s="189">
        <f>F431</f>
        <v/>
      </c>
      <c r="AH466" s="189">
        <f>G431</f>
        <v/>
      </c>
      <c r="AI466" s="51" t="inlineStr">
        <is>
          <t>U10X</t>
        </is>
      </c>
    </row>
    <row r="467">
      <c r="B467" s="189" t="n"/>
      <c r="C467" s="189" t="n"/>
      <c r="D467" s="189" t="n"/>
      <c r="E467" s="189" t="n"/>
      <c r="F467" s="189" t="n"/>
      <c r="G467" s="189" t="n"/>
      <c r="H467" s="189" t="n"/>
      <c r="I467" s="189" t="n"/>
      <c r="J467" s="189" t="n"/>
      <c r="K467" s="189" t="n"/>
      <c r="L467" s="189" t="n"/>
      <c r="M467" s="189" t="n"/>
      <c r="N467" s="189" t="n"/>
      <c r="O467" s="189" t="n"/>
      <c r="P467" s="189" t="n"/>
      <c r="Q467" s="189" t="n"/>
      <c r="R467" s="189" t="n"/>
      <c r="S467" s="189" t="n"/>
      <c r="T467" s="189" t="n"/>
      <c r="U467" s="189" t="n"/>
      <c r="V467" s="189" t="n"/>
      <c r="W467" s="189" t="n"/>
      <c r="X467" s="189" t="n"/>
      <c r="Y467" s="189" t="n"/>
      <c r="Z467" s="189" t="n"/>
      <c r="AA467" s="189" t="n"/>
      <c r="AB467" s="189" t="n"/>
      <c r="AC467" s="189">
        <f>B432</f>
        <v/>
      </c>
      <c r="AD467" s="189">
        <f>C432</f>
        <v/>
      </c>
      <c r="AE467" s="189">
        <f>D432</f>
        <v/>
      </c>
      <c r="AF467" s="189">
        <f>E432</f>
        <v/>
      </c>
      <c r="AG467" s="189">
        <f>F432</f>
        <v/>
      </c>
      <c r="AH467" s="189">
        <f>G432</f>
        <v/>
      </c>
      <c r="AI467" s="51" t="inlineStr">
        <is>
          <t>U10Y</t>
        </is>
      </c>
    </row>
    <row r="468">
      <c r="B468" s="189" t="n"/>
      <c r="C468" s="189" t="n"/>
      <c r="D468" s="189" t="n"/>
      <c r="E468" s="189" t="n"/>
      <c r="F468" s="189" t="n"/>
      <c r="G468" s="189" t="n"/>
      <c r="H468" s="189" t="n"/>
      <c r="I468" s="189" t="n"/>
      <c r="J468" s="189" t="n"/>
      <c r="K468" s="189" t="n"/>
      <c r="L468" s="189" t="n"/>
      <c r="M468" s="189" t="n"/>
      <c r="N468" s="189" t="n"/>
      <c r="O468" s="189" t="n"/>
      <c r="P468" s="189" t="n"/>
      <c r="Q468" s="189" t="n"/>
      <c r="R468" s="189" t="n"/>
      <c r="S468" s="189" t="n"/>
      <c r="T468" s="189" t="n"/>
      <c r="U468" s="189" t="n"/>
      <c r="V468" s="189" t="n"/>
      <c r="W468" s="189" t="n"/>
      <c r="X468" s="189" t="n"/>
      <c r="Y468" s="189" t="n"/>
      <c r="Z468" s="189" t="n"/>
      <c r="AA468" s="189" t="n"/>
      <c r="AB468" s="189" t="n"/>
      <c r="AC468" s="189">
        <f>B433</f>
        <v/>
      </c>
      <c r="AD468" s="189">
        <f>C433</f>
        <v/>
      </c>
      <c r="AE468" s="189">
        <f>D433</f>
        <v/>
      </c>
      <c r="AF468" s="189">
        <f>E433</f>
        <v/>
      </c>
      <c r="AG468" s="189">
        <f>F433</f>
        <v/>
      </c>
      <c r="AH468" s="189">
        <f>G433</f>
        <v/>
      </c>
      <c r="AI468" s="51" t="inlineStr">
        <is>
          <t>U10θ</t>
        </is>
      </c>
    </row>
    <row r="469">
      <c r="B469" s="189" t="n"/>
      <c r="C469" s="189" t="n"/>
      <c r="D469" s="189" t="n"/>
      <c r="E469" s="189" t="n"/>
      <c r="F469" s="189" t="n"/>
      <c r="G469" s="189" t="n"/>
      <c r="H469" s="189" t="n"/>
      <c r="I469" s="189" t="n"/>
      <c r="J469" s="189" t="n"/>
      <c r="K469" s="189" t="n"/>
      <c r="L469" s="189" t="n"/>
      <c r="M469" s="189" t="n"/>
      <c r="N469" s="189" t="n"/>
      <c r="O469" s="189" t="n"/>
      <c r="P469" s="189" t="n"/>
      <c r="Q469" s="189" t="n"/>
      <c r="R469" s="189" t="n"/>
      <c r="S469" s="189" t="n"/>
      <c r="T469" s="189" t="n"/>
      <c r="U469" s="189" t="n"/>
      <c r="V469" s="189" t="n"/>
      <c r="W469" s="189" t="n"/>
      <c r="X469" s="189" t="n"/>
      <c r="Y469" s="189" t="n"/>
      <c r="Z469" s="189" t="n"/>
      <c r="AA469" s="189" t="n"/>
      <c r="AB469" s="189" t="n"/>
      <c r="AC469" s="189">
        <f>B434</f>
        <v/>
      </c>
      <c r="AD469" s="189">
        <f>C434</f>
        <v/>
      </c>
      <c r="AE469" s="189">
        <f>D434</f>
        <v/>
      </c>
      <c r="AF469" s="189">
        <f>E434</f>
        <v/>
      </c>
      <c r="AG469" s="189">
        <f>F434</f>
        <v/>
      </c>
      <c r="AH469" s="189">
        <f>G434</f>
        <v/>
      </c>
      <c r="AI469" s="51" t="inlineStr">
        <is>
          <t>U11X</t>
        </is>
      </c>
    </row>
    <row r="470">
      <c r="B470" s="189" t="n"/>
      <c r="C470" s="189" t="n"/>
      <c r="D470" s="189" t="n"/>
      <c r="E470" s="189" t="n"/>
      <c r="F470" s="189" t="n"/>
      <c r="G470" s="189" t="n"/>
      <c r="H470" s="189" t="n"/>
      <c r="I470" s="189" t="n"/>
      <c r="J470" s="189" t="n"/>
      <c r="K470" s="189" t="n"/>
      <c r="L470" s="189" t="n"/>
      <c r="M470" s="189" t="n"/>
      <c r="N470" s="189" t="n"/>
      <c r="O470" s="189" t="n"/>
      <c r="P470" s="189" t="n"/>
      <c r="Q470" s="189" t="n"/>
      <c r="R470" s="189" t="n"/>
      <c r="S470" s="189" t="n"/>
      <c r="T470" s="189" t="n"/>
      <c r="U470" s="189" t="n"/>
      <c r="V470" s="189" t="n"/>
      <c r="W470" s="189" t="n"/>
      <c r="X470" s="189" t="n"/>
      <c r="Y470" s="189" t="n"/>
      <c r="Z470" s="189" t="n"/>
      <c r="AA470" s="189" t="n"/>
      <c r="AB470" s="189" t="n"/>
      <c r="AC470" s="189">
        <f>B435</f>
        <v/>
      </c>
      <c r="AD470" s="189">
        <f>C435</f>
        <v/>
      </c>
      <c r="AE470" s="189">
        <f>D435</f>
        <v/>
      </c>
      <c r="AF470" s="189">
        <f>E435</f>
        <v/>
      </c>
      <c r="AG470" s="189">
        <f>F435</f>
        <v/>
      </c>
      <c r="AH470" s="189">
        <f>G435</f>
        <v/>
      </c>
      <c r="AI470" s="51" t="inlineStr">
        <is>
          <t>U11Y</t>
        </is>
      </c>
    </row>
    <row r="471">
      <c r="B471" s="189" t="n"/>
      <c r="C471" s="189" t="n"/>
      <c r="D471" s="189" t="n"/>
      <c r="E471" s="189" t="n"/>
      <c r="F471" s="189" t="n"/>
      <c r="G471" s="189" t="n"/>
      <c r="H471" s="189" t="n"/>
      <c r="I471" s="189" t="n"/>
      <c r="J471" s="189" t="n"/>
      <c r="K471" s="189" t="n"/>
      <c r="L471" s="189" t="n"/>
      <c r="M471" s="189" t="n"/>
      <c r="N471" s="189" t="n"/>
      <c r="O471" s="189" t="n"/>
      <c r="P471" s="189" t="n"/>
      <c r="Q471" s="189" t="n"/>
      <c r="R471" s="189" t="n"/>
      <c r="S471" s="189" t="n"/>
      <c r="T471" s="189" t="n"/>
      <c r="U471" s="189" t="n"/>
      <c r="V471" s="189" t="n"/>
      <c r="W471" s="189" t="n"/>
      <c r="X471" s="189" t="n"/>
      <c r="Y471" s="189" t="n"/>
      <c r="Z471" s="189" t="n"/>
      <c r="AA471" s="189" t="n"/>
      <c r="AB471" s="189" t="n"/>
      <c r="AC471" s="189">
        <f>B436</f>
        <v/>
      </c>
      <c r="AD471" s="189">
        <f>C436</f>
        <v/>
      </c>
      <c r="AE471" s="189">
        <f>D436</f>
        <v/>
      </c>
      <c r="AF471" s="189">
        <f>E436</f>
        <v/>
      </c>
      <c r="AG471" s="189">
        <f>F436</f>
        <v/>
      </c>
      <c r="AH471" s="189">
        <f>G436</f>
        <v/>
      </c>
      <c r="AI471" s="51" t="inlineStr">
        <is>
          <t>U11θ</t>
        </is>
      </c>
    </row>
    <row r="474">
      <c r="B474" s="53" t="inlineStr">
        <is>
          <t>MATRIZ DE RIGIDEZ GLOBAL DE LA VIGA [Kviga] (METODOLOGÍA COMODÍN - ENSAMBLE COMPLETO 10 TRAMOS / 33 GDL)</t>
        </is>
      </c>
      <c r="C474" s="190" t="n"/>
      <c r="D474" s="190" t="n"/>
      <c r="E474" s="190" t="n"/>
      <c r="F474" s="190" t="n"/>
      <c r="G474" s="190" t="n"/>
      <c r="H474" s="190" t="n"/>
      <c r="I474" s="190" t="n"/>
      <c r="J474" s="190" t="n"/>
      <c r="K474" s="190" t="n"/>
      <c r="L474" s="190" t="n"/>
      <c r="M474" s="190" t="n"/>
      <c r="N474" s="190" t="n"/>
      <c r="O474" s="190" t="n"/>
      <c r="P474" s="190" t="n"/>
      <c r="Q474" s="190" t="n"/>
      <c r="R474" s="190" t="n"/>
      <c r="S474" s="190" t="n"/>
      <c r="T474" s="190" t="n"/>
      <c r="U474" s="190" t="n"/>
      <c r="V474" s="190" t="n"/>
      <c r="W474" s="190" t="n"/>
      <c r="X474" s="190" t="n"/>
      <c r="Y474" s="190" t="n"/>
      <c r="Z474" s="190" t="n"/>
      <c r="AA474" s="190" t="n"/>
      <c r="AB474" s="190" t="n"/>
      <c r="AC474" s="190" t="n"/>
      <c r="AD474" s="190" t="n"/>
      <c r="AE474" s="190" t="n"/>
      <c r="AF474" s="190" t="n"/>
      <c r="AG474" s="190" t="n"/>
      <c r="AH474" s="191" t="n"/>
    </row>
    <row r="475">
      <c r="B475" s="51" t="inlineStr">
        <is>
          <t>U1X</t>
        </is>
      </c>
      <c r="C475" s="51" t="inlineStr">
        <is>
          <t>U1Y</t>
        </is>
      </c>
      <c r="D475" s="51" t="inlineStr">
        <is>
          <t>U1θ</t>
        </is>
      </c>
      <c r="E475" s="51" t="inlineStr">
        <is>
          <t>U2X</t>
        </is>
      </c>
      <c r="F475" s="51" t="inlineStr">
        <is>
          <t>U2Y</t>
        </is>
      </c>
      <c r="G475" s="51" t="inlineStr">
        <is>
          <t>U2θ</t>
        </is>
      </c>
      <c r="H475" s="51" t="inlineStr">
        <is>
          <t>U3X</t>
        </is>
      </c>
      <c r="I475" s="51" t="inlineStr">
        <is>
          <t>U3Y</t>
        </is>
      </c>
      <c r="J475" s="51" t="inlineStr">
        <is>
          <t>U3θ</t>
        </is>
      </c>
      <c r="K475" s="51" t="inlineStr">
        <is>
          <t>U4X</t>
        </is>
      </c>
      <c r="L475" s="51" t="inlineStr">
        <is>
          <t>U4Y</t>
        </is>
      </c>
      <c r="M475" s="51" t="inlineStr">
        <is>
          <t>U4θ</t>
        </is>
      </c>
      <c r="N475" s="51" t="inlineStr">
        <is>
          <t>U5X</t>
        </is>
      </c>
      <c r="O475" s="51" t="inlineStr">
        <is>
          <t>U5Y</t>
        </is>
      </c>
      <c r="P475" s="51" t="inlineStr">
        <is>
          <t>U5θ</t>
        </is>
      </c>
      <c r="Q475" s="51" t="inlineStr">
        <is>
          <t>U6X</t>
        </is>
      </c>
      <c r="R475" s="51" t="inlineStr">
        <is>
          <t>U6Y</t>
        </is>
      </c>
      <c r="S475" s="51" t="inlineStr">
        <is>
          <t>U6θ</t>
        </is>
      </c>
      <c r="T475" s="51" t="inlineStr">
        <is>
          <t>U7X</t>
        </is>
      </c>
      <c r="U475" s="51" t="inlineStr">
        <is>
          <t>U7Y</t>
        </is>
      </c>
      <c r="V475" s="51" t="inlineStr">
        <is>
          <t>U7θ</t>
        </is>
      </c>
      <c r="W475" s="51" t="inlineStr">
        <is>
          <t>U8X</t>
        </is>
      </c>
      <c r="X475" s="51" t="inlineStr">
        <is>
          <t>U8Y</t>
        </is>
      </c>
      <c r="Y475" s="51" t="inlineStr">
        <is>
          <t>U8θ</t>
        </is>
      </c>
      <c r="Z475" s="51" t="inlineStr">
        <is>
          <t>U9X</t>
        </is>
      </c>
      <c r="AA475" s="51" t="inlineStr">
        <is>
          <t>U9Y</t>
        </is>
      </c>
      <c r="AB475" s="51" t="inlineStr">
        <is>
          <t>U9θ</t>
        </is>
      </c>
      <c r="AC475" s="51" t="inlineStr">
        <is>
          <t>U10X</t>
        </is>
      </c>
      <c r="AD475" s="51" t="inlineStr">
        <is>
          <t>U10Y</t>
        </is>
      </c>
      <c r="AE475" s="51" t="inlineStr">
        <is>
          <t>U10θ</t>
        </is>
      </c>
      <c r="AF475" s="51" t="inlineStr">
        <is>
          <t>U11X</t>
        </is>
      </c>
      <c r="AG475" s="51" t="inlineStr">
        <is>
          <t>U11Y</t>
        </is>
      </c>
      <c r="AH475" s="51" t="inlineStr">
        <is>
          <t>U11θ</t>
        </is>
      </c>
    </row>
    <row r="476">
      <c r="B476" s="10">
        <f>B52+B95+B138+B181+B224+B267+B310+B353+B396+B439</f>
        <v/>
      </c>
      <c r="C476" s="189">
        <f>C52+C95+C138+C181+C224+C267+C310+C353+C396+C439</f>
        <v/>
      </c>
      <c r="D476" s="189">
        <f>D52+D95+D138+D181+D224+D267+D310+D353+D396+D439</f>
        <v/>
      </c>
      <c r="E476" s="189">
        <f>E52+E95+E138+E181+E224+E267+E310+E353+E396+E439</f>
        <v/>
      </c>
      <c r="F476" s="189">
        <f>F52+F95+F138+F181+F224+F267+F310+F353+F396+F439</f>
        <v/>
      </c>
      <c r="G476" s="189">
        <f>G52+G95+G138+G181+G224+G267+G310+G353+G396+G439</f>
        <v/>
      </c>
      <c r="H476" s="189">
        <f>H52+H95+H138+H181+H224+H267+H310+H353+H396+H439</f>
        <v/>
      </c>
      <c r="I476" s="189">
        <f>I52+I95+I138+I181+I224+I267+I310+I353+I396+I439</f>
        <v/>
      </c>
      <c r="J476" s="189">
        <f>J52+J95+J138+J181+J224+J267+J310+J353+J396+J439</f>
        <v/>
      </c>
      <c r="K476" s="189">
        <f>K52+K95+K138+K181+K224+K267+K310+K353+K396+K439</f>
        <v/>
      </c>
      <c r="L476" s="189">
        <f>L52+L95+L138+L181+L224+L267+L310+L353+L396+L439</f>
        <v/>
      </c>
      <c r="M476" s="189">
        <f>M52+M95+M138+M181+M224+M267+M310+M353+M396+M439</f>
        <v/>
      </c>
      <c r="N476" s="189">
        <f>N52+N95+N138+N181+N224+N267+N310+N353+N396+N439</f>
        <v/>
      </c>
      <c r="O476" s="189">
        <f>O52+O95+O138+O181+O224+O267+O310+O353+O396+O439</f>
        <v/>
      </c>
      <c r="P476" s="189">
        <f>P52+P95+P138+P181+P224+P267+P310+P353+P396+P439</f>
        <v/>
      </c>
      <c r="Q476" s="189">
        <f>Q52+Q95+Q138+Q181+Q224+Q267+Q310+Q353+Q396+Q439</f>
        <v/>
      </c>
      <c r="R476" s="189">
        <f>R52+R95+R138+R181+R224+R267+R310+R353+R396+R439</f>
        <v/>
      </c>
      <c r="S476" s="189">
        <f>S52+S95+S138+S181+S224+S267+S310+S353+S396+S439</f>
        <v/>
      </c>
      <c r="T476" s="189">
        <f>T52+T95+T138+T181+T224+T267+T310+T353+T396+T439</f>
        <v/>
      </c>
      <c r="U476" s="189">
        <f>U52+U95+U138+U181+U224+U267+U310+U353+U396+U439</f>
        <v/>
      </c>
      <c r="V476" s="189">
        <f>V52+V95+V138+V181+V224+V267+V310+V353+V396+V439</f>
        <v/>
      </c>
      <c r="W476" s="189">
        <f>W52+W95+W138+W181+W224+W267+W310+W353+W396+W439</f>
        <v/>
      </c>
      <c r="X476" s="189">
        <f>X52+X95+X138+X181+X224+X267+X310+X353+X396+X439</f>
        <v/>
      </c>
      <c r="Y476" s="189">
        <f>Y52+Y95+Y138+Y181+Y224+Y267+Y310+Y353+Y396+Y439</f>
        <v/>
      </c>
      <c r="Z476" s="189">
        <f>Z52+Z95+Z138+Z181+Z224+Z267+Z310+Z353+Z396+Z439</f>
        <v/>
      </c>
      <c r="AA476" s="189">
        <f>AA52+AA95+AA138+AA181+AA224+AA267+AA310+AA353+AA396+AA439</f>
        <v/>
      </c>
      <c r="AB476" s="189">
        <f>AB52+AB95+AB138+AB181+AB224+AB267+AB310+AB353+AB396+AB439</f>
        <v/>
      </c>
      <c r="AC476" s="189">
        <f>AC52+AC95+AC138+AC181+AC224+AC267+AC310+AC353+AC396+AC439</f>
        <v/>
      </c>
      <c r="AD476" s="189">
        <f>AD52+AD95+AD138+AD181+AD224+AD267+AD310+AD353+AD396+AD439</f>
        <v/>
      </c>
      <c r="AE476" s="189">
        <f>AE52+AE95+AE138+AE181+AE224+AE267+AE310+AE353+AE396+AE439</f>
        <v/>
      </c>
      <c r="AF476" s="189">
        <f>AF52+AF95+AF138+AF181+AF224+AF267+AF310+AF353+AF396+AF439</f>
        <v/>
      </c>
      <c r="AG476" s="189">
        <f>AG52+AG95+AG138+AG181+AG224+AG267+AG310+AG353+AG396+AG439</f>
        <v/>
      </c>
      <c r="AH476" s="189">
        <f>AH52+AH95+AH138+AH181+AH224+AH267+AH310+AH353+AH396+AH439</f>
        <v/>
      </c>
      <c r="AI476" s="51" t="inlineStr">
        <is>
          <t>U1X</t>
        </is>
      </c>
    </row>
    <row r="477">
      <c r="B477" s="189">
        <f>B53+B96+B139+B182+B225+B268+B311+B354+B397+B440</f>
        <v/>
      </c>
      <c r="C477" s="10">
        <f>C53+C96+C139+C182+C225+C268+C311+C354+C397+C440</f>
        <v/>
      </c>
      <c r="D477" s="189">
        <f>D53+D96+D139+D182+D225+D268+D311+D354+D397+D440</f>
        <v/>
      </c>
      <c r="E477" s="189">
        <f>E53+E96+E139+E182+E225+E268+E311+E354+E397+E440</f>
        <v/>
      </c>
      <c r="F477" s="189">
        <f>F53+F96+F139+F182+F225+F268+F311+F354+F397+F440</f>
        <v/>
      </c>
      <c r="G477" s="189">
        <f>G53+G96+G139+G182+G225+G268+G311+G354+G397+G440</f>
        <v/>
      </c>
      <c r="H477" s="189">
        <f>H53+H96+H139+H182+H225+H268+H311+H354+H397+H440</f>
        <v/>
      </c>
      <c r="I477" s="189">
        <f>I53+I96+I139+I182+I225+I268+I311+I354+I397+I440</f>
        <v/>
      </c>
      <c r="J477" s="189">
        <f>J53+J96+J139+J182+J225+J268+J311+J354+J397+J440</f>
        <v/>
      </c>
      <c r="K477" s="189">
        <f>K53+K96+K139+K182+K225+K268+K311+K354+K397+K440</f>
        <v/>
      </c>
      <c r="L477" s="189">
        <f>L53+L96+L139+L182+L225+L268+L311+L354+L397+L440</f>
        <v/>
      </c>
      <c r="M477" s="189">
        <f>M53+M96+M139+M182+M225+M268+M311+M354+M397+M440</f>
        <v/>
      </c>
      <c r="N477" s="189">
        <f>N53+N96+N139+N182+N225+N268+N311+N354+N397+N440</f>
        <v/>
      </c>
      <c r="O477" s="189">
        <f>O53+O96+O139+O182+O225+O268+O311+O354+O397+O440</f>
        <v/>
      </c>
      <c r="P477" s="189">
        <f>P53+P96+P139+P182+P225+P268+P311+P354+P397+P440</f>
        <v/>
      </c>
      <c r="Q477" s="189">
        <f>Q53+Q96+Q139+Q182+Q225+Q268+Q311+Q354+Q397+Q440</f>
        <v/>
      </c>
      <c r="R477" s="189">
        <f>R53+R96+R139+R182+R225+R268+R311+R354+R397+R440</f>
        <v/>
      </c>
      <c r="S477" s="189">
        <f>S53+S96+S139+S182+S225+S268+S311+S354+S397+S440</f>
        <v/>
      </c>
      <c r="T477" s="189">
        <f>T53+T96+T139+T182+T225+T268+T311+T354+T397+T440</f>
        <v/>
      </c>
      <c r="U477" s="189">
        <f>U53+U96+U139+U182+U225+U268+U311+U354+U397+U440</f>
        <v/>
      </c>
      <c r="V477" s="189">
        <f>V53+V96+V139+V182+V225+V268+V311+V354+V397+V440</f>
        <v/>
      </c>
      <c r="W477" s="189">
        <f>W53+W96+W139+W182+W225+W268+W311+W354+W397+W440</f>
        <v/>
      </c>
      <c r="X477" s="189">
        <f>X53+X96+X139+X182+X225+X268+X311+X354+X397+X440</f>
        <v/>
      </c>
      <c r="Y477" s="189">
        <f>Y53+Y96+Y139+Y182+Y225+Y268+Y311+Y354+Y397+Y440</f>
        <v/>
      </c>
      <c r="Z477" s="189">
        <f>Z53+Z96+Z139+Z182+Z225+Z268+Z311+Z354+Z397+Z440</f>
        <v/>
      </c>
      <c r="AA477" s="189">
        <f>AA53+AA96+AA139+AA182+AA225+AA268+AA311+AA354+AA397+AA440</f>
        <v/>
      </c>
      <c r="AB477" s="189">
        <f>AB53+AB96+AB139+AB182+AB225+AB268+AB311+AB354+AB397+AB440</f>
        <v/>
      </c>
      <c r="AC477" s="189">
        <f>AC53+AC96+AC139+AC182+AC225+AC268+AC311+AC354+AC397+AC440</f>
        <v/>
      </c>
      <c r="AD477" s="189">
        <f>AD53+AD96+AD139+AD182+AD225+AD268+AD311+AD354+AD397+AD440</f>
        <v/>
      </c>
      <c r="AE477" s="189">
        <f>AE53+AE96+AE139+AE182+AE225+AE268+AE311+AE354+AE397+AE440</f>
        <v/>
      </c>
      <c r="AF477" s="189">
        <f>AF53+AF96+AF139+AF182+AF225+AF268+AF311+AF354+AF397+AF440</f>
        <v/>
      </c>
      <c r="AG477" s="189">
        <f>AG53+AG96+AG139+AG182+AG225+AG268+AG311+AG354+AG397+AG440</f>
        <v/>
      </c>
      <c r="AH477" s="189">
        <f>AH53+AH96+AH139+AH182+AH225+AH268+AH311+AH354+AH397+AH440</f>
        <v/>
      </c>
      <c r="AI477" s="51" t="inlineStr">
        <is>
          <t>U1Y</t>
        </is>
      </c>
    </row>
    <row r="478">
      <c r="B478" s="189">
        <f>B54+B97+B140+B183+B226+B269+B312+B355+B398+B441</f>
        <v/>
      </c>
      <c r="C478" s="189">
        <f>C54+C97+C140+C183+C226+C269+C312+C355+C398+C441</f>
        <v/>
      </c>
      <c r="D478" s="10">
        <f>D54+D97+D140+D183+D226+D269+D312+D355+D398+D441</f>
        <v/>
      </c>
      <c r="E478" s="189">
        <f>E54+E97+E140+E183+E226+E269+E312+E355+E398+E441</f>
        <v/>
      </c>
      <c r="F478" s="189">
        <f>F54+F97+F140+F183+F226+F269+F312+F355+F398+F441</f>
        <v/>
      </c>
      <c r="G478" s="189">
        <f>G54+G97+G140+G183+G226+G269+G312+G355+G398+G441</f>
        <v/>
      </c>
      <c r="H478" s="189">
        <f>H54+H97+H140+H183+H226+H269+H312+H355+H398+H441</f>
        <v/>
      </c>
      <c r="I478" s="189">
        <f>I54+I97+I140+I183+I226+I269+I312+I355+I398+I441</f>
        <v/>
      </c>
      <c r="J478" s="189">
        <f>J54+J97+J140+J183+J226+J269+J312+J355+J398+J441</f>
        <v/>
      </c>
      <c r="K478" s="189">
        <f>K54+K97+K140+K183+K226+K269+K312+K355+K398+K441</f>
        <v/>
      </c>
      <c r="L478" s="189">
        <f>L54+L97+L140+L183+L226+L269+L312+L355+L398+L441</f>
        <v/>
      </c>
      <c r="M478" s="189">
        <f>M54+M97+M140+M183+M226+M269+M312+M355+M398+M441</f>
        <v/>
      </c>
      <c r="N478" s="189">
        <f>N54+N97+N140+N183+N226+N269+N312+N355+N398+N441</f>
        <v/>
      </c>
      <c r="O478" s="189">
        <f>O54+O97+O140+O183+O226+O269+O312+O355+O398+O441</f>
        <v/>
      </c>
      <c r="P478" s="189">
        <f>P54+P97+P140+P183+P226+P269+P312+P355+P398+P441</f>
        <v/>
      </c>
      <c r="Q478" s="189">
        <f>Q54+Q97+Q140+Q183+Q226+Q269+Q312+Q355+Q398+Q441</f>
        <v/>
      </c>
      <c r="R478" s="189">
        <f>R54+R97+R140+R183+R226+R269+R312+R355+R398+R441</f>
        <v/>
      </c>
      <c r="S478" s="189">
        <f>S54+S97+S140+S183+S226+S269+S312+S355+S398+S441</f>
        <v/>
      </c>
      <c r="T478" s="189">
        <f>T54+T97+T140+T183+T226+T269+T312+T355+T398+T441</f>
        <v/>
      </c>
      <c r="U478" s="189">
        <f>U54+U97+U140+U183+U226+U269+U312+U355+U398+U441</f>
        <v/>
      </c>
      <c r="V478" s="189">
        <f>V54+V97+V140+V183+V226+V269+V312+V355+V398+V441</f>
        <v/>
      </c>
      <c r="W478" s="189">
        <f>W54+W97+W140+W183+W226+W269+W312+W355+W398+W441</f>
        <v/>
      </c>
      <c r="X478" s="189">
        <f>X54+X97+X140+X183+X226+X269+X312+X355+X398+X441</f>
        <v/>
      </c>
      <c r="Y478" s="189">
        <f>Y54+Y97+Y140+Y183+Y226+Y269+Y312+Y355+Y398+Y441</f>
        <v/>
      </c>
      <c r="Z478" s="189">
        <f>Z54+Z97+Z140+Z183+Z226+Z269+Z312+Z355+Z398+Z441</f>
        <v/>
      </c>
      <c r="AA478" s="189">
        <f>AA54+AA97+AA140+AA183+AA226+AA269+AA312+AA355+AA398+AA441</f>
        <v/>
      </c>
      <c r="AB478" s="189">
        <f>AB54+AB97+AB140+AB183+AB226+AB269+AB312+AB355+AB398+AB441</f>
        <v/>
      </c>
      <c r="AC478" s="189">
        <f>AC54+AC97+AC140+AC183+AC226+AC269+AC312+AC355+AC398+AC441</f>
        <v/>
      </c>
      <c r="AD478" s="189">
        <f>AD54+AD97+AD140+AD183+AD226+AD269+AD312+AD355+AD398+AD441</f>
        <v/>
      </c>
      <c r="AE478" s="189">
        <f>AE54+AE97+AE140+AE183+AE226+AE269+AE312+AE355+AE398+AE441</f>
        <v/>
      </c>
      <c r="AF478" s="189">
        <f>AF54+AF97+AF140+AF183+AF226+AF269+AF312+AF355+AF398+AF441</f>
        <v/>
      </c>
      <c r="AG478" s="189">
        <f>AG54+AG97+AG140+AG183+AG226+AG269+AG312+AG355+AG398+AG441</f>
        <v/>
      </c>
      <c r="AH478" s="189">
        <f>AH54+AH97+AH140+AH183+AH226+AH269+AH312+AH355+AH398+AH441</f>
        <v/>
      </c>
      <c r="AI478" s="51" t="inlineStr">
        <is>
          <t>U1θ</t>
        </is>
      </c>
    </row>
    <row r="479">
      <c r="B479" s="189">
        <f>B55+B98+B141+B184+B227+B270+B313+B356+B399+B442</f>
        <v/>
      </c>
      <c r="C479" s="189">
        <f>C55+C98+C141+C184+C227+C270+C313+C356+C399+C442</f>
        <v/>
      </c>
      <c r="D479" s="189">
        <f>D55+D98+D141+D184+D227+D270+D313+D356+D399+D442</f>
        <v/>
      </c>
      <c r="E479" s="10">
        <f>E55+E98+E141+E184+E227+E270+E313+E356+E399+E442</f>
        <v/>
      </c>
      <c r="F479" s="189">
        <f>F55+F98+F141+F184+F227+F270+F313+F356+F399+F442</f>
        <v/>
      </c>
      <c r="G479" s="189">
        <f>G55+G98+G141+G184+G227+G270+G313+G356+G399+G442</f>
        <v/>
      </c>
      <c r="H479" s="189">
        <f>H55+H98+H141+H184+H227+H270+H313+H356+H399+H442</f>
        <v/>
      </c>
      <c r="I479" s="189">
        <f>I55+I98+I141+I184+I227+I270+I313+I356+I399+I442</f>
        <v/>
      </c>
      <c r="J479" s="189">
        <f>J55+J98+J141+J184+J227+J270+J313+J356+J399+J442</f>
        <v/>
      </c>
      <c r="K479" s="189">
        <f>K55+K98+K141+K184+K227+K270+K313+K356+K399+K442</f>
        <v/>
      </c>
      <c r="L479" s="189">
        <f>L55+L98+L141+L184+L227+L270+L313+L356+L399+L442</f>
        <v/>
      </c>
      <c r="M479" s="189">
        <f>M55+M98+M141+M184+M227+M270+M313+M356+M399+M442</f>
        <v/>
      </c>
      <c r="N479" s="189">
        <f>N55+N98+N141+N184+N227+N270+N313+N356+N399+N442</f>
        <v/>
      </c>
      <c r="O479" s="189">
        <f>O55+O98+O141+O184+O227+O270+O313+O356+O399+O442</f>
        <v/>
      </c>
      <c r="P479" s="189">
        <f>P55+P98+P141+P184+P227+P270+P313+P356+P399+P442</f>
        <v/>
      </c>
      <c r="Q479" s="189">
        <f>Q55+Q98+Q141+Q184+Q227+Q270+Q313+Q356+Q399+Q442</f>
        <v/>
      </c>
      <c r="R479" s="189">
        <f>R55+R98+R141+R184+R227+R270+R313+R356+R399+R442</f>
        <v/>
      </c>
      <c r="S479" s="189">
        <f>S55+S98+S141+S184+S227+S270+S313+S356+S399+S442</f>
        <v/>
      </c>
      <c r="T479" s="189">
        <f>T55+T98+T141+T184+T227+T270+T313+T356+T399+T442</f>
        <v/>
      </c>
      <c r="U479" s="189">
        <f>U55+U98+U141+U184+U227+U270+U313+U356+U399+U442</f>
        <v/>
      </c>
      <c r="V479" s="189">
        <f>V55+V98+V141+V184+V227+V270+V313+V356+V399+V442</f>
        <v/>
      </c>
      <c r="W479" s="189">
        <f>W55+W98+W141+W184+W227+W270+W313+W356+W399+W442</f>
        <v/>
      </c>
      <c r="X479" s="189">
        <f>X55+X98+X141+X184+X227+X270+X313+X356+X399+X442</f>
        <v/>
      </c>
      <c r="Y479" s="189">
        <f>Y55+Y98+Y141+Y184+Y227+Y270+Y313+Y356+Y399+Y442</f>
        <v/>
      </c>
      <c r="Z479" s="189">
        <f>Z55+Z98+Z141+Z184+Z227+Z270+Z313+Z356+Z399+Z442</f>
        <v/>
      </c>
      <c r="AA479" s="189">
        <f>AA55+AA98+AA141+AA184+AA227+AA270+AA313+AA356+AA399+AA442</f>
        <v/>
      </c>
      <c r="AB479" s="189">
        <f>AB55+AB98+AB141+AB184+AB227+AB270+AB313+AB356+AB399+AB442</f>
        <v/>
      </c>
      <c r="AC479" s="189">
        <f>AC55+AC98+AC141+AC184+AC227+AC270+AC313+AC356+AC399+AC442</f>
        <v/>
      </c>
      <c r="AD479" s="189">
        <f>AD55+AD98+AD141+AD184+AD227+AD270+AD313+AD356+AD399+AD442</f>
        <v/>
      </c>
      <c r="AE479" s="189">
        <f>AE55+AE98+AE141+AE184+AE227+AE270+AE313+AE356+AE399+AE442</f>
        <v/>
      </c>
      <c r="AF479" s="189">
        <f>AF55+AF98+AF141+AF184+AF227+AF270+AF313+AF356+AF399+AF442</f>
        <v/>
      </c>
      <c r="AG479" s="189">
        <f>AG55+AG98+AG141+AG184+AG227+AG270+AG313+AG356+AG399+AG442</f>
        <v/>
      </c>
      <c r="AH479" s="189">
        <f>AH55+AH98+AH141+AH184+AH227+AH270+AH313+AH356+AH399+AH442</f>
        <v/>
      </c>
      <c r="AI479" s="51" t="inlineStr">
        <is>
          <t>U2X</t>
        </is>
      </c>
    </row>
    <row r="480">
      <c r="B480" s="189">
        <f>B56+B99+B142+B185+B228+B271+B314+B357+B400+B443</f>
        <v/>
      </c>
      <c r="C480" s="189">
        <f>C56+C99+C142+C185+C228+C271+C314+C357+C400+C443</f>
        <v/>
      </c>
      <c r="D480" s="189">
        <f>D56+D99+D142+D185+D228+D271+D314+D357+D400+D443</f>
        <v/>
      </c>
      <c r="E480" s="189">
        <f>E56+E99+E142+E185+E228+E271+E314+E357+E400+E443</f>
        <v/>
      </c>
      <c r="F480" s="10">
        <f>F56+F99+F142+F185+F228+F271+F314+F357+F400+F443</f>
        <v/>
      </c>
      <c r="G480" s="189">
        <f>G56+G99+G142+G185+G228+G271+G314+G357+G400+G443</f>
        <v/>
      </c>
      <c r="H480" s="189">
        <f>H56+H99+H142+H185+H228+H271+H314+H357+H400+H443</f>
        <v/>
      </c>
      <c r="I480" s="189">
        <f>I56+I99+I142+I185+I228+I271+I314+I357+I400+I443</f>
        <v/>
      </c>
      <c r="J480" s="189">
        <f>J56+J99+J142+J185+J228+J271+J314+J357+J400+J443</f>
        <v/>
      </c>
      <c r="K480" s="189">
        <f>K56+K99+K142+K185+K228+K271+K314+K357+K400+K443</f>
        <v/>
      </c>
      <c r="L480" s="189">
        <f>L56+L99+L142+L185+L228+L271+L314+L357+L400+L443</f>
        <v/>
      </c>
      <c r="M480" s="189">
        <f>M56+M99+M142+M185+M228+M271+M314+M357+M400+M443</f>
        <v/>
      </c>
      <c r="N480" s="189">
        <f>N56+N99+N142+N185+N228+N271+N314+N357+N400+N443</f>
        <v/>
      </c>
      <c r="O480" s="189">
        <f>O56+O99+O142+O185+O228+O271+O314+O357+O400+O443</f>
        <v/>
      </c>
      <c r="P480" s="189">
        <f>P56+P99+P142+P185+P228+P271+P314+P357+P400+P443</f>
        <v/>
      </c>
      <c r="Q480" s="189">
        <f>Q56+Q99+Q142+Q185+Q228+Q271+Q314+Q357+Q400+Q443</f>
        <v/>
      </c>
      <c r="R480" s="189">
        <f>R56+R99+R142+R185+R228+R271+R314+R357+R400+R443</f>
        <v/>
      </c>
      <c r="S480" s="189">
        <f>S56+S99+S142+S185+S228+S271+S314+S357+S400+S443</f>
        <v/>
      </c>
      <c r="T480" s="189">
        <f>T56+T99+T142+T185+T228+T271+T314+T357+T400+T443</f>
        <v/>
      </c>
      <c r="U480" s="189">
        <f>U56+U99+U142+U185+U228+U271+U314+U357+U400+U443</f>
        <v/>
      </c>
      <c r="V480" s="189">
        <f>V56+V99+V142+V185+V228+V271+V314+V357+V400+V443</f>
        <v/>
      </c>
      <c r="W480" s="189">
        <f>W56+W99+W142+W185+W228+W271+W314+W357+W400+W443</f>
        <v/>
      </c>
      <c r="X480" s="189">
        <f>X56+X99+X142+X185+X228+X271+X314+X357+X400+X443</f>
        <v/>
      </c>
      <c r="Y480" s="189">
        <f>Y56+Y99+Y142+Y185+Y228+Y271+Y314+Y357+Y400+Y443</f>
        <v/>
      </c>
      <c r="Z480" s="189">
        <f>Z56+Z99+Z142+Z185+Z228+Z271+Z314+Z357+Z400+Z443</f>
        <v/>
      </c>
      <c r="AA480" s="189">
        <f>AA56+AA99+AA142+AA185+AA228+AA271+AA314+AA357+AA400+AA443</f>
        <v/>
      </c>
      <c r="AB480" s="189">
        <f>AB56+AB99+AB142+AB185+AB228+AB271+AB314+AB357+AB400+AB443</f>
        <v/>
      </c>
      <c r="AC480" s="189">
        <f>AC56+AC99+AC142+AC185+AC228+AC271+AC314+AC357+AC400+AC443</f>
        <v/>
      </c>
      <c r="AD480" s="189">
        <f>AD56+AD99+AD142+AD185+AD228+AD271+AD314+AD357+AD400+AD443</f>
        <v/>
      </c>
      <c r="AE480" s="189">
        <f>AE56+AE99+AE142+AE185+AE228+AE271+AE314+AE357+AE400+AE443</f>
        <v/>
      </c>
      <c r="AF480" s="189">
        <f>AF56+AF99+AF142+AF185+AF228+AF271+AF314+AF357+AF400+AF443</f>
        <v/>
      </c>
      <c r="AG480" s="189">
        <f>AG56+AG99+AG142+AG185+AG228+AG271+AG314+AG357+AG400+AG443</f>
        <v/>
      </c>
      <c r="AH480" s="189">
        <f>AH56+AH99+AH142+AH185+AH228+AH271+AH314+AH357+AH400+AH443</f>
        <v/>
      </c>
      <c r="AI480" s="51" t="inlineStr">
        <is>
          <t>U2Y</t>
        </is>
      </c>
    </row>
    <row r="481">
      <c r="B481" s="189">
        <f>B57+B100+B143+B186+B229+B272+B315+B358+B401+B444</f>
        <v/>
      </c>
      <c r="C481" s="189">
        <f>C57+C100+C143+C186+C229+C272+C315+C358+C401+C444</f>
        <v/>
      </c>
      <c r="D481" s="189">
        <f>D57+D100+D143+D186+D229+D272+D315+D358+D401+D444</f>
        <v/>
      </c>
      <c r="E481" s="189">
        <f>E57+E100+E143+E186+E229+E272+E315+E358+E401+E444</f>
        <v/>
      </c>
      <c r="F481" s="189">
        <f>F57+F100+F143+F186+F229+F272+F315+F358+F401+F444</f>
        <v/>
      </c>
      <c r="G481" s="10">
        <f>G57+G100+G143+G186+G229+G272+G315+G358+G401+G444</f>
        <v/>
      </c>
      <c r="H481" s="189">
        <f>H57+H100+H143+H186+H229+H272+H315+H358+H401+H444</f>
        <v/>
      </c>
      <c r="I481" s="189">
        <f>I57+I100+I143+I186+I229+I272+I315+I358+I401+I444</f>
        <v/>
      </c>
      <c r="J481" s="189">
        <f>J57+J100+J143+J186+J229+J272+J315+J358+J401+J444</f>
        <v/>
      </c>
      <c r="K481" s="189">
        <f>K57+K100+K143+K186+K229+K272+K315+K358+K401+K444</f>
        <v/>
      </c>
      <c r="L481" s="189">
        <f>L57+L100+L143+L186+L229+L272+L315+L358+L401+L444</f>
        <v/>
      </c>
      <c r="M481" s="189">
        <f>M57+M100+M143+M186+M229+M272+M315+M358+M401+M444</f>
        <v/>
      </c>
      <c r="N481" s="189">
        <f>N57+N100+N143+N186+N229+N272+N315+N358+N401+N444</f>
        <v/>
      </c>
      <c r="O481" s="189">
        <f>O57+O100+O143+O186+O229+O272+O315+O358+O401+O444</f>
        <v/>
      </c>
      <c r="P481" s="189">
        <f>P57+P100+P143+P186+P229+P272+P315+P358+P401+P444</f>
        <v/>
      </c>
      <c r="Q481" s="189">
        <f>Q57+Q100+Q143+Q186+Q229+Q272+Q315+Q358+Q401+Q444</f>
        <v/>
      </c>
      <c r="R481" s="189">
        <f>R57+R100+R143+R186+R229+R272+R315+R358+R401+R444</f>
        <v/>
      </c>
      <c r="S481" s="189">
        <f>S57+S100+S143+S186+S229+S272+S315+S358+S401+S444</f>
        <v/>
      </c>
      <c r="T481" s="189">
        <f>T57+T100+T143+T186+T229+T272+T315+T358+T401+T444</f>
        <v/>
      </c>
      <c r="U481" s="189">
        <f>U57+U100+U143+U186+U229+U272+U315+U358+U401+U444</f>
        <v/>
      </c>
      <c r="V481" s="189">
        <f>V57+V100+V143+V186+V229+V272+V315+V358+V401+V444</f>
        <v/>
      </c>
      <c r="W481" s="189">
        <f>W57+W100+W143+W186+W229+W272+W315+W358+W401+W444</f>
        <v/>
      </c>
      <c r="X481" s="189">
        <f>X57+X100+X143+X186+X229+X272+X315+X358+X401+X444</f>
        <v/>
      </c>
      <c r="Y481" s="189">
        <f>Y57+Y100+Y143+Y186+Y229+Y272+Y315+Y358+Y401+Y444</f>
        <v/>
      </c>
      <c r="Z481" s="189">
        <f>Z57+Z100+Z143+Z186+Z229+Z272+Z315+Z358+Z401+Z444</f>
        <v/>
      </c>
      <c r="AA481" s="189">
        <f>AA57+AA100+AA143+AA186+AA229+AA272+AA315+AA358+AA401+AA444</f>
        <v/>
      </c>
      <c r="AB481" s="189">
        <f>AB57+AB100+AB143+AB186+AB229+AB272+AB315+AB358+AB401+AB444</f>
        <v/>
      </c>
      <c r="AC481" s="189">
        <f>AC57+AC100+AC143+AC186+AC229+AC272+AC315+AC358+AC401+AC444</f>
        <v/>
      </c>
      <c r="AD481" s="189">
        <f>AD57+AD100+AD143+AD186+AD229+AD272+AD315+AD358+AD401+AD444</f>
        <v/>
      </c>
      <c r="AE481" s="189">
        <f>AE57+AE100+AE143+AE186+AE229+AE272+AE315+AE358+AE401+AE444</f>
        <v/>
      </c>
      <c r="AF481" s="189">
        <f>AF57+AF100+AF143+AF186+AF229+AF272+AF315+AF358+AF401+AF444</f>
        <v/>
      </c>
      <c r="AG481" s="189">
        <f>AG57+AG100+AG143+AG186+AG229+AG272+AG315+AG358+AG401+AG444</f>
        <v/>
      </c>
      <c r="AH481" s="189">
        <f>AH57+AH100+AH143+AH186+AH229+AH272+AH315+AH358+AH401+AH444</f>
        <v/>
      </c>
      <c r="AI481" s="51" t="inlineStr">
        <is>
          <t>U2θ</t>
        </is>
      </c>
    </row>
    <row r="482">
      <c r="B482" s="189">
        <f>B58+B101+B144+B187+B230+B273+B316+B359+B402+B445</f>
        <v/>
      </c>
      <c r="C482" s="189">
        <f>C58+C101+C144+C187+C230+C273+C316+C359+C402+C445</f>
        <v/>
      </c>
      <c r="D482" s="189">
        <f>D58+D101+D144+D187+D230+D273+D316+D359+D402+D445</f>
        <v/>
      </c>
      <c r="E482" s="189">
        <f>E58+E101+E144+E187+E230+E273+E316+E359+E402+E445</f>
        <v/>
      </c>
      <c r="F482" s="189">
        <f>F58+F101+F144+F187+F230+F273+F316+F359+F402+F445</f>
        <v/>
      </c>
      <c r="G482" s="189">
        <f>G58+G101+G144+G187+G230+G273+G316+G359+G402+G445</f>
        <v/>
      </c>
      <c r="H482" s="10">
        <f>H58+H101+H144+H187+H230+H273+H316+H359+H402+H445</f>
        <v/>
      </c>
      <c r="I482" s="189">
        <f>I58+I101+I144+I187+I230+I273+I316+I359+I402+I445</f>
        <v/>
      </c>
      <c r="J482" s="189">
        <f>J58+J101+J144+J187+J230+J273+J316+J359+J402+J445</f>
        <v/>
      </c>
      <c r="K482" s="189">
        <f>K58+K101+K144+K187+K230+K273+K316+K359+K402+K445</f>
        <v/>
      </c>
      <c r="L482" s="189">
        <f>L58+L101+L144+L187+L230+L273+L316+L359+L402+L445</f>
        <v/>
      </c>
      <c r="M482" s="189">
        <f>M58+M101+M144+M187+M230+M273+M316+M359+M402+M445</f>
        <v/>
      </c>
      <c r="N482" s="189">
        <f>N58+N101+N144+N187+N230+N273+N316+N359+N402+N445</f>
        <v/>
      </c>
      <c r="O482" s="189">
        <f>O58+O101+O144+O187+O230+O273+O316+O359+O402+O445</f>
        <v/>
      </c>
      <c r="P482" s="189">
        <f>P58+P101+P144+P187+P230+P273+P316+P359+P402+P445</f>
        <v/>
      </c>
      <c r="Q482" s="189">
        <f>Q58+Q101+Q144+Q187+Q230+Q273+Q316+Q359+Q402+Q445</f>
        <v/>
      </c>
      <c r="R482" s="189">
        <f>R58+R101+R144+R187+R230+R273+R316+R359+R402+R445</f>
        <v/>
      </c>
      <c r="S482" s="189">
        <f>S58+S101+S144+S187+S230+S273+S316+S359+S402+S445</f>
        <v/>
      </c>
      <c r="T482" s="189">
        <f>T58+T101+T144+T187+T230+T273+T316+T359+T402+T445</f>
        <v/>
      </c>
      <c r="U482" s="189">
        <f>U58+U101+U144+U187+U230+U273+U316+U359+U402+U445</f>
        <v/>
      </c>
      <c r="V482" s="189">
        <f>V58+V101+V144+V187+V230+V273+V316+V359+V402+V445</f>
        <v/>
      </c>
      <c r="W482" s="189">
        <f>W58+W101+W144+W187+W230+W273+W316+W359+W402+W445</f>
        <v/>
      </c>
      <c r="X482" s="189">
        <f>X58+X101+X144+X187+X230+X273+X316+X359+X402+X445</f>
        <v/>
      </c>
      <c r="Y482" s="189">
        <f>Y58+Y101+Y144+Y187+Y230+Y273+Y316+Y359+Y402+Y445</f>
        <v/>
      </c>
      <c r="Z482" s="189">
        <f>Z58+Z101+Z144+Z187+Z230+Z273+Z316+Z359+Z402+Z445</f>
        <v/>
      </c>
      <c r="AA482" s="189">
        <f>AA58+AA101+AA144+AA187+AA230+AA273+AA316+AA359+AA402+AA445</f>
        <v/>
      </c>
      <c r="AB482" s="189">
        <f>AB58+AB101+AB144+AB187+AB230+AB273+AB316+AB359+AB402+AB445</f>
        <v/>
      </c>
      <c r="AC482" s="189">
        <f>AC58+AC101+AC144+AC187+AC230+AC273+AC316+AC359+AC402+AC445</f>
        <v/>
      </c>
      <c r="AD482" s="189">
        <f>AD58+AD101+AD144+AD187+AD230+AD273+AD316+AD359+AD402+AD445</f>
        <v/>
      </c>
      <c r="AE482" s="189">
        <f>AE58+AE101+AE144+AE187+AE230+AE273+AE316+AE359+AE402+AE445</f>
        <v/>
      </c>
      <c r="AF482" s="189">
        <f>AF58+AF101+AF144+AF187+AF230+AF273+AF316+AF359+AF402+AF445</f>
        <v/>
      </c>
      <c r="AG482" s="189">
        <f>AG58+AG101+AG144+AG187+AG230+AG273+AG316+AG359+AG402+AG445</f>
        <v/>
      </c>
      <c r="AH482" s="189">
        <f>AH58+AH101+AH144+AH187+AH230+AH273+AH316+AH359+AH402+AH445</f>
        <v/>
      </c>
      <c r="AI482" s="51" t="inlineStr">
        <is>
          <t>U3X</t>
        </is>
      </c>
    </row>
    <row r="483">
      <c r="B483" s="189">
        <f>B59+B102+B145+B188+B231+B274+B317+B360+B403+B446</f>
        <v/>
      </c>
      <c r="C483" s="189">
        <f>C59+C102+C145+C188+C231+C274+C317+C360+C403+C446</f>
        <v/>
      </c>
      <c r="D483" s="189">
        <f>D59+D102+D145+D188+D231+D274+D317+D360+D403+D446</f>
        <v/>
      </c>
      <c r="E483" s="189">
        <f>E59+E102+E145+E188+E231+E274+E317+E360+E403+E446</f>
        <v/>
      </c>
      <c r="F483" s="189">
        <f>F59+F102+F145+F188+F231+F274+F317+F360+F403+F446</f>
        <v/>
      </c>
      <c r="G483" s="189">
        <f>G59+G102+G145+G188+G231+G274+G317+G360+G403+G446</f>
        <v/>
      </c>
      <c r="H483" s="189">
        <f>H59+H102+H145+H188+H231+H274+H317+H360+H403+H446</f>
        <v/>
      </c>
      <c r="I483" s="10">
        <f>I59+I102+I145+I188+I231+I274+I317+I360+I403+I446</f>
        <v/>
      </c>
      <c r="J483" s="189">
        <f>J59+J102+J145+J188+J231+J274+J317+J360+J403+J446</f>
        <v/>
      </c>
      <c r="K483" s="189">
        <f>K59+K102+K145+K188+K231+K274+K317+K360+K403+K446</f>
        <v/>
      </c>
      <c r="L483" s="189">
        <f>L59+L102+L145+L188+L231+L274+L317+L360+L403+L446</f>
        <v/>
      </c>
      <c r="M483" s="189">
        <f>M59+M102+M145+M188+M231+M274+M317+M360+M403+M446</f>
        <v/>
      </c>
      <c r="N483" s="189">
        <f>N59+N102+N145+N188+N231+N274+N317+N360+N403+N446</f>
        <v/>
      </c>
      <c r="O483" s="189">
        <f>O59+O102+O145+O188+O231+O274+O317+O360+O403+O446</f>
        <v/>
      </c>
      <c r="P483" s="189">
        <f>P59+P102+P145+P188+P231+P274+P317+P360+P403+P446</f>
        <v/>
      </c>
      <c r="Q483" s="189">
        <f>Q59+Q102+Q145+Q188+Q231+Q274+Q317+Q360+Q403+Q446</f>
        <v/>
      </c>
      <c r="R483" s="189">
        <f>R59+R102+R145+R188+R231+R274+R317+R360+R403+R446</f>
        <v/>
      </c>
      <c r="S483" s="189">
        <f>S59+S102+S145+S188+S231+S274+S317+S360+S403+S446</f>
        <v/>
      </c>
      <c r="T483" s="189">
        <f>T59+T102+T145+T188+T231+T274+T317+T360+T403+T446</f>
        <v/>
      </c>
      <c r="U483" s="189">
        <f>U59+U102+U145+U188+U231+U274+U317+U360+U403+U446</f>
        <v/>
      </c>
      <c r="V483" s="189">
        <f>V59+V102+V145+V188+V231+V274+V317+V360+V403+V446</f>
        <v/>
      </c>
      <c r="W483" s="189">
        <f>W59+W102+W145+W188+W231+W274+W317+W360+W403+W446</f>
        <v/>
      </c>
      <c r="X483" s="189">
        <f>X59+X102+X145+X188+X231+X274+X317+X360+X403+X446</f>
        <v/>
      </c>
      <c r="Y483" s="189">
        <f>Y59+Y102+Y145+Y188+Y231+Y274+Y317+Y360+Y403+Y446</f>
        <v/>
      </c>
      <c r="Z483" s="189">
        <f>Z59+Z102+Z145+Z188+Z231+Z274+Z317+Z360+Z403+Z446</f>
        <v/>
      </c>
      <c r="AA483" s="189">
        <f>AA59+AA102+AA145+AA188+AA231+AA274+AA317+AA360+AA403+AA446</f>
        <v/>
      </c>
      <c r="AB483" s="189">
        <f>AB59+AB102+AB145+AB188+AB231+AB274+AB317+AB360+AB403+AB446</f>
        <v/>
      </c>
      <c r="AC483" s="189">
        <f>AC59+AC102+AC145+AC188+AC231+AC274+AC317+AC360+AC403+AC446</f>
        <v/>
      </c>
      <c r="AD483" s="189">
        <f>AD59+AD102+AD145+AD188+AD231+AD274+AD317+AD360+AD403+AD446</f>
        <v/>
      </c>
      <c r="AE483" s="189">
        <f>AE59+AE102+AE145+AE188+AE231+AE274+AE317+AE360+AE403+AE446</f>
        <v/>
      </c>
      <c r="AF483" s="189">
        <f>AF59+AF102+AF145+AF188+AF231+AF274+AF317+AF360+AF403+AF446</f>
        <v/>
      </c>
      <c r="AG483" s="189">
        <f>AG59+AG102+AG145+AG188+AG231+AG274+AG317+AG360+AG403+AG446</f>
        <v/>
      </c>
      <c r="AH483" s="189">
        <f>AH59+AH102+AH145+AH188+AH231+AH274+AH317+AH360+AH403+AH446</f>
        <v/>
      </c>
      <c r="AI483" s="51" t="inlineStr">
        <is>
          <t>U3Y</t>
        </is>
      </c>
    </row>
    <row r="484">
      <c r="B484" s="189">
        <f>B60+B103+B146+B189+B232+B275+B318+B361+B404+B447</f>
        <v/>
      </c>
      <c r="C484" s="189">
        <f>C60+C103+C146+C189+C232+C275+C318+C361+C404+C447</f>
        <v/>
      </c>
      <c r="D484" s="189">
        <f>D60+D103+D146+D189+D232+D275+D318+D361+D404+D447</f>
        <v/>
      </c>
      <c r="E484" s="189">
        <f>E60+E103+E146+E189+E232+E275+E318+E361+E404+E447</f>
        <v/>
      </c>
      <c r="F484" s="189">
        <f>F60+F103+F146+F189+F232+F275+F318+F361+F404+F447</f>
        <v/>
      </c>
      <c r="G484" s="189">
        <f>G60+G103+G146+G189+G232+G275+G318+G361+G404+G447</f>
        <v/>
      </c>
      <c r="H484" s="189">
        <f>H60+H103+H146+H189+H232+H275+H318+H361+H404+H447</f>
        <v/>
      </c>
      <c r="I484" s="189">
        <f>I60+I103+I146+I189+I232+I275+I318+I361+I404+I447</f>
        <v/>
      </c>
      <c r="J484" s="10">
        <f>J60+J103+J146+J189+J232+J275+J318+J361+J404+J447</f>
        <v/>
      </c>
      <c r="K484" s="189">
        <f>K60+K103+K146+K189+K232+K275+K318+K361+K404+K447</f>
        <v/>
      </c>
      <c r="L484" s="189">
        <f>L60+L103+L146+L189+L232+L275+L318+L361+L404+L447</f>
        <v/>
      </c>
      <c r="M484" s="189">
        <f>M60+M103+M146+M189+M232+M275+M318+M361+M404+M447</f>
        <v/>
      </c>
      <c r="N484" s="189">
        <f>N60+N103+N146+N189+N232+N275+N318+N361+N404+N447</f>
        <v/>
      </c>
      <c r="O484" s="189">
        <f>O60+O103+O146+O189+O232+O275+O318+O361+O404+O447</f>
        <v/>
      </c>
      <c r="P484" s="189">
        <f>P60+P103+P146+P189+P232+P275+P318+P361+P404+P447</f>
        <v/>
      </c>
      <c r="Q484" s="189">
        <f>Q60+Q103+Q146+Q189+Q232+Q275+Q318+Q361+Q404+Q447</f>
        <v/>
      </c>
      <c r="R484" s="189">
        <f>R60+R103+R146+R189+R232+R275+R318+R361+R404+R447</f>
        <v/>
      </c>
      <c r="S484" s="189">
        <f>S60+S103+S146+S189+S232+S275+S318+S361+S404+S447</f>
        <v/>
      </c>
      <c r="T484" s="189">
        <f>T60+T103+T146+T189+T232+T275+T318+T361+T404+T447</f>
        <v/>
      </c>
      <c r="U484" s="189">
        <f>U60+U103+U146+U189+U232+U275+U318+U361+U404+U447</f>
        <v/>
      </c>
      <c r="V484" s="189">
        <f>V60+V103+V146+V189+V232+V275+V318+V361+V404+V447</f>
        <v/>
      </c>
      <c r="W484" s="189">
        <f>W60+W103+W146+W189+W232+W275+W318+W361+W404+W447</f>
        <v/>
      </c>
      <c r="X484" s="189">
        <f>X60+X103+X146+X189+X232+X275+X318+X361+X404+X447</f>
        <v/>
      </c>
      <c r="Y484" s="189">
        <f>Y60+Y103+Y146+Y189+Y232+Y275+Y318+Y361+Y404+Y447</f>
        <v/>
      </c>
      <c r="Z484" s="189">
        <f>Z60+Z103+Z146+Z189+Z232+Z275+Z318+Z361+Z404+Z447</f>
        <v/>
      </c>
      <c r="AA484" s="189">
        <f>AA60+AA103+AA146+AA189+AA232+AA275+AA318+AA361+AA404+AA447</f>
        <v/>
      </c>
      <c r="AB484" s="189">
        <f>AB60+AB103+AB146+AB189+AB232+AB275+AB318+AB361+AB404+AB447</f>
        <v/>
      </c>
      <c r="AC484" s="189">
        <f>AC60+AC103+AC146+AC189+AC232+AC275+AC318+AC361+AC404+AC447</f>
        <v/>
      </c>
      <c r="AD484" s="189">
        <f>AD60+AD103+AD146+AD189+AD232+AD275+AD318+AD361+AD404+AD447</f>
        <v/>
      </c>
      <c r="AE484" s="189">
        <f>AE60+AE103+AE146+AE189+AE232+AE275+AE318+AE361+AE404+AE447</f>
        <v/>
      </c>
      <c r="AF484" s="189">
        <f>AF60+AF103+AF146+AF189+AF232+AF275+AF318+AF361+AF404+AF447</f>
        <v/>
      </c>
      <c r="AG484" s="189">
        <f>AG60+AG103+AG146+AG189+AG232+AG275+AG318+AG361+AG404+AG447</f>
        <v/>
      </c>
      <c r="AH484" s="189">
        <f>AH60+AH103+AH146+AH189+AH232+AH275+AH318+AH361+AH404+AH447</f>
        <v/>
      </c>
      <c r="AI484" s="51" t="inlineStr">
        <is>
          <t>U3θ</t>
        </is>
      </c>
    </row>
    <row r="485">
      <c r="B485" s="189">
        <f>B61+B104+B147+B190+B233+B276+B319+B362+B405+B448</f>
        <v/>
      </c>
      <c r="C485" s="189">
        <f>C61+C104+C147+C190+C233+C276+C319+C362+C405+C448</f>
        <v/>
      </c>
      <c r="D485" s="189">
        <f>D61+D104+D147+D190+D233+D276+D319+D362+D405+D448</f>
        <v/>
      </c>
      <c r="E485" s="189">
        <f>E61+E104+E147+E190+E233+E276+E319+E362+E405+E448</f>
        <v/>
      </c>
      <c r="F485" s="189">
        <f>F61+F104+F147+F190+F233+F276+F319+F362+F405+F448</f>
        <v/>
      </c>
      <c r="G485" s="189">
        <f>G61+G104+G147+G190+G233+G276+G319+G362+G405+G448</f>
        <v/>
      </c>
      <c r="H485" s="189">
        <f>H61+H104+H147+H190+H233+H276+H319+H362+H405+H448</f>
        <v/>
      </c>
      <c r="I485" s="189">
        <f>I61+I104+I147+I190+I233+I276+I319+I362+I405+I448</f>
        <v/>
      </c>
      <c r="J485" s="189">
        <f>J61+J104+J147+J190+J233+J276+J319+J362+J405+J448</f>
        <v/>
      </c>
      <c r="K485" s="10">
        <f>K61+K104+K147+K190+K233+K276+K319+K362+K405+K448</f>
        <v/>
      </c>
      <c r="L485" s="189">
        <f>L61+L104+L147+L190+L233+L276+L319+L362+L405+L448</f>
        <v/>
      </c>
      <c r="M485" s="189">
        <f>M61+M104+M147+M190+M233+M276+M319+M362+M405+M448</f>
        <v/>
      </c>
      <c r="N485" s="189">
        <f>N61+N104+N147+N190+N233+N276+N319+N362+N405+N448</f>
        <v/>
      </c>
      <c r="O485" s="189">
        <f>O61+O104+O147+O190+O233+O276+O319+O362+O405+O448</f>
        <v/>
      </c>
      <c r="P485" s="189">
        <f>P61+P104+P147+P190+P233+P276+P319+P362+P405+P448</f>
        <v/>
      </c>
      <c r="Q485" s="189">
        <f>Q61+Q104+Q147+Q190+Q233+Q276+Q319+Q362+Q405+Q448</f>
        <v/>
      </c>
      <c r="R485" s="189">
        <f>R61+R104+R147+R190+R233+R276+R319+R362+R405+R448</f>
        <v/>
      </c>
      <c r="S485" s="189">
        <f>S61+S104+S147+S190+S233+S276+S319+S362+S405+S448</f>
        <v/>
      </c>
      <c r="T485" s="189">
        <f>T61+T104+T147+T190+T233+T276+T319+T362+T405+T448</f>
        <v/>
      </c>
      <c r="U485" s="189">
        <f>U61+U104+U147+U190+U233+U276+U319+U362+U405+U448</f>
        <v/>
      </c>
      <c r="V485" s="189">
        <f>V61+V104+V147+V190+V233+V276+V319+V362+V405+V448</f>
        <v/>
      </c>
      <c r="W485" s="189">
        <f>W61+W104+W147+W190+W233+W276+W319+W362+W405+W448</f>
        <v/>
      </c>
      <c r="X485" s="189">
        <f>X61+X104+X147+X190+X233+X276+X319+X362+X405+X448</f>
        <v/>
      </c>
      <c r="Y485" s="189">
        <f>Y61+Y104+Y147+Y190+Y233+Y276+Y319+Y362+Y405+Y448</f>
        <v/>
      </c>
      <c r="Z485" s="189">
        <f>Z61+Z104+Z147+Z190+Z233+Z276+Z319+Z362+Z405+Z448</f>
        <v/>
      </c>
      <c r="AA485" s="189">
        <f>AA61+AA104+AA147+AA190+AA233+AA276+AA319+AA362+AA405+AA448</f>
        <v/>
      </c>
      <c r="AB485" s="189">
        <f>AB61+AB104+AB147+AB190+AB233+AB276+AB319+AB362+AB405+AB448</f>
        <v/>
      </c>
      <c r="AC485" s="189">
        <f>AC61+AC104+AC147+AC190+AC233+AC276+AC319+AC362+AC405+AC448</f>
        <v/>
      </c>
      <c r="AD485" s="189">
        <f>AD61+AD104+AD147+AD190+AD233+AD276+AD319+AD362+AD405+AD448</f>
        <v/>
      </c>
      <c r="AE485" s="189">
        <f>AE61+AE104+AE147+AE190+AE233+AE276+AE319+AE362+AE405+AE448</f>
        <v/>
      </c>
      <c r="AF485" s="189">
        <f>AF61+AF104+AF147+AF190+AF233+AF276+AF319+AF362+AF405+AF448</f>
        <v/>
      </c>
      <c r="AG485" s="189">
        <f>AG61+AG104+AG147+AG190+AG233+AG276+AG319+AG362+AG405+AG448</f>
        <v/>
      </c>
      <c r="AH485" s="189">
        <f>AH61+AH104+AH147+AH190+AH233+AH276+AH319+AH362+AH405+AH448</f>
        <v/>
      </c>
      <c r="AI485" s="51" t="inlineStr">
        <is>
          <t>U4X</t>
        </is>
      </c>
    </row>
    <row r="486">
      <c r="B486" s="189">
        <f>B62+B105+B148+B191+B234+B277+B320+B363+B406+B449</f>
        <v/>
      </c>
      <c r="C486" s="189">
        <f>C62+C105+C148+C191+C234+C277+C320+C363+C406+C449</f>
        <v/>
      </c>
      <c r="D486" s="189">
        <f>D62+D105+D148+D191+D234+D277+D320+D363+D406+D449</f>
        <v/>
      </c>
      <c r="E486" s="189">
        <f>E62+E105+E148+E191+E234+E277+E320+E363+E406+E449</f>
        <v/>
      </c>
      <c r="F486" s="189">
        <f>F62+F105+F148+F191+F234+F277+F320+F363+F406+F449</f>
        <v/>
      </c>
      <c r="G486" s="189">
        <f>G62+G105+G148+G191+G234+G277+G320+G363+G406+G449</f>
        <v/>
      </c>
      <c r="H486" s="189">
        <f>H62+H105+H148+H191+H234+H277+H320+H363+H406+H449</f>
        <v/>
      </c>
      <c r="I486" s="189">
        <f>I62+I105+I148+I191+I234+I277+I320+I363+I406+I449</f>
        <v/>
      </c>
      <c r="J486" s="189">
        <f>J62+J105+J148+J191+J234+J277+J320+J363+J406+J449</f>
        <v/>
      </c>
      <c r="K486" s="189">
        <f>K62+K105+K148+K191+K234+K277+K320+K363+K406+K449</f>
        <v/>
      </c>
      <c r="L486" s="10">
        <f>L62+L105+L148+L191+L234+L277+L320+L363+L406+L449</f>
        <v/>
      </c>
      <c r="M486" s="189">
        <f>M62+M105+M148+M191+M234+M277+M320+M363+M406+M449</f>
        <v/>
      </c>
      <c r="N486" s="189">
        <f>N62+N105+N148+N191+N234+N277+N320+N363+N406+N449</f>
        <v/>
      </c>
      <c r="O486" s="189">
        <f>O62+O105+O148+O191+O234+O277+O320+O363+O406+O449</f>
        <v/>
      </c>
      <c r="P486" s="189">
        <f>P62+P105+P148+P191+P234+P277+P320+P363+P406+P449</f>
        <v/>
      </c>
      <c r="Q486" s="189">
        <f>Q62+Q105+Q148+Q191+Q234+Q277+Q320+Q363+Q406+Q449</f>
        <v/>
      </c>
      <c r="R486" s="189">
        <f>R62+R105+R148+R191+R234+R277+R320+R363+R406+R449</f>
        <v/>
      </c>
      <c r="S486" s="189">
        <f>S62+S105+S148+S191+S234+S277+S320+S363+S406+S449</f>
        <v/>
      </c>
      <c r="T486" s="189">
        <f>T62+T105+T148+T191+T234+T277+T320+T363+T406+T449</f>
        <v/>
      </c>
      <c r="U486" s="189">
        <f>U62+U105+U148+U191+U234+U277+U320+U363+U406+U449</f>
        <v/>
      </c>
      <c r="V486" s="189">
        <f>V62+V105+V148+V191+V234+V277+V320+V363+V406+V449</f>
        <v/>
      </c>
      <c r="W486" s="189">
        <f>W62+W105+W148+W191+W234+W277+W320+W363+W406+W449</f>
        <v/>
      </c>
      <c r="X486" s="189">
        <f>X62+X105+X148+X191+X234+X277+X320+X363+X406+X449</f>
        <v/>
      </c>
      <c r="Y486" s="189">
        <f>Y62+Y105+Y148+Y191+Y234+Y277+Y320+Y363+Y406+Y449</f>
        <v/>
      </c>
      <c r="Z486" s="189">
        <f>Z62+Z105+Z148+Z191+Z234+Z277+Z320+Z363+Z406+Z449</f>
        <v/>
      </c>
      <c r="AA486" s="189">
        <f>AA62+AA105+AA148+AA191+AA234+AA277+AA320+AA363+AA406+AA449</f>
        <v/>
      </c>
      <c r="AB486" s="189">
        <f>AB62+AB105+AB148+AB191+AB234+AB277+AB320+AB363+AB406+AB449</f>
        <v/>
      </c>
      <c r="AC486" s="189">
        <f>AC62+AC105+AC148+AC191+AC234+AC277+AC320+AC363+AC406+AC449</f>
        <v/>
      </c>
      <c r="AD486" s="189">
        <f>AD62+AD105+AD148+AD191+AD234+AD277+AD320+AD363+AD406+AD449</f>
        <v/>
      </c>
      <c r="AE486" s="189">
        <f>AE62+AE105+AE148+AE191+AE234+AE277+AE320+AE363+AE406+AE449</f>
        <v/>
      </c>
      <c r="AF486" s="189">
        <f>AF62+AF105+AF148+AF191+AF234+AF277+AF320+AF363+AF406+AF449</f>
        <v/>
      </c>
      <c r="AG486" s="189">
        <f>AG62+AG105+AG148+AG191+AG234+AG277+AG320+AG363+AG406+AG449</f>
        <v/>
      </c>
      <c r="AH486" s="189">
        <f>AH62+AH105+AH148+AH191+AH234+AH277+AH320+AH363+AH406+AH449</f>
        <v/>
      </c>
      <c r="AI486" s="51" t="inlineStr">
        <is>
          <t>U4Y</t>
        </is>
      </c>
    </row>
    <row r="487">
      <c r="B487" s="189">
        <f>B63+B106+B149+B192+B235+B278+B321+B364+B407+B450</f>
        <v/>
      </c>
      <c r="C487" s="189">
        <f>C63+C106+C149+C192+C235+C278+C321+C364+C407+C450</f>
        <v/>
      </c>
      <c r="D487" s="189">
        <f>D63+D106+D149+D192+D235+D278+D321+D364+D407+D450</f>
        <v/>
      </c>
      <c r="E487" s="189">
        <f>E63+E106+E149+E192+E235+E278+E321+E364+E407+E450</f>
        <v/>
      </c>
      <c r="F487" s="189">
        <f>F63+F106+F149+F192+F235+F278+F321+F364+F407+F450</f>
        <v/>
      </c>
      <c r="G487" s="189">
        <f>G63+G106+G149+G192+G235+G278+G321+G364+G407+G450</f>
        <v/>
      </c>
      <c r="H487" s="189">
        <f>H63+H106+H149+H192+H235+H278+H321+H364+H407+H450</f>
        <v/>
      </c>
      <c r="I487" s="189">
        <f>I63+I106+I149+I192+I235+I278+I321+I364+I407+I450</f>
        <v/>
      </c>
      <c r="J487" s="189">
        <f>J63+J106+J149+J192+J235+J278+J321+J364+J407+J450</f>
        <v/>
      </c>
      <c r="K487" s="189">
        <f>K63+K106+K149+K192+K235+K278+K321+K364+K407+K450</f>
        <v/>
      </c>
      <c r="L487" s="189">
        <f>L63+L106+L149+L192+L235+L278+L321+L364+L407+L450</f>
        <v/>
      </c>
      <c r="M487" s="10">
        <f>M63+M106+M149+M192+M235+M278+M321+M364+M407+M450</f>
        <v/>
      </c>
      <c r="N487" s="189">
        <f>N63+N106+N149+N192+N235+N278+N321+N364+N407+N450</f>
        <v/>
      </c>
      <c r="O487" s="189">
        <f>O63+O106+O149+O192+O235+O278+O321+O364+O407+O450</f>
        <v/>
      </c>
      <c r="P487" s="189">
        <f>P63+P106+P149+P192+P235+P278+P321+P364+P407+P450</f>
        <v/>
      </c>
      <c r="Q487" s="189">
        <f>Q63+Q106+Q149+Q192+Q235+Q278+Q321+Q364+Q407+Q450</f>
        <v/>
      </c>
      <c r="R487" s="189">
        <f>R63+R106+R149+R192+R235+R278+R321+R364+R407+R450</f>
        <v/>
      </c>
      <c r="S487" s="189">
        <f>S63+S106+S149+S192+S235+S278+S321+S364+S407+S450</f>
        <v/>
      </c>
      <c r="T487" s="189">
        <f>T63+T106+T149+T192+T235+T278+T321+T364+T407+T450</f>
        <v/>
      </c>
      <c r="U487" s="189">
        <f>U63+U106+U149+U192+U235+U278+U321+U364+U407+U450</f>
        <v/>
      </c>
      <c r="V487" s="189">
        <f>V63+V106+V149+V192+V235+V278+V321+V364+V407+V450</f>
        <v/>
      </c>
      <c r="W487" s="189">
        <f>W63+W106+W149+W192+W235+W278+W321+W364+W407+W450</f>
        <v/>
      </c>
      <c r="X487" s="189">
        <f>X63+X106+X149+X192+X235+X278+X321+X364+X407+X450</f>
        <v/>
      </c>
      <c r="Y487" s="189">
        <f>Y63+Y106+Y149+Y192+Y235+Y278+Y321+Y364+Y407+Y450</f>
        <v/>
      </c>
      <c r="Z487" s="189">
        <f>Z63+Z106+Z149+Z192+Z235+Z278+Z321+Z364+Z407+Z450</f>
        <v/>
      </c>
      <c r="AA487" s="189">
        <f>AA63+AA106+AA149+AA192+AA235+AA278+AA321+AA364+AA407+AA450</f>
        <v/>
      </c>
      <c r="AB487" s="189">
        <f>AB63+AB106+AB149+AB192+AB235+AB278+AB321+AB364+AB407+AB450</f>
        <v/>
      </c>
      <c r="AC487" s="189">
        <f>AC63+AC106+AC149+AC192+AC235+AC278+AC321+AC364+AC407+AC450</f>
        <v/>
      </c>
      <c r="AD487" s="189">
        <f>AD63+AD106+AD149+AD192+AD235+AD278+AD321+AD364+AD407+AD450</f>
        <v/>
      </c>
      <c r="AE487" s="189">
        <f>AE63+AE106+AE149+AE192+AE235+AE278+AE321+AE364+AE407+AE450</f>
        <v/>
      </c>
      <c r="AF487" s="189">
        <f>AF63+AF106+AF149+AF192+AF235+AF278+AF321+AF364+AF407+AF450</f>
        <v/>
      </c>
      <c r="AG487" s="189">
        <f>AG63+AG106+AG149+AG192+AG235+AG278+AG321+AG364+AG407+AG450</f>
        <v/>
      </c>
      <c r="AH487" s="189">
        <f>AH63+AH106+AH149+AH192+AH235+AH278+AH321+AH364+AH407+AH450</f>
        <v/>
      </c>
      <c r="AI487" s="51" t="inlineStr">
        <is>
          <t>U4θ</t>
        </is>
      </c>
    </row>
    <row r="488">
      <c r="B488" s="189">
        <f>B64+B107+B150+B193+B236+B279+B322+B365+B408+B451</f>
        <v/>
      </c>
      <c r="C488" s="189">
        <f>C64+C107+C150+C193+C236+C279+C322+C365+C408+C451</f>
        <v/>
      </c>
      <c r="D488" s="189">
        <f>D64+D107+D150+D193+D236+D279+D322+D365+D408+D451</f>
        <v/>
      </c>
      <c r="E488" s="189">
        <f>E64+E107+E150+E193+E236+E279+E322+E365+E408+E451</f>
        <v/>
      </c>
      <c r="F488" s="189">
        <f>F64+F107+F150+F193+F236+F279+F322+F365+F408+F451</f>
        <v/>
      </c>
      <c r="G488" s="189">
        <f>G64+G107+G150+G193+G236+G279+G322+G365+G408+G451</f>
        <v/>
      </c>
      <c r="H488" s="189">
        <f>H64+H107+H150+H193+H236+H279+H322+H365+H408+H451</f>
        <v/>
      </c>
      <c r="I488" s="189">
        <f>I64+I107+I150+I193+I236+I279+I322+I365+I408+I451</f>
        <v/>
      </c>
      <c r="J488" s="189">
        <f>J64+J107+J150+J193+J236+J279+J322+J365+J408+J451</f>
        <v/>
      </c>
      <c r="K488" s="189">
        <f>K64+K107+K150+K193+K236+K279+K322+K365+K408+K451</f>
        <v/>
      </c>
      <c r="L488" s="189">
        <f>L64+L107+L150+L193+L236+L279+L322+L365+L408+L451</f>
        <v/>
      </c>
      <c r="M488" s="189">
        <f>M64+M107+M150+M193+M236+M279+M322+M365+M408+M451</f>
        <v/>
      </c>
      <c r="N488" s="10">
        <f>N64+N107+N150+N193+N236+N279+N322+N365+N408+N451</f>
        <v/>
      </c>
      <c r="O488" s="189">
        <f>O64+O107+O150+O193+O236+O279+O322+O365+O408+O451</f>
        <v/>
      </c>
      <c r="P488" s="189">
        <f>P64+P107+P150+P193+P236+P279+P322+P365+P408+P451</f>
        <v/>
      </c>
      <c r="Q488" s="189">
        <f>Q64+Q107+Q150+Q193+Q236+Q279+Q322+Q365+Q408+Q451</f>
        <v/>
      </c>
      <c r="R488" s="189">
        <f>R64+R107+R150+R193+R236+R279+R322+R365+R408+R451</f>
        <v/>
      </c>
      <c r="S488" s="189">
        <f>S64+S107+S150+S193+S236+S279+S322+S365+S408+S451</f>
        <v/>
      </c>
      <c r="T488" s="189">
        <f>T64+T107+T150+T193+T236+T279+T322+T365+T408+T451</f>
        <v/>
      </c>
      <c r="U488" s="189">
        <f>U64+U107+U150+U193+U236+U279+U322+U365+U408+U451</f>
        <v/>
      </c>
      <c r="V488" s="189">
        <f>V64+V107+V150+V193+V236+V279+V322+V365+V408+V451</f>
        <v/>
      </c>
      <c r="W488" s="189">
        <f>W64+W107+W150+W193+W236+W279+W322+W365+W408+W451</f>
        <v/>
      </c>
      <c r="X488" s="189">
        <f>X64+X107+X150+X193+X236+X279+X322+X365+X408+X451</f>
        <v/>
      </c>
      <c r="Y488" s="189">
        <f>Y64+Y107+Y150+Y193+Y236+Y279+Y322+Y365+Y408+Y451</f>
        <v/>
      </c>
      <c r="Z488" s="189">
        <f>Z64+Z107+Z150+Z193+Z236+Z279+Z322+Z365+Z408+Z451</f>
        <v/>
      </c>
      <c r="AA488" s="189">
        <f>AA64+AA107+AA150+AA193+AA236+AA279+AA322+AA365+AA408+AA451</f>
        <v/>
      </c>
      <c r="AB488" s="189">
        <f>AB64+AB107+AB150+AB193+AB236+AB279+AB322+AB365+AB408+AB451</f>
        <v/>
      </c>
      <c r="AC488" s="189">
        <f>AC64+AC107+AC150+AC193+AC236+AC279+AC322+AC365+AC408+AC451</f>
        <v/>
      </c>
      <c r="AD488" s="189">
        <f>AD64+AD107+AD150+AD193+AD236+AD279+AD322+AD365+AD408+AD451</f>
        <v/>
      </c>
      <c r="AE488" s="189">
        <f>AE64+AE107+AE150+AE193+AE236+AE279+AE322+AE365+AE408+AE451</f>
        <v/>
      </c>
      <c r="AF488" s="189">
        <f>AF64+AF107+AF150+AF193+AF236+AF279+AF322+AF365+AF408+AF451</f>
        <v/>
      </c>
      <c r="AG488" s="189">
        <f>AG64+AG107+AG150+AG193+AG236+AG279+AG322+AG365+AG408+AG451</f>
        <v/>
      </c>
      <c r="AH488" s="189">
        <f>AH64+AH107+AH150+AH193+AH236+AH279+AH322+AH365+AH408+AH451</f>
        <v/>
      </c>
      <c r="AI488" s="51" t="inlineStr">
        <is>
          <t>U5X</t>
        </is>
      </c>
    </row>
    <row r="489">
      <c r="B489" s="189">
        <f>B65+B108+B151+B194+B237+B280+B323+B366+B409+B452</f>
        <v/>
      </c>
      <c r="C489" s="189">
        <f>C65+C108+C151+C194+C237+C280+C323+C366+C409+C452</f>
        <v/>
      </c>
      <c r="D489" s="189">
        <f>D65+D108+D151+D194+D237+D280+D323+D366+D409+D452</f>
        <v/>
      </c>
      <c r="E489" s="189">
        <f>E65+E108+E151+E194+E237+E280+E323+E366+E409+E452</f>
        <v/>
      </c>
      <c r="F489" s="189">
        <f>F65+F108+F151+F194+F237+F280+F323+F366+F409+F452</f>
        <v/>
      </c>
      <c r="G489" s="189">
        <f>G65+G108+G151+G194+G237+G280+G323+G366+G409+G452</f>
        <v/>
      </c>
      <c r="H489" s="189">
        <f>H65+H108+H151+H194+H237+H280+H323+H366+H409+H452</f>
        <v/>
      </c>
      <c r="I489" s="189">
        <f>I65+I108+I151+I194+I237+I280+I323+I366+I409+I452</f>
        <v/>
      </c>
      <c r="J489" s="189">
        <f>J65+J108+J151+J194+J237+J280+J323+J366+J409+J452</f>
        <v/>
      </c>
      <c r="K489" s="189">
        <f>K65+K108+K151+K194+K237+K280+K323+K366+K409+K452</f>
        <v/>
      </c>
      <c r="L489" s="189">
        <f>L65+L108+L151+L194+L237+L280+L323+L366+L409+L452</f>
        <v/>
      </c>
      <c r="M489" s="189">
        <f>M65+M108+M151+M194+M237+M280+M323+M366+M409+M452</f>
        <v/>
      </c>
      <c r="N489" s="189">
        <f>N65+N108+N151+N194+N237+N280+N323+N366+N409+N452</f>
        <v/>
      </c>
      <c r="O489" s="10">
        <f>O65+O108+O151+O194+O237+O280+O323+O366+O409+O452</f>
        <v/>
      </c>
      <c r="P489" s="189">
        <f>P65+P108+P151+P194+P237+P280+P323+P366+P409+P452</f>
        <v/>
      </c>
      <c r="Q489" s="189">
        <f>Q65+Q108+Q151+Q194+Q237+Q280+Q323+Q366+Q409+Q452</f>
        <v/>
      </c>
      <c r="R489" s="189">
        <f>R65+R108+R151+R194+R237+R280+R323+R366+R409+R452</f>
        <v/>
      </c>
      <c r="S489" s="189">
        <f>S65+S108+S151+S194+S237+S280+S323+S366+S409+S452</f>
        <v/>
      </c>
      <c r="T489" s="189">
        <f>T65+T108+T151+T194+T237+T280+T323+T366+T409+T452</f>
        <v/>
      </c>
      <c r="U489" s="189">
        <f>U65+U108+U151+U194+U237+U280+U323+U366+U409+U452</f>
        <v/>
      </c>
      <c r="V489" s="189">
        <f>V65+V108+V151+V194+V237+V280+V323+V366+V409+V452</f>
        <v/>
      </c>
      <c r="W489" s="189">
        <f>W65+W108+W151+W194+W237+W280+W323+W366+W409+W452</f>
        <v/>
      </c>
      <c r="X489" s="189">
        <f>X65+X108+X151+X194+X237+X280+X323+X366+X409+X452</f>
        <v/>
      </c>
      <c r="Y489" s="189">
        <f>Y65+Y108+Y151+Y194+Y237+Y280+Y323+Y366+Y409+Y452</f>
        <v/>
      </c>
      <c r="Z489" s="189">
        <f>Z65+Z108+Z151+Z194+Z237+Z280+Z323+Z366+Z409+Z452</f>
        <v/>
      </c>
      <c r="AA489" s="189">
        <f>AA65+AA108+AA151+AA194+AA237+AA280+AA323+AA366+AA409+AA452</f>
        <v/>
      </c>
      <c r="AB489" s="189">
        <f>AB65+AB108+AB151+AB194+AB237+AB280+AB323+AB366+AB409+AB452</f>
        <v/>
      </c>
      <c r="AC489" s="189">
        <f>AC65+AC108+AC151+AC194+AC237+AC280+AC323+AC366+AC409+AC452</f>
        <v/>
      </c>
      <c r="AD489" s="189">
        <f>AD65+AD108+AD151+AD194+AD237+AD280+AD323+AD366+AD409+AD452</f>
        <v/>
      </c>
      <c r="AE489" s="189">
        <f>AE65+AE108+AE151+AE194+AE237+AE280+AE323+AE366+AE409+AE452</f>
        <v/>
      </c>
      <c r="AF489" s="189">
        <f>AF65+AF108+AF151+AF194+AF237+AF280+AF323+AF366+AF409+AF452</f>
        <v/>
      </c>
      <c r="AG489" s="189">
        <f>AG65+AG108+AG151+AG194+AG237+AG280+AG323+AG366+AG409+AG452</f>
        <v/>
      </c>
      <c r="AH489" s="189">
        <f>AH65+AH108+AH151+AH194+AH237+AH280+AH323+AH366+AH409+AH452</f>
        <v/>
      </c>
      <c r="AI489" s="51" t="inlineStr">
        <is>
          <t>U5Y</t>
        </is>
      </c>
    </row>
    <row r="490">
      <c r="B490" s="189">
        <f>B66+B109+B152+B195+B238+B281+B324+B367+B410+B453</f>
        <v/>
      </c>
      <c r="C490" s="189">
        <f>C66+C109+C152+C195+C238+C281+C324+C367+C410+C453</f>
        <v/>
      </c>
      <c r="D490" s="189">
        <f>D66+D109+D152+D195+D238+D281+D324+D367+D410+D453</f>
        <v/>
      </c>
      <c r="E490" s="189">
        <f>E66+E109+E152+E195+E238+E281+E324+E367+E410+E453</f>
        <v/>
      </c>
      <c r="F490" s="189">
        <f>F66+F109+F152+F195+F238+F281+F324+F367+F410+F453</f>
        <v/>
      </c>
      <c r="G490" s="189">
        <f>G66+G109+G152+G195+G238+G281+G324+G367+G410+G453</f>
        <v/>
      </c>
      <c r="H490" s="189">
        <f>H66+H109+H152+H195+H238+H281+H324+H367+H410+H453</f>
        <v/>
      </c>
      <c r="I490" s="189">
        <f>I66+I109+I152+I195+I238+I281+I324+I367+I410+I453</f>
        <v/>
      </c>
      <c r="J490" s="189">
        <f>J66+J109+J152+J195+J238+J281+J324+J367+J410+J453</f>
        <v/>
      </c>
      <c r="K490" s="189">
        <f>K66+K109+K152+K195+K238+K281+K324+K367+K410+K453</f>
        <v/>
      </c>
      <c r="L490" s="189">
        <f>L66+L109+L152+L195+L238+L281+L324+L367+L410+L453</f>
        <v/>
      </c>
      <c r="M490" s="189">
        <f>M66+M109+M152+M195+M238+M281+M324+M367+M410+M453</f>
        <v/>
      </c>
      <c r="N490" s="189">
        <f>N66+N109+N152+N195+N238+N281+N324+N367+N410+N453</f>
        <v/>
      </c>
      <c r="O490" s="189">
        <f>O66+O109+O152+O195+O238+O281+O324+O367+O410+O453</f>
        <v/>
      </c>
      <c r="P490" s="10">
        <f>P66+P109+P152+P195+P238+P281+P324+P367+P410+P453</f>
        <v/>
      </c>
      <c r="Q490" s="189">
        <f>Q66+Q109+Q152+Q195+Q238+Q281+Q324+Q367+Q410+Q453</f>
        <v/>
      </c>
      <c r="R490" s="189">
        <f>R66+R109+R152+R195+R238+R281+R324+R367+R410+R453</f>
        <v/>
      </c>
      <c r="S490" s="189">
        <f>S66+S109+S152+S195+S238+S281+S324+S367+S410+S453</f>
        <v/>
      </c>
      <c r="T490" s="189">
        <f>T66+T109+T152+T195+T238+T281+T324+T367+T410+T453</f>
        <v/>
      </c>
      <c r="U490" s="189">
        <f>U66+U109+U152+U195+U238+U281+U324+U367+U410+U453</f>
        <v/>
      </c>
      <c r="V490" s="189">
        <f>V66+V109+V152+V195+V238+V281+V324+V367+V410+V453</f>
        <v/>
      </c>
      <c r="W490" s="189">
        <f>W66+W109+W152+W195+W238+W281+W324+W367+W410+W453</f>
        <v/>
      </c>
      <c r="X490" s="189">
        <f>X66+X109+X152+X195+X238+X281+X324+X367+X410+X453</f>
        <v/>
      </c>
      <c r="Y490" s="189">
        <f>Y66+Y109+Y152+Y195+Y238+Y281+Y324+Y367+Y410+Y453</f>
        <v/>
      </c>
      <c r="Z490" s="189">
        <f>Z66+Z109+Z152+Z195+Z238+Z281+Z324+Z367+Z410+Z453</f>
        <v/>
      </c>
      <c r="AA490" s="189">
        <f>AA66+AA109+AA152+AA195+AA238+AA281+AA324+AA367+AA410+AA453</f>
        <v/>
      </c>
      <c r="AB490" s="189">
        <f>AB66+AB109+AB152+AB195+AB238+AB281+AB324+AB367+AB410+AB453</f>
        <v/>
      </c>
      <c r="AC490" s="189">
        <f>AC66+AC109+AC152+AC195+AC238+AC281+AC324+AC367+AC410+AC453</f>
        <v/>
      </c>
      <c r="AD490" s="189">
        <f>AD66+AD109+AD152+AD195+AD238+AD281+AD324+AD367+AD410+AD453</f>
        <v/>
      </c>
      <c r="AE490" s="189">
        <f>AE66+AE109+AE152+AE195+AE238+AE281+AE324+AE367+AE410+AE453</f>
        <v/>
      </c>
      <c r="AF490" s="189">
        <f>AF66+AF109+AF152+AF195+AF238+AF281+AF324+AF367+AF410+AF453</f>
        <v/>
      </c>
      <c r="AG490" s="189">
        <f>AG66+AG109+AG152+AG195+AG238+AG281+AG324+AG367+AG410+AG453</f>
        <v/>
      </c>
      <c r="AH490" s="189">
        <f>AH66+AH109+AH152+AH195+AH238+AH281+AH324+AH367+AH410+AH453</f>
        <v/>
      </c>
      <c r="AI490" s="51" t="inlineStr">
        <is>
          <t>U5θ</t>
        </is>
      </c>
    </row>
    <row r="491">
      <c r="B491" s="189">
        <f>B67+B110+B153+B196+B239+B282+B325+B368+B411+B454</f>
        <v/>
      </c>
      <c r="C491" s="189">
        <f>C67+C110+C153+C196+C239+C282+C325+C368+C411+C454</f>
        <v/>
      </c>
      <c r="D491" s="189">
        <f>D67+D110+D153+D196+D239+D282+D325+D368+D411+D454</f>
        <v/>
      </c>
      <c r="E491" s="189">
        <f>E67+E110+E153+E196+E239+E282+E325+E368+E411+E454</f>
        <v/>
      </c>
      <c r="F491" s="189">
        <f>F67+F110+F153+F196+F239+F282+F325+F368+F411+F454</f>
        <v/>
      </c>
      <c r="G491" s="189">
        <f>G67+G110+G153+G196+G239+G282+G325+G368+G411+G454</f>
        <v/>
      </c>
      <c r="H491" s="189">
        <f>H67+H110+H153+H196+H239+H282+H325+H368+H411+H454</f>
        <v/>
      </c>
      <c r="I491" s="189">
        <f>I67+I110+I153+I196+I239+I282+I325+I368+I411+I454</f>
        <v/>
      </c>
      <c r="J491" s="189">
        <f>J67+J110+J153+J196+J239+J282+J325+J368+J411+J454</f>
        <v/>
      </c>
      <c r="K491" s="189">
        <f>K67+K110+K153+K196+K239+K282+K325+K368+K411+K454</f>
        <v/>
      </c>
      <c r="L491" s="189">
        <f>L67+L110+L153+L196+L239+L282+L325+L368+L411+L454</f>
        <v/>
      </c>
      <c r="M491" s="189">
        <f>M67+M110+M153+M196+M239+M282+M325+M368+M411+M454</f>
        <v/>
      </c>
      <c r="N491" s="189">
        <f>N67+N110+N153+N196+N239+N282+N325+N368+N411+N454</f>
        <v/>
      </c>
      <c r="O491" s="189">
        <f>O67+O110+O153+O196+O239+O282+O325+O368+O411+O454</f>
        <v/>
      </c>
      <c r="P491" s="189">
        <f>P67+P110+P153+P196+P239+P282+P325+P368+P411+P454</f>
        <v/>
      </c>
      <c r="Q491" s="10">
        <f>Q67+Q110+Q153+Q196+Q239+Q282+Q325+Q368+Q411+Q454</f>
        <v/>
      </c>
      <c r="R491" s="189">
        <f>R67+R110+R153+R196+R239+R282+R325+R368+R411+R454</f>
        <v/>
      </c>
      <c r="S491" s="189">
        <f>S67+S110+S153+S196+S239+S282+S325+S368+S411+S454</f>
        <v/>
      </c>
      <c r="T491" s="189">
        <f>T67+T110+T153+T196+T239+T282+T325+T368+T411+T454</f>
        <v/>
      </c>
      <c r="U491" s="189">
        <f>U67+U110+U153+U196+U239+U282+U325+U368+U411+U454</f>
        <v/>
      </c>
      <c r="V491" s="189">
        <f>V67+V110+V153+V196+V239+V282+V325+V368+V411+V454</f>
        <v/>
      </c>
      <c r="W491" s="189">
        <f>W67+W110+W153+W196+W239+W282+W325+W368+W411+W454</f>
        <v/>
      </c>
      <c r="X491" s="189">
        <f>X67+X110+X153+X196+X239+X282+X325+X368+X411+X454</f>
        <v/>
      </c>
      <c r="Y491" s="189">
        <f>Y67+Y110+Y153+Y196+Y239+Y282+Y325+Y368+Y411+Y454</f>
        <v/>
      </c>
      <c r="Z491" s="189">
        <f>Z67+Z110+Z153+Z196+Z239+Z282+Z325+Z368+Z411+Z454</f>
        <v/>
      </c>
      <c r="AA491" s="189">
        <f>AA67+AA110+AA153+AA196+AA239+AA282+AA325+AA368+AA411+AA454</f>
        <v/>
      </c>
      <c r="AB491" s="189">
        <f>AB67+AB110+AB153+AB196+AB239+AB282+AB325+AB368+AB411+AB454</f>
        <v/>
      </c>
      <c r="AC491" s="189">
        <f>AC67+AC110+AC153+AC196+AC239+AC282+AC325+AC368+AC411+AC454</f>
        <v/>
      </c>
      <c r="AD491" s="189">
        <f>AD67+AD110+AD153+AD196+AD239+AD282+AD325+AD368+AD411+AD454</f>
        <v/>
      </c>
      <c r="AE491" s="189">
        <f>AE67+AE110+AE153+AE196+AE239+AE282+AE325+AE368+AE411+AE454</f>
        <v/>
      </c>
      <c r="AF491" s="189">
        <f>AF67+AF110+AF153+AF196+AF239+AF282+AF325+AF368+AF411+AF454</f>
        <v/>
      </c>
      <c r="AG491" s="189">
        <f>AG67+AG110+AG153+AG196+AG239+AG282+AG325+AG368+AG411+AG454</f>
        <v/>
      </c>
      <c r="AH491" s="189">
        <f>AH67+AH110+AH153+AH196+AH239+AH282+AH325+AH368+AH411+AH454</f>
        <v/>
      </c>
      <c r="AI491" s="51" t="inlineStr">
        <is>
          <t>U6X</t>
        </is>
      </c>
    </row>
    <row r="492">
      <c r="A492" s="118" t="inlineStr">
        <is>
          <t>Kviga =</t>
        </is>
      </c>
      <c r="B492" s="189">
        <f>B68+B111+B154+B197+B240+B283+B326+B369+B412+B455</f>
        <v/>
      </c>
      <c r="C492" s="189">
        <f>C68+C111+C154+C197+C240+C283+C326+C369+C412+C455</f>
        <v/>
      </c>
      <c r="D492" s="189">
        <f>D68+D111+D154+D197+D240+D283+D326+D369+D412+D455</f>
        <v/>
      </c>
      <c r="E492" s="189">
        <f>E68+E111+E154+E197+E240+E283+E326+E369+E412+E455</f>
        <v/>
      </c>
      <c r="F492" s="189">
        <f>F68+F111+F154+F197+F240+F283+F326+F369+F412+F455</f>
        <v/>
      </c>
      <c r="G492" s="189">
        <f>G68+G111+G154+G197+G240+G283+G326+G369+G412+G455</f>
        <v/>
      </c>
      <c r="H492" s="189">
        <f>H68+H111+H154+H197+H240+H283+H326+H369+H412+H455</f>
        <v/>
      </c>
      <c r="I492" s="189">
        <f>I68+I111+I154+I197+I240+I283+I326+I369+I412+I455</f>
        <v/>
      </c>
      <c r="J492" s="189">
        <f>J68+J111+J154+J197+J240+J283+J326+J369+J412+J455</f>
        <v/>
      </c>
      <c r="K492" s="189">
        <f>K68+K111+K154+K197+K240+K283+K326+K369+K412+K455</f>
        <v/>
      </c>
      <c r="L492" s="189">
        <f>L68+L111+L154+L197+L240+L283+L326+L369+L412+L455</f>
        <v/>
      </c>
      <c r="M492" s="189">
        <f>M68+M111+M154+M197+M240+M283+M326+M369+M412+M455</f>
        <v/>
      </c>
      <c r="N492" s="189">
        <f>N68+N111+N154+N197+N240+N283+N326+N369+N412+N455</f>
        <v/>
      </c>
      <c r="O492" s="189">
        <f>O68+O111+O154+O197+O240+O283+O326+O369+O412+O455</f>
        <v/>
      </c>
      <c r="P492" s="189">
        <f>P68+P111+P154+P197+P240+P283+P326+P369+P412+P455</f>
        <v/>
      </c>
      <c r="Q492" s="189">
        <f>Q68+Q111+Q154+Q197+Q240+Q283+Q326+Q369+Q412+Q455</f>
        <v/>
      </c>
      <c r="R492" s="10">
        <f>R68+R111+R154+R197+R240+R283+R326+R369+R412+R455</f>
        <v/>
      </c>
      <c r="S492" s="189">
        <f>S68+S111+S154+S197+S240+S283+S326+S369+S412+S455</f>
        <v/>
      </c>
      <c r="T492" s="189">
        <f>T68+T111+T154+T197+T240+T283+T326+T369+T412+T455</f>
        <v/>
      </c>
      <c r="U492" s="189">
        <f>U68+U111+U154+U197+U240+U283+U326+U369+U412+U455</f>
        <v/>
      </c>
      <c r="V492" s="189">
        <f>V68+V111+V154+V197+V240+V283+V326+V369+V412+V455</f>
        <v/>
      </c>
      <c r="W492" s="189">
        <f>W68+W111+W154+W197+W240+W283+W326+W369+W412+W455</f>
        <v/>
      </c>
      <c r="X492" s="189">
        <f>X68+X111+X154+X197+X240+X283+X326+X369+X412+X455</f>
        <v/>
      </c>
      <c r="Y492" s="189">
        <f>Y68+Y111+Y154+Y197+Y240+Y283+Y326+Y369+Y412+Y455</f>
        <v/>
      </c>
      <c r="Z492" s="189">
        <f>Z68+Z111+Z154+Z197+Z240+Z283+Z326+Z369+Z412+Z455</f>
        <v/>
      </c>
      <c r="AA492" s="189">
        <f>AA68+AA111+AA154+AA197+AA240+AA283+AA326+AA369+AA412+AA455</f>
        <v/>
      </c>
      <c r="AB492" s="189">
        <f>AB68+AB111+AB154+AB197+AB240+AB283+AB326+AB369+AB412+AB455</f>
        <v/>
      </c>
      <c r="AC492" s="189">
        <f>AC68+AC111+AC154+AC197+AC240+AC283+AC326+AC369+AC412+AC455</f>
        <v/>
      </c>
      <c r="AD492" s="189">
        <f>AD68+AD111+AD154+AD197+AD240+AD283+AD326+AD369+AD412+AD455</f>
        <v/>
      </c>
      <c r="AE492" s="189">
        <f>AE68+AE111+AE154+AE197+AE240+AE283+AE326+AE369+AE412+AE455</f>
        <v/>
      </c>
      <c r="AF492" s="189">
        <f>AF68+AF111+AF154+AF197+AF240+AF283+AF326+AF369+AF412+AF455</f>
        <v/>
      </c>
      <c r="AG492" s="189">
        <f>AG68+AG111+AG154+AG197+AG240+AG283+AG326+AG369+AG412+AG455</f>
        <v/>
      </c>
      <c r="AH492" s="189">
        <f>AH68+AH111+AH154+AH197+AH240+AH283+AH326+AH369+AH412+AH455</f>
        <v/>
      </c>
      <c r="AI492" s="51" t="inlineStr">
        <is>
          <t>U6Y</t>
        </is>
      </c>
    </row>
    <row r="493">
      <c r="B493" s="189">
        <f>B69+B112+B155+B198+B241+B284+B327+B370+B413+B456</f>
        <v/>
      </c>
      <c r="C493" s="189">
        <f>C69+C112+C155+C198+C241+C284+C327+C370+C413+C456</f>
        <v/>
      </c>
      <c r="D493" s="189">
        <f>D69+D112+D155+D198+D241+D284+D327+D370+D413+D456</f>
        <v/>
      </c>
      <c r="E493" s="189">
        <f>E69+E112+E155+E198+E241+E284+E327+E370+E413+E456</f>
        <v/>
      </c>
      <c r="F493" s="189">
        <f>F69+F112+F155+F198+F241+F284+F327+F370+F413+F456</f>
        <v/>
      </c>
      <c r="G493" s="189">
        <f>G69+G112+G155+G198+G241+G284+G327+G370+G413+G456</f>
        <v/>
      </c>
      <c r="H493" s="189">
        <f>H69+H112+H155+H198+H241+H284+H327+H370+H413+H456</f>
        <v/>
      </c>
      <c r="I493" s="189">
        <f>I69+I112+I155+I198+I241+I284+I327+I370+I413+I456</f>
        <v/>
      </c>
      <c r="J493" s="189">
        <f>J69+J112+J155+J198+J241+J284+J327+J370+J413+J456</f>
        <v/>
      </c>
      <c r="K493" s="189">
        <f>K69+K112+K155+K198+K241+K284+K327+K370+K413+K456</f>
        <v/>
      </c>
      <c r="L493" s="189">
        <f>L69+L112+L155+L198+L241+L284+L327+L370+L413+L456</f>
        <v/>
      </c>
      <c r="M493" s="189">
        <f>M69+M112+M155+M198+M241+M284+M327+M370+M413+M456</f>
        <v/>
      </c>
      <c r="N493" s="189">
        <f>N69+N112+N155+N198+N241+N284+N327+N370+N413+N456</f>
        <v/>
      </c>
      <c r="O493" s="189">
        <f>O69+O112+O155+O198+O241+O284+O327+O370+O413+O456</f>
        <v/>
      </c>
      <c r="P493" s="189">
        <f>P69+P112+P155+P198+P241+P284+P327+P370+P413+P456</f>
        <v/>
      </c>
      <c r="Q493" s="189">
        <f>Q69+Q112+Q155+Q198+Q241+Q284+Q327+Q370+Q413+Q456</f>
        <v/>
      </c>
      <c r="R493" s="189">
        <f>R69+R112+R155+R198+R241+R284+R327+R370+R413+R456</f>
        <v/>
      </c>
      <c r="S493" s="10">
        <f>S69+S112+S155+S198+S241+S284+S327+S370+S413+S456</f>
        <v/>
      </c>
      <c r="T493" s="189">
        <f>T69+T112+T155+T198+T241+T284+T327+T370+T413+T456</f>
        <v/>
      </c>
      <c r="U493" s="189">
        <f>U69+U112+U155+U198+U241+U284+U327+U370+U413+U456</f>
        <v/>
      </c>
      <c r="V493" s="189">
        <f>V69+V112+V155+V198+V241+V284+V327+V370+V413+V456</f>
        <v/>
      </c>
      <c r="W493" s="189">
        <f>W69+W112+W155+W198+W241+W284+W327+W370+W413+W456</f>
        <v/>
      </c>
      <c r="X493" s="189">
        <f>X69+X112+X155+X198+X241+X284+X327+X370+X413+X456</f>
        <v/>
      </c>
      <c r="Y493" s="189">
        <f>Y69+Y112+Y155+Y198+Y241+Y284+Y327+Y370+Y413+Y456</f>
        <v/>
      </c>
      <c r="Z493" s="189">
        <f>Z69+Z112+Z155+Z198+Z241+Z284+Z327+Z370+Z413+Z456</f>
        <v/>
      </c>
      <c r="AA493" s="189">
        <f>AA69+AA112+AA155+AA198+AA241+AA284+AA327+AA370+AA413+AA456</f>
        <v/>
      </c>
      <c r="AB493" s="189">
        <f>AB69+AB112+AB155+AB198+AB241+AB284+AB327+AB370+AB413+AB456</f>
        <v/>
      </c>
      <c r="AC493" s="189">
        <f>AC69+AC112+AC155+AC198+AC241+AC284+AC327+AC370+AC413+AC456</f>
        <v/>
      </c>
      <c r="AD493" s="189">
        <f>AD69+AD112+AD155+AD198+AD241+AD284+AD327+AD370+AD413+AD456</f>
        <v/>
      </c>
      <c r="AE493" s="189">
        <f>AE69+AE112+AE155+AE198+AE241+AE284+AE327+AE370+AE413+AE456</f>
        <v/>
      </c>
      <c r="AF493" s="189">
        <f>AF69+AF112+AF155+AF198+AF241+AF284+AF327+AF370+AF413+AF456</f>
        <v/>
      </c>
      <c r="AG493" s="189">
        <f>AG69+AG112+AG155+AG198+AG241+AG284+AG327+AG370+AG413+AG456</f>
        <v/>
      </c>
      <c r="AH493" s="189">
        <f>AH69+AH112+AH155+AH198+AH241+AH284+AH327+AH370+AH413+AH456</f>
        <v/>
      </c>
      <c r="AI493" s="51" t="inlineStr">
        <is>
          <t>U6θ</t>
        </is>
      </c>
    </row>
    <row r="494">
      <c r="B494" s="189">
        <f>B70+B113+B156+B199+B242+B285+B328+B371+B414+B457</f>
        <v/>
      </c>
      <c r="C494" s="189">
        <f>C70+C113+C156+C199+C242+C285+C328+C371+C414+C457</f>
        <v/>
      </c>
      <c r="D494" s="189">
        <f>D70+D113+D156+D199+D242+D285+D328+D371+D414+D457</f>
        <v/>
      </c>
      <c r="E494" s="189">
        <f>E70+E113+E156+E199+E242+E285+E328+E371+E414+E457</f>
        <v/>
      </c>
      <c r="F494" s="189">
        <f>F70+F113+F156+F199+F242+F285+F328+F371+F414+F457</f>
        <v/>
      </c>
      <c r="G494" s="189">
        <f>G70+G113+G156+G199+G242+G285+G328+G371+G414+G457</f>
        <v/>
      </c>
      <c r="H494" s="189">
        <f>H70+H113+H156+H199+H242+H285+H328+H371+H414+H457</f>
        <v/>
      </c>
      <c r="I494" s="189">
        <f>I70+I113+I156+I199+I242+I285+I328+I371+I414+I457</f>
        <v/>
      </c>
      <c r="J494" s="189">
        <f>J70+J113+J156+J199+J242+J285+J328+J371+J414+J457</f>
        <v/>
      </c>
      <c r="K494" s="189">
        <f>K70+K113+K156+K199+K242+K285+K328+K371+K414+K457</f>
        <v/>
      </c>
      <c r="L494" s="189">
        <f>L70+L113+L156+L199+L242+L285+L328+L371+L414+L457</f>
        <v/>
      </c>
      <c r="M494" s="189">
        <f>M70+M113+M156+M199+M242+M285+M328+M371+M414+M457</f>
        <v/>
      </c>
      <c r="N494" s="189">
        <f>N70+N113+N156+N199+N242+N285+N328+N371+N414+N457</f>
        <v/>
      </c>
      <c r="O494" s="189">
        <f>O70+O113+O156+O199+O242+O285+O328+O371+O414+O457</f>
        <v/>
      </c>
      <c r="P494" s="189">
        <f>P70+P113+P156+P199+P242+P285+P328+P371+P414+P457</f>
        <v/>
      </c>
      <c r="Q494" s="189">
        <f>Q70+Q113+Q156+Q199+Q242+Q285+Q328+Q371+Q414+Q457</f>
        <v/>
      </c>
      <c r="R494" s="189">
        <f>R70+R113+R156+R199+R242+R285+R328+R371+R414+R457</f>
        <v/>
      </c>
      <c r="S494" s="189">
        <f>S70+S113+S156+S199+S242+S285+S328+S371+S414+S457</f>
        <v/>
      </c>
      <c r="T494" s="10">
        <f>T70+T113+T156+T199+T242+T285+T328+T371+T414+T457</f>
        <v/>
      </c>
      <c r="U494" s="189">
        <f>U70+U113+U156+U199+U242+U285+U328+U371+U414+U457</f>
        <v/>
      </c>
      <c r="V494" s="189">
        <f>V70+V113+V156+V199+V242+V285+V328+V371+V414+V457</f>
        <v/>
      </c>
      <c r="W494" s="189">
        <f>W70+W113+W156+W199+W242+W285+W328+W371+W414+W457</f>
        <v/>
      </c>
      <c r="X494" s="189">
        <f>X70+X113+X156+X199+X242+X285+X328+X371+X414+X457</f>
        <v/>
      </c>
      <c r="Y494" s="189">
        <f>Y70+Y113+Y156+Y199+Y242+Y285+Y328+Y371+Y414+Y457</f>
        <v/>
      </c>
      <c r="Z494" s="189">
        <f>Z70+Z113+Z156+Z199+Z242+Z285+Z328+Z371+Z414+Z457</f>
        <v/>
      </c>
      <c r="AA494" s="189">
        <f>AA70+AA113+AA156+AA199+AA242+AA285+AA328+AA371+AA414+AA457</f>
        <v/>
      </c>
      <c r="AB494" s="189">
        <f>AB70+AB113+AB156+AB199+AB242+AB285+AB328+AB371+AB414+AB457</f>
        <v/>
      </c>
      <c r="AC494" s="189">
        <f>AC70+AC113+AC156+AC199+AC242+AC285+AC328+AC371+AC414+AC457</f>
        <v/>
      </c>
      <c r="AD494" s="189">
        <f>AD70+AD113+AD156+AD199+AD242+AD285+AD328+AD371+AD414+AD457</f>
        <v/>
      </c>
      <c r="AE494" s="189">
        <f>AE70+AE113+AE156+AE199+AE242+AE285+AE328+AE371+AE414+AE457</f>
        <v/>
      </c>
      <c r="AF494" s="189">
        <f>AF70+AF113+AF156+AF199+AF242+AF285+AF328+AF371+AF414+AF457</f>
        <v/>
      </c>
      <c r="AG494" s="189">
        <f>AG70+AG113+AG156+AG199+AG242+AG285+AG328+AG371+AG414+AG457</f>
        <v/>
      </c>
      <c r="AH494" s="189">
        <f>AH70+AH113+AH156+AH199+AH242+AH285+AH328+AH371+AH414+AH457</f>
        <v/>
      </c>
      <c r="AI494" s="51" t="inlineStr">
        <is>
          <t>U7X</t>
        </is>
      </c>
    </row>
    <row r="495">
      <c r="B495" s="189">
        <f>B71+B114+B157+B200+B243+B286+B329+B372+B415+B458</f>
        <v/>
      </c>
      <c r="C495" s="189">
        <f>C71+C114+C157+C200+C243+C286+C329+C372+C415+C458</f>
        <v/>
      </c>
      <c r="D495" s="189">
        <f>D71+D114+D157+D200+D243+D286+D329+D372+D415+D458</f>
        <v/>
      </c>
      <c r="E495" s="189">
        <f>E71+E114+E157+E200+E243+E286+E329+E372+E415+E458</f>
        <v/>
      </c>
      <c r="F495" s="189">
        <f>F71+F114+F157+F200+F243+F286+F329+F372+F415+F458</f>
        <v/>
      </c>
      <c r="G495" s="189">
        <f>G71+G114+G157+G200+G243+G286+G329+G372+G415+G458</f>
        <v/>
      </c>
      <c r="H495" s="189">
        <f>H71+H114+H157+H200+H243+H286+H329+H372+H415+H458</f>
        <v/>
      </c>
      <c r="I495" s="189">
        <f>I71+I114+I157+I200+I243+I286+I329+I372+I415+I458</f>
        <v/>
      </c>
      <c r="J495" s="189">
        <f>J71+J114+J157+J200+J243+J286+J329+J372+J415+J458</f>
        <v/>
      </c>
      <c r="K495" s="189">
        <f>K71+K114+K157+K200+K243+K286+K329+K372+K415+K458</f>
        <v/>
      </c>
      <c r="L495" s="189">
        <f>L71+L114+L157+L200+L243+L286+L329+L372+L415+L458</f>
        <v/>
      </c>
      <c r="M495" s="189">
        <f>M71+M114+M157+M200+M243+M286+M329+M372+M415+M458</f>
        <v/>
      </c>
      <c r="N495" s="189">
        <f>N71+N114+N157+N200+N243+N286+N329+N372+N415+N458</f>
        <v/>
      </c>
      <c r="O495" s="189">
        <f>O71+O114+O157+O200+O243+O286+O329+O372+O415+O458</f>
        <v/>
      </c>
      <c r="P495" s="189">
        <f>P71+P114+P157+P200+P243+P286+P329+P372+P415+P458</f>
        <v/>
      </c>
      <c r="Q495" s="189">
        <f>Q71+Q114+Q157+Q200+Q243+Q286+Q329+Q372+Q415+Q458</f>
        <v/>
      </c>
      <c r="R495" s="189">
        <f>R71+R114+R157+R200+R243+R286+R329+R372+R415+R458</f>
        <v/>
      </c>
      <c r="S495" s="189">
        <f>S71+S114+S157+S200+S243+S286+S329+S372+S415+S458</f>
        <v/>
      </c>
      <c r="T495" s="189">
        <f>T71+T114+T157+T200+T243+T286+T329+T372+T415+T458</f>
        <v/>
      </c>
      <c r="U495" s="10">
        <f>U71+U114+U157+U200+U243+U286+U329+U372+U415+U458</f>
        <v/>
      </c>
      <c r="V495" s="189">
        <f>V71+V114+V157+V200+V243+V286+V329+V372+V415+V458</f>
        <v/>
      </c>
      <c r="W495" s="189">
        <f>W71+W114+W157+W200+W243+W286+W329+W372+W415+W458</f>
        <v/>
      </c>
      <c r="X495" s="189">
        <f>X71+X114+X157+X200+X243+X286+X329+X372+X415+X458</f>
        <v/>
      </c>
      <c r="Y495" s="189">
        <f>Y71+Y114+Y157+Y200+Y243+Y286+Y329+Y372+Y415+Y458</f>
        <v/>
      </c>
      <c r="Z495" s="189">
        <f>Z71+Z114+Z157+Z200+Z243+Z286+Z329+Z372+Z415+Z458</f>
        <v/>
      </c>
      <c r="AA495" s="189">
        <f>AA71+AA114+AA157+AA200+AA243+AA286+AA329+AA372+AA415+AA458</f>
        <v/>
      </c>
      <c r="AB495" s="189">
        <f>AB71+AB114+AB157+AB200+AB243+AB286+AB329+AB372+AB415+AB458</f>
        <v/>
      </c>
      <c r="AC495" s="189">
        <f>AC71+AC114+AC157+AC200+AC243+AC286+AC329+AC372+AC415+AC458</f>
        <v/>
      </c>
      <c r="AD495" s="189">
        <f>AD71+AD114+AD157+AD200+AD243+AD286+AD329+AD372+AD415+AD458</f>
        <v/>
      </c>
      <c r="AE495" s="189">
        <f>AE71+AE114+AE157+AE200+AE243+AE286+AE329+AE372+AE415+AE458</f>
        <v/>
      </c>
      <c r="AF495" s="189">
        <f>AF71+AF114+AF157+AF200+AF243+AF286+AF329+AF372+AF415+AF458</f>
        <v/>
      </c>
      <c r="AG495" s="189">
        <f>AG71+AG114+AG157+AG200+AG243+AG286+AG329+AG372+AG415+AG458</f>
        <v/>
      </c>
      <c r="AH495" s="189">
        <f>AH71+AH114+AH157+AH200+AH243+AH286+AH329+AH372+AH415+AH458</f>
        <v/>
      </c>
      <c r="AI495" s="51" t="inlineStr">
        <is>
          <t>U7Y</t>
        </is>
      </c>
    </row>
    <row r="496">
      <c r="B496" s="189">
        <f>B72+B115+B158+B201+B244+B287+B330+B373+B416+B459</f>
        <v/>
      </c>
      <c r="C496" s="189">
        <f>C72+C115+C158+C201+C244+C287+C330+C373+C416+C459</f>
        <v/>
      </c>
      <c r="D496" s="189">
        <f>D72+D115+D158+D201+D244+D287+D330+D373+D416+D459</f>
        <v/>
      </c>
      <c r="E496" s="189">
        <f>E72+E115+E158+E201+E244+E287+E330+E373+E416+E459</f>
        <v/>
      </c>
      <c r="F496" s="189">
        <f>F72+F115+F158+F201+F244+F287+F330+F373+F416+F459</f>
        <v/>
      </c>
      <c r="G496" s="189">
        <f>G72+G115+G158+G201+G244+G287+G330+G373+G416+G459</f>
        <v/>
      </c>
      <c r="H496" s="189">
        <f>H72+H115+H158+H201+H244+H287+H330+H373+H416+H459</f>
        <v/>
      </c>
      <c r="I496" s="189">
        <f>I72+I115+I158+I201+I244+I287+I330+I373+I416+I459</f>
        <v/>
      </c>
      <c r="J496" s="189">
        <f>J72+J115+J158+J201+J244+J287+J330+J373+J416+J459</f>
        <v/>
      </c>
      <c r="K496" s="189">
        <f>K72+K115+K158+K201+K244+K287+K330+K373+K416+K459</f>
        <v/>
      </c>
      <c r="L496" s="189">
        <f>L72+L115+L158+L201+L244+L287+L330+L373+L416+L459</f>
        <v/>
      </c>
      <c r="M496" s="189">
        <f>M72+M115+M158+M201+M244+M287+M330+M373+M416+M459</f>
        <v/>
      </c>
      <c r="N496" s="189">
        <f>N72+N115+N158+N201+N244+N287+N330+N373+N416+N459</f>
        <v/>
      </c>
      <c r="O496" s="189">
        <f>O72+O115+O158+O201+O244+O287+O330+O373+O416+O459</f>
        <v/>
      </c>
      <c r="P496" s="189">
        <f>P72+P115+P158+P201+P244+P287+P330+P373+P416+P459</f>
        <v/>
      </c>
      <c r="Q496" s="189">
        <f>Q72+Q115+Q158+Q201+Q244+Q287+Q330+Q373+Q416+Q459</f>
        <v/>
      </c>
      <c r="R496" s="189">
        <f>R72+R115+R158+R201+R244+R287+R330+R373+R416+R459</f>
        <v/>
      </c>
      <c r="S496" s="189">
        <f>S72+S115+S158+S201+S244+S287+S330+S373+S416+S459</f>
        <v/>
      </c>
      <c r="T496" s="189">
        <f>T72+T115+T158+T201+T244+T287+T330+T373+T416+T459</f>
        <v/>
      </c>
      <c r="U496" s="189">
        <f>U72+U115+U158+U201+U244+U287+U330+U373+U416+U459</f>
        <v/>
      </c>
      <c r="V496" s="10">
        <f>V72+V115+V158+V201+V244+V287+V330+V373+V416+V459</f>
        <v/>
      </c>
      <c r="W496" s="189">
        <f>W72+W115+W158+W201+W244+W287+W330+W373+W416+W459</f>
        <v/>
      </c>
      <c r="X496" s="189">
        <f>X72+X115+X158+X201+X244+X287+X330+X373+X416+X459</f>
        <v/>
      </c>
      <c r="Y496" s="189">
        <f>Y72+Y115+Y158+Y201+Y244+Y287+Y330+Y373+Y416+Y459</f>
        <v/>
      </c>
      <c r="Z496" s="189">
        <f>Z72+Z115+Z158+Z201+Z244+Z287+Z330+Z373+Z416+Z459</f>
        <v/>
      </c>
      <c r="AA496" s="189">
        <f>AA72+AA115+AA158+AA201+AA244+AA287+AA330+AA373+AA416+AA459</f>
        <v/>
      </c>
      <c r="AB496" s="189">
        <f>AB72+AB115+AB158+AB201+AB244+AB287+AB330+AB373+AB416+AB459</f>
        <v/>
      </c>
      <c r="AC496" s="189">
        <f>AC72+AC115+AC158+AC201+AC244+AC287+AC330+AC373+AC416+AC459</f>
        <v/>
      </c>
      <c r="AD496" s="189">
        <f>AD72+AD115+AD158+AD201+AD244+AD287+AD330+AD373+AD416+AD459</f>
        <v/>
      </c>
      <c r="AE496" s="189">
        <f>AE72+AE115+AE158+AE201+AE244+AE287+AE330+AE373+AE416+AE459</f>
        <v/>
      </c>
      <c r="AF496" s="189">
        <f>AF72+AF115+AF158+AF201+AF244+AF287+AF330+AF373+AF416+AF459</f>
        <v/>
      </c>
      <c r="AG496" s="189">
        <f>AG72+AG115+AG158+AG201+AG244+AG287+AG330+AG373+AG416+AG459</f>
        <v/>
      </c>
      <c r="AH496" s="189">
        <f>AH72+AH115+AH158+AH201+AH244+AH287+AH330+AH373+AH416+AH459</f>
        <v/>
      </c>
      <c r="AI496" s="51" t="inlineStr">
        <is>
          <t>U7θ</t>
        </is>
      </c>
    </row>
    <row r="497">
      <c r="B497" s="189">
        <f>B73+B116+B159+B202+B245+B288+B331+B374+B417+B460</f>
        <v/>
      </c>
      <c r="C497" s="189">
        <f>C73+C116+C159+C202+C245+C288+C331+C374+C417+C460</f>
        <v/>
      </c>
      <c r="D497" s="189">
        <f>D73+D116+D159+D202+D245+D288+D331+D374+D417+D460</f>
        <v/>
      </c>
      <c r="E497" s="189">
        <f>E73+E116+E159+E202+E245+E288+E331+E374+E417+E460</f>
        <v/>
      </c>
      <c r="F497" s="189">
        <f>F73+F116+F159+F202+F245+F288+F331+F374+F417+F460</f>
        <v/>
      </c>
      <c r="G497" s="189">
        <f>G73+G116+G159+G202+G245+G288+G331+G374+G417+G460</f>
        <v/>
      </c>
      <c r="H497" s="189">
        <f>H73+H116+H159+H202+H245+H288+H331+H374+H417+H460</f>
        <v/>
      </c>
      <c r="I497" s="189">
        <f>I73+I116+I159+I202+I245+I288+I331+I374+I417+I460</f>
        <v/>
      </c>
      <c r="J497" s="189">
        <f>J73+J116+J159+J202+J245+J288+J331+J374+J417+J460</f>
        <v/>
      </c>
      <c r="K497" s="189">
        <f>K73+K116+K159+K202+K245+K288+K331+K374+K417+K460</f>
        <v/>
      </c>
      <c r="L497" s="189">
        <f>L73+L116+L159+L202+L245+L288+L331+L374+L417+L460</f>
        <v/>
      </c>
      <c r="M497" s="189">
        <f>M73+M116+M159+M202+M245+M288+M331+M374+M417+M460</f>
        <v/>
      </c>
      <c r="N497" s="189">
        <f>N73+N116+N159+N202+N245+N288+N331+N374+N417+N460</f>
        <v/>
      </c>
      <c r="O497" s="189">
        <f>O73+O116+O159+O202+O245+O288+O331+O374+O417+O460</f>
        <v/>
      </c>
      <c r="P497" s="189">
        <f>P73+P116+P159+P202+P245+P288+P331+P374+P417+P460</f>
        <v/>
      </c>
      <c r="Q497" s="189">
        <f>Q73+Q116+Q159+Q202+Q245+Q288+Q331+Q374+Q417+Q460</f>
        <v/>
      </c>
      <c r="R497" s="189">
        <f>R73+R116+R159+R202+R245+R288+R331+R374+R417+R460</f>
        <v/>
      </c>
      <c r="S497" s="189">
        <f>S73+S116+S159+S202+S245+S288+S331+S374+S417+S460</f>
        <v/>
      </c>
      <c r="T497" s="189">
        <f>T73+T116+T159+T202+T245+T288+T331+T374+T417+T460</f>
        <v/>
      </c>
      <c r="U497" s="189">
        <f>U73+U116+U159+U202+U245+U288+U331+U374+U417+U460</f>
        <v/>
      </c>
      <c r="V497" s="189">
        <f>V73+V116+V159+V202+V245+V288+V331+V374+V417+V460</f>
        <v/>
      </c>
      <c r="W497" s="10">
        <f>W73+W116+W159+W202+W245+W288+W331+W374+W417+W460</f>
        <v/>
      </c>
      <c r="X497" s="189">
        <f>X73+X116+X159+X202+X245+X288+X331+X374+X417+X460</f>
        <v/>
      </c>
      <c r="Y497" s="189">
        <f>Y73+Y116+Y159+Y202+Y245+Y288+Y331+Y374+Y417+Y460</f>
        <v/>
      </c>
      <c r="Z497" s="189">
        <f>Z73+Z116+Z159+Z202+Z245+Z288+Z331+Z374+Z417+Z460</f>
        <v/>
      </c>
      <c r="AA497" s="189">
        <f>AA73+AA116+AA159+AA202+AA245+AA288+AA331+AA374+AA417+AA460</f>
        <v/>
      </c>
      <c r="AB497" s="189">
        <f>AB73+AB116+AB159+AB202+AB245+AB288+AB331+AB374+AB417+AB460</f>
        <v/>
      </c>
      <c r="AC497" s="189">
        <f>AC73+AC116+AC159+AC202+AC245+AC288+AC331+AC374+AC417+AC460</f>
        <v/>
      </c>
      <c r="AD497" s="189">
        <f>AD73+AD116+AD159+AD202+AD245+AD288+AD331+AD374+AD417+AD460</f>
        <v/>
      </c>
      <c r="AE497" s="189">
        <f>AE73+AE116+AE159+AE202+AE245+AE288+AE331+AE374+AE417+AE460</f>
        <v/>
      </c>
      <c r="AF497" s="189">
        <f>AF73+AF116+AF159+AF202+AF245+AF288+AF331+AF374+AF417+AF460</f>
        <v/>
      </c>
      <c r="AG497" s="189">
        <f>AG73+AG116+AG159+AG202+AG245+AG288+AG331+AG374+AG417+AG460</f>
        <v/>
      </c>
      <c r="AH497" s="189">
        <f>AH73+AH116+AH159+AH202+AH245+AH288+AH331+AH374+AH417+AH460</f>
        <v/>
      </c>
      <c r="AI497" s="51" t="inlineStr">
        <is>
          <t>U8X</t>
        </is>
      </c>
    </row>
    <row r="498">
      <c r="B498" s="189">
        <f>B74+B117+B160+B203+B246+B289+B332+B375+B418+B461</f>
        <v/>
      </c>
      <c r="C498" s="189">
        <f>C74+C117+C160+C203+C246+C289+C332+C375+C418+C461</f>
        <v/>
      </c>
      <c r="D498" s="189">
        <f>D74+D117+D160+D203+D246+D289+D332+D375+D418+D461</f>
        <v/>
      </c>
      <c r="E498" s="189">
        <f>E74+E117+E160+E203+E246+E289+E332+E375+E418+E461</f>
        <v/>
      </c>
      <c r="F498" s="189">
        <f>F74+F117+F160+F203+F246+F289+F332+F375+F418+F461</f>
        <v/>
      </c>
      <c r="G498" s="189">
        <f>G74+G117+G160+G203+G246+G289+G332+G375+G418+G461</f>
        <v/>
      </c>
      <c r="H498" s="189">
        <f>H74+H117+H160+H203+H246+H289+H332+H375+H418+H461</f>
        <v/>
      </c>
      <c r="I498" s="189">
        <f>I74+I117+I160+I203+I246+I289+I332+I375+I418+I461</f>
        <v/>
      </c>
      <c r="J498" s="189">
        <f>J74+J117+J160+J203+J246+J289+J332+J375+J418+J461</f>
        <v/>
      </c>
      <c r="K498" s="189">
        <f>K74+K117+K160+K203+K246+K289+K332+K375+K418+K461</f>
        <v/>
      </c>
      <c r="L498" s="189">
        <f>L74+L117+L160+L203+L246+L289+L332+L375+L418+L461</f>
        <v/>
      </c>
      <c r="M498" s="189">
        <f>M74+M117+M160+M203+M246+M289+M332+M375+M418+M461</f>
        <v/>
      </c>
      <c r="N498" s="189">
        <f>N74+N117+N160+N203+N246+N289+N332+N375+N418+N461</f>
        <v/>
      </c>
      <c r="O498" s="189">
        <f>O74+O117+O160+O203+O246+O289+O332+O375+O418+O461</f>
        <v/>
      </c>
      <c r="P498" s="189">
        <f>P74+P117+P160+P203+P246+P289+P332+P375+P418+P461</f>
        <v/>
      </c>
      <c r="Q498" s="189">
        <f>Q74+Q117+Q160+Q203+Q246+Q289+Q332+Q375+Q418+Q461</f>
        <v/>
      </c>
      <c r="R498" s="189">
        <f>R74+R117+R160+R203+R246+R289+R332+R375+R418+R461</f>
        <v/>
      </c>
      <c r="S498" s="189">
        <f>S74+S117+S160+S203+S246+S289+S332+S375+S418+S461</f>
        <v/>
      </c>
      <c r="T498" s="189">
        <f>T74+T117+T160+T203+T246+T289+T332+T375+T418+T461</f>
        <v/>
      </c>
      <c r="U498" s="189">
        <f>U74+U117+U160+U203+U246+U289+U332+U375+U418+U461</f>
        <v/>
      </c>
      <c r="V498" s="189">
        <f>V74+V117+V160+V203+V246+V289+V332+V375+V418+V461</f>
        <v/>
      </c>
      <c r="W498" s="189">
        <f>W74+W117+W160+W203+W246+W289+W332+W375+W418+W461</f>
        <v/>
      </c>
      <c r="X498" s="10">
        <f>X74+X117+X160+X203+X246+X289+X332+X375+X418+X461</f>
        <v/>
      </c>
      <c r="Y498" s="189">
        <f>Y74+Y117+Y160+Y203+Y246+Y289+Y332+Y375+Y418+Y461</f>
        <v/>
      </c>
      <c r="Z498" s="189">
        <f>Z74+Z117+Z160+Z203+Z246+Z289+Z332+Z375+Z418+Z461</f>
        <v/>
      </c>
      <c r="AA498" s="189">
        <f>AA74+AA117+AA160+AA203+AA246+AA289+AA332+AA375+AA418+AA461</f>
        <v/>
      </c>
      <c r="AB498" s="189">
        <f>AB74+AB117+AB160+AB203+AB246+AB289+AB332+AB375+AB418+AB461</f>
        <v/>
      </c>
      <c r="AC498" s="189">
        <f>AC74+AC117+AC160+AC203+AC246+AC289+AC332+AC375+AC418+AC461</f>
        <v/>
      </c>
      <c r="AD498" s="189">
        <f>AD74+AD117+AD160+AD203+AD246+AD289+AD332+AD375+AD418+AD461</f>
        <v/>
      </c>
      <c r="AE498" s="189">
        <f>AE74+AE117+AE160+AE203+AE246+AE289+AE332+AE375+AE418+AE461</f>
        <v/>
      </c>
      <c r="AF498" s="189">
        <f>AF74+AF117+AF160+AF203+AF246+AF289+AF332+AF375+AF418+AF461</f>
        <v/>
      </c>
      <c r="AG498" s="189">
        <f>AG74+AG117+AG160+AG203+AG246+AG289+AG332+AG375+AG418+AG461</f>
        <v/>
      </c>
      <c r="AH498" s="189">
        <f>AH74+AH117+AH160+AH203+AH246+AH289+AH332+AH375+AH418+AH461</f>
        <v/>
      </c>
      <c r="AI498" s="51" t="inlineStr">
        <is>
          <t>U8Y</t>
        </is>
      </c>
    </row>
    <row r="499">
      <c r="B499" s="189">
        <f>B75+B118+B161+B204+B247+B290+B333+B376+B419+B462</f>
        <v/>
      </c>
      <c r="C499" s="189">
        <f>C75+C118+C161+C204+C247+C290+C333+C376+C419+C462</f>
        <v/>
      </c>
      <c r="D499" s="189">
        <f>D75+D118+D161+D204+D247+D290+D333+D376+D419+D462</f>
        <v/>
      </c>
      <c r="E499" s="189">
        <f>E75+E118+E161+E204+E247+E290+E333+E376+E419+E462</f>
        <v/>
      </c>
      <c r="F499" s="189">
        <f>F75+F118+F161+F204+F247+F290+F333+F376+F419+F462</f>
        <v/>
      </c>
      <c r="G499" s="189">
        <f>G75+G118+G161+G204+G247+G290+G333+G376+G419+G462</f>
        <v/>
      </c>
      <c r="H499" s="189">
        <f>H75+H118+H161+H204+H247+H290+H333+H376+H419+H462</f>
        <v/>
      </c>
      <c r="I499" s="189">
        <f>I75+I118+I161+I204+I247+I290+I333+I376+I419+I462</f>
        <v/>
      </c>
      <c r="J499" s="189">
        <f>J75+J118+J161+J204+J247+J290+J333+J376+J419+J462</f>
        <v/>
      </c>
      <c r="K499" s="189">
        <f>K75+K118+K161+K204+K247+K290+K333+K376+K419+K462</f>
        <v/>
      </c>
      <c r="L499" s="189">
        <f>L75+L118+L161+L204+L247+L290+L333+L376+L419+L462</f>
        <v/>
      </c>
      <c r="M499" s="189">
        <f>M75+M118+M161+M204+M247+M290+M333+M376+M419+M462</f>
        <v/>
      </c>
      <c r="N499" s="189">
        <f>N75+N118+N161+N204+N247+N290+N333+N376+N419+N462</f>
        <v/>
      </c>
      <c r="O499" s="189">
        <f>O75+O118+O161+O204+O247+O290+O333+O376+O419+O462</f>
        <v/>
      </c>
      <c r="P499" s="189">
        <f>P75+P118+P161+P204+P247+P290+P333+P376+P419+P462</f>
        <v/>
      </c>
      <c r="Q499" s="189">
        <f>Q75+Q118+Q161+Q204+Q247+Q290+Q333+Q376+Q419+Q462</f>
        <v/>
      </c>
      <c r="R499" s="189">
        <f>R75+R118+R161+R204+R247+R290+R333+R376+R419+R462</f>
        <v/>
      </c>
      <c r="S499" s="189">
        <f>S75+S118+S161+S204+S247+S290+S333+S376+S419+S462</f>
        <v/>
      </c>
      <c r="T499" s="189">
        <f>T75+T118+T161+T204+T247+T290+T333+T376+T419+T462</f>
        <v/>
      </c>
      <c r="U499" s="189">
        <f>U75+U118+U161+U204+U247+U290+U333+U376+U419+U462</f>
        <v/>
      </c>
      <c r="V499" s="189">
        <f>V75+V118+V161+V204+V247+V290+V333+V376+V419+V462</f>
        <v/>
      </c>
      <c r="W499" s="189">
        <f>W75+W118+W161+W204+W247+W290+W333+W376+W419+W462</f>
        <v/>
      </c>
      <c r="X499" s="189">
        <f>X75+X118+X161+X204+X247+X290+X333+X376+X419+X462</f>
        <v/>
      </c>
      <c r="Y499" s="10">
        <f>Y75+Y118+Y161+Y204+Y247+Y290+Y333+Y376+Y419+Y462</f>
        <v/>
      </c>
      <c r="Z499" s="189">
        <f>Z75+Z118+Z161+Z204+Z247+Z290+Z333+Z376+Z419+Z462</f>
        <v/>
      </c>
      <c r="AA499" s="189">
        <f>AA75+AA118+AA161+AA204+AA247+AA290+AA333+AA376+AA419+AA462</f>
        <v/>
      </c>
      <c r="AB499" s="189">
        <f>AB75+AB118+AB161+AB204+AB247+AB290+AB333+AB376+AB419+AB462</f>
        <v/>
      </c>
      <c r="AC499" s="189">
        <f>AC75+AC118+AC161+AC204+AC247+AC290+AC333+AC376+AC419+AC462</f>
        <v/>
      </c>
      <c r="AD499" s="189">
        <f>AD75+AD118+AD161+AD204+AD247+AD290+AD333+AD376+AD419+AD462</f>
        <v/>
      </c>
      <c r="AE499" s="189">
        <f>AE75+AE118+AE161+AE204+AE247+AE290+AE333+AE376+AE419+AE462</f>
        <v/>
      </c>
      <c r="AF499" s="189">
        <f>AF75+AF118+AF161+AF204+AF247+AF290+AF333+AF376+AF419+AF462</f>
        <v/>
      </c>
      <c r="AG499" s="189">
        <f>AG75+AG118+AG161+AG204+AG247+AG290+AG333+AG376+AG419+AG462</f>
        <v/>
      </c>
      <c r="AH499" s="189">
        <f>AH75+AH118+AH161+AH204+AH247+AH290+AH333+AH376+AH419+AH462</f>
        <v/>
      </c>
      <c r="AI499" s="51" t="inlineStr">
        <is>
          <t>U8θ</t>
        </is>
      </c>
    </row>
    <row r="500">
      <c r="B500" s="189">
        <f>B76+B119+B162+B205+B248+B291+B334+B377+B420+B463</f>
        <v/>
      </c>
      <c r="C500" s="189">
        <f>C76+C119+C162+C205+C248+C291+C334+C377+C420+C463</f>
        <v/>
      </c>
      <c r="D500" s="189">
        <f>D76+D119+D162+D205+D248+D291+D334+D377+D420+D463</f>
        <v/>
      </c>
      <c r="E500" s="189">
        <f>E76+E119+E162+E205+E248+E291+E334+E377+E420+E463</f>
        <v/>
      </c>
      <c r="F500" s="189">
        <f>F76+F119+F162+F205+F248+F291+F334+F377+F420+F463</f>
        <v/>
      </c>
      <c r="G500" s="189">
        <f>G76+G119+G162+G205+G248+G291+G334+G377+G420+G463</f>
        <v/>
      </c>
      <c r="H500" s="189">
        <f>H76+H119+H162+H205+H248+H291+H334+H377+H420+H463</f>
        <v/>
      </c>
      <c r="I500" s="189">
        <f>I76+I119+I162+I205+I248+I291+I334+I377+I420+I463</f>
        <v/>
      </c>
      <c r="J500" s="189">
        <f>J76+J119+J162+J205+J248+J291+J334+J377+J420+J463</f>
        <v/>
      </c>
      <c r="K500" s="189">
        <f>K76+K119+K162+K205+K248+K291+K334+K377+K420+K463</f>
        <v/>
      </c>
      <c r="L500" s="189">
        <f>L76+L119+L162+L205+L248+L291+L334+L377+L420+L463</f>
        <v/>
      </c>
      <c r="M500" s="189">
        <f>M76+M119+M162+M205+M248+M291+M334+M377+M420+M463</f>
        <v/>
      </c>
      <c r="N500" s="189">
        <f>N76+N119+N162+N205+N248+N291+N334+N377+N420+N463</f>
        <v/>
      </c>
      <c r="O500" s="189">
        <f>O76+O119+O162+O205+O248+O291+O334+O377+O420+O463</f>
        <v/>
      </c>
      <c r="P500" s="189">
        <f>P76+P119+P162+P205+P248+P291+P334+P377+P420+P463</f>
        <v/>
      </c>
      <c r="Q500" s="189">
        <f>Q76+Q119+Q162+Q205+Q248+Q291+Q334+Q377+Q420+Q463</f>
        <v/>
      </c>
      <c r="R500" s="189">
        <f>R76+R119+R162+R205+R248+R291+R334+R377+R420+R463</f>
        <v/>
      </c>
      <c r="S500" s="189">
        <f>S76+S119+S162+S205+S248+S291+S334+S377+S420+S463</f>
        <v/>
      </c>
      <c r="T500" s="189">
        <f>T76+T119+T162+T205+T248+T291+T334+T377+T420+T463</f>
        <v/>
      </c>
      <c r="U500" s="189">
        <f>U76+U119+U162+U205+U248+U291+U334+U377+U420+U463</f>
        <v/>
      </c>
      <c r="V500" s="189">
        <f>V76+V119+V162+V205+V248+V291+V334+V377+V420+V463</f>
        <v/>
      </c>
      <c r="W500" s="189">
        <f>W76+W119+W162+W205+W248+W291+W334+W377+W420+W463</f>
        <v/>
      </c>
      <c r="X500" s="189">
        <f>X76+X119+X162+X205+X248+X291+X334+X377+X420+X463</f>
        <v/>
      </c>
      <c r="Y500" s="189">
        <f>Y76+Y119+Y162+Y205+Y248+Y291+Y334+Y377+Y420+Y463</f>
        <v/>
      </c>
      <c r="Z500" s="10">
        <f>Z76+Z119+Z162+Z205+Z248+Z291+Z334+Z377+Z420+Z463</f>
        <v/>
      </c>
      <c r="AA500" s="189">
        <f>AA76+AA119+AA162+AA205+AA248+AA291+AA334+AA377+AA420+AA463</f>
        <v/>
      </c>
      <c r="AB500" s="189">
        <f>AB76+AB119+AB162+AB205+AB248+AB291+AB334+AB377+AB420+AB463</f>
        <v/>
      </c>
      <c r="AC500" s="189">
        <f>AC76+AC119+AC162+AC205+AC248+AC291+AC334+AC377+AC420+AC463</f>
        <v/>
      </c>
      <c r="AD500" s="189">
        <f>AD76+AD119+AD162+AD205+AD248+AD291+AD334+AD377+AD420+AD463</f>
        <v/>
      </c>
      <c r="AE500" s="189">
        <f>AE76+AE119+AE162+AE205+AE248+AE291+AE334+AE377+AE420+AE463</f>
        <v/>
      </c>
      <c r="AF500" s="189">
        <f>AF76+AF119+AF162+AF205+AF248+AF291+AF334+AF377+AF420+AF463</f>
        <v/>
      </c>
      <c r="AG500" s="189">
        <f>AG76+AG119+AG162+AG205+AG248+AG291+AG334+AG377+AG420+AG463</f>
        <v/>
      </c>
      <c r="AH500" s="189">
        <f>AH76+AH119+AH162+AH205+AH248+AH291+AH334+AH377+AH420+AH463</f>
        <v/>
      </c>
      <c r="AI500" s="51" t="inlineStr">
        <is>
          <t>U9X</t>
        </is>
      </c>
    </row>
    <row r="501">
      <c r="B501" s="189">
        <f>B77+B120+B163+B206+B249+B292+B335+B378+B421+B464</f>
        <v/>
      </c>
      <c r="C501" s="189">
        <f>C77+C120+C163+C206+C249+C292+C335+C378+C421+C464</f>
        <v/>
      </c>
      <c r="D501" s="189">
        <f>D77+D120+D163+D206+D249+D292+D335+D378+D421+D464</f>
        <v/>
      </c>
      <c r="E501" s="189">
        <f>E77+E120+E163+E206+E249+E292+E335+E378+E421+E464</f>
        <v/>
      </c>
      <c r="F501" s="189">
        <f>F77+F120+F163+F206+F249+F292+F335+F378+F421+F464</f>
        <v/>
      </c>
      <c r="G501" s="189">
        <f>G77+G120+G163+G206+G249+G292+G335+G378+G421+G464</f>
        <v/>
      </c>
      <c r="H501" s="189">
        <f>H77+H120+H163+H206+H249+H292+H335+H378+H421+H464</f>
        <v/>
      </c>
      <c r="I501" s="189">
        <f>I77+I120+I163+I206+I249+I292+I335+I378+I421+I464</f>
        <v/>
      </c>
      <c r="J501" s="189">
        <f>J77+J120+J163+J206+J249+J292+J335+J378+J421+J464</f>
        <v/>
      </c>
      <c r="K501" s="189">
        <f>K77+K120+K163+K206+K249+K292+K335+K378+K421+K464</f>
        <v/>
      </c>
      <c r="L501" s="189">
        <f>L77+L120+L163+L206+L249+L292+L335+L378+L421+L464</f>
        <v/>
      </c>
      <c r="M501" s="189">
        <f>M77+M120+M163+M206+M249+M292+M335+M378+M421+M464</f>
        <v/>
      </c>
      <c r="N501" s="189">
        <f>N77+N120+N163+N206+N249+N292+N335+N378+N421+N464</f>
        <v/>
      </c>
      <c r="O501" s="189">
        <f>O77+O120+O163+O206+O249+O292+O335+O378+O421+O464</f>
        <v/>
      </c>
      <c r="P501" s="189">
        <f>P77+P120+P163+P206+P249+P292+P335+P378+P421+P464</f>
        <v/>
      </c>
      <c r="Q501" s="189">
        <f>Q77+Q120+Q163+Q206+Q249+Q292+Q335+Q378+Q421+Q464</f>
        <v/>
      </c>
      <c r="R501" s="189">
        <f>R77+R120+R163+R206+R249+R292+R335+R378+R421+R464</f>
        <v/>
      </c>
      <c r="S501" s="189">
        <f>S77+S120+S163+S206+S249+S292+S335+S378+S421+S464</f>
        <v/>
      </c>
      <c r="T501" s="189">
        <f>T77+T120+T163+T206+T249+T292+T335+T378+T421+T464</f>
        <v/>
      </c>
      <c r="U501" s="189">
        <f>U77+U120+U163+U206+U249+U292+U335+U378+U421+U464</f>
        <v/>
      </c>
      <c r="V501" s="189">
        <f>V77+V120+V163+V206+V249+V292+V335+V378+V421+V464</f>
        <v/>
      </c>
      <c r="W501" s="189">
        <f>W77+W120+W163+W206+W249+W292+W335+W378+W421+W464</f>
        <v/>
      </c>
      <c r="X501" s="189">
        <f>X77+X120+X163+X206+X249+X292+X335+X378+X421+X464</f>
        <v/>
      </c>
      <c r="Y501" s="189">
        <f>Y77+Y120+Y163+Y206+Y249+Y292+Y335+Y378+Y421+Y464</f>
        <v/>
      </c>
      <c r="Z501" s="189">
        <f>Z77+Z120+Z163+Z206+Z249+Z292+Z335+Z378+Z421+Z464</f>
        <v/>
      </c>
      <c r="AA501" s="10">
        <f>AA77+AA120+AA163+AA206+AA249+AA292+AA335+AA378+AA421+AA464</f>
        <v/>
      </c>
      <c r="AB501" s="189">
        <f>AB77+AB120+AB163+AB206+AB249+AB292+AB335+AB378+AB421+AB464</f>
        <v/>
      </c>
      <c r="AC501" s="189">
        <f>AC77+AC120+AC163+AC206+AC249+AC292+AC335+AC378+AC421+AC464</f>
        <v/>
      </c>
      <c r="AD501" s="189">
        <f>AD77+AD120+AD163+AD206+AD249+AD292+AD335+AD378+AD421+AD464</f>
        <v/>
      </c>
      <c r="AE501" s="189">
        <f>AE77+AE120+AE163+AE206+AE249+AE292+AE335+AE378+AE421+AE464</f>
        <v/>
      </c>
      <c r="AF501" s="189">
        <f>AF77+AF120+AF163+AF206+AF249+AF292+AF335+AF378+AF421+AF464</f>
        <v/>
      </c>
      <c r="AG501" s="189">
        <f>AG77+AG120+AG163+AG206+AG249+AG292+AG335+AG378+AG421+AG464</f>
        <v/>
      </c>
      <c r="AH501" s="189">
        <f>AH77+AH120+AH163+AH206+AH249+AH292+AH335+AH378+AH421+AH464</f>
        <v/>
      </c>
      <c r="AI501" s="51" t="inlineStr">
        <is>
          <t>U9Y</t>
        </is>
      </c>
    </row>
    <row r="502">
      <c r="B502" s="189">
        <f>B78+B121+B164+B207+B250+B293+B336+B379+B422+B465</f>
        <v/>
      </c>
      <c r="C502" s="189">
        <f>C78+C121+C164+C207+C250+C293+C336+C379+C422+C465</f>
        <v/>
      </c>
      <c r="D502" s="189">
        <f>D78+D121+D164+D207+D250+D293+D336+D379+D422+D465</f>
        <v/>
      </c>
      <c r="E502" s="189">
        <f>E78+E121+E164+E207+E250+E293+E336+E379+E422+E465</f>
        <v/>
      </c>
      <c r="F502" s="189">
        <f>F78+F121+F164+F207+F250+F293+F336+F379+F422+F465</f>
        <v/>
      </c>
      <c r="G502" s="189">
        <f>G78+G121+G164+G207+G250+G293+G336+G379+G422+G465</f>
        <v/>
      </c>
      <c r="H502" s="189">
        <f>H78+H121+H164+H207+H250+H293+H336+H379+H422+H465</f>
        <v/>
      </c>
      <c r="I502" s="189">
        <f>I78+I121+I164+I207+I250+I293+I336+I379+I422+I465</f>
        <v/>
      </c>
      <c r="J502" s="189">
        <f>J78+J121+J164+J207+J250+J293+J336+J379+J422+J465</f>
        <v/>
      </c>
      <c r="K502" s="189">
        <f>K78+K121+K164+K207+K250+K293+K336+K379+K422+K465</f>
        <v/>
      </c>
      <c r="L502" s="189">
        <f>L78+L121+L164+L207+L250+L293+L336+L379+L422+L465</f>
        <v/>
      </c>
      <c r="M502" s="189">
        <f>M78+M121+M164+M207+M250+M293+M336+M379+M422+M465</f>
        <v/>
      </c>
      <c r="N502" s="189">
        <f>N78+N121+N164+N207+N250+N293+N336+N379+N422+N465</f>
        <v/>
      </c>
      <c r="O502" s="189">
        <f>O78+O121+O164+O207+O250+O293+O336+O379+O422+O465</f>
        <v/>
      </c>
      <c r="P502" s="189">
        <f>P78+P121+P164+P207+P250+P293+P336+P379+P422+P465</f>
        <v/>
      </c>
      <c r="Q502" s="189">
        <f>Q78+Q121+Q164+Q207+Q250+Q293+Q336+Q379+Q422+Q465</f>
        <v/>
      </c>
      <c r="R502" s="189">
        <f>R78+R121+R164+R207+R250+R293+R336+R379+R422+R465</f>
        <v/>
      </c>
      <c r="S502" s="189">
        <f>S78+S121+S164+S207+S250+S293+S336+S379+S422+S465</f>
        <v/>
      </c>
      <c r="T502" s="189">
        <f>T78+T121+T164+T207+T250+T293+T336+T379+T422+T465</f>
        <v/>
      </c>
      <c r="U502" s="189">
        <f>U78+U121+U164+U207+U250+U293+U336+U379+U422+U465</f>
        <v/>
      </c>
      <c r="V502" s="189">
        <f>V78+V121+V164+V207+V250+V293+V336+V379+V422+V465</f>
        <v/>
      </c>
      <c r="W502" s="189">
        <f>W78+W121+W164+W207+W250+W293+W336+W379+W422+W465</f>
        <v/>
      </c>
      <c r="X502" s="189">
        <f>X78+X121+X164+X207+X250+X293+X336+X379+X422+X465</f>
        <v/>
      </c>
      <c r="Y502" s="189">
        <f>Y78+Y121+Y164+Y207+Y250+Y293+Y336+Y379+Y422+Y465</f>
        <v/>
      </c>
      <c r="Z502" s="189">
        <f>Z78+Z121+Z164+Z207+Z250+Z293+Z336+Z379+Z422+Z465</f>
        <v/>
      </c>
      <c r="AA502" s="189">
        <f>AA78+AA121+AA164+AA207+AA250+AA293+AA336+AA379+AA422+AA465</f>
        <v/>
      </c>
      <c r="AB502" s="10">
        <f>AB78+AB121+AB164+AB207+AB250+AB293+AB336+AB379+AB422+AB465</f>
        <v/>
      </c>
      <c r="AC502" s="189">
        <f>AC78+AC121+AC164+AC207+AC250+AC293+AC336+AC379+AC422+AC465</f>
        <v/>
      </c>
      <c r="AD502" s="189">
        <f>AD78+AD121+AD164+AD207+AD250+AD293+AD336+AD379+AD422+AD465</f>
        <v/>
      </c>
      <c r="AE502" s="189">
        <f>AE78+AE121+AE164+AE207+AE250+AE293+AE336+AE379+AE422+AE465</f>
        <v/>
      </c>
      <c r="AF502" s="189">
        <f>AF78+AF121+AF164+AF207+AF250+AF293+AF336+AF379+AF422+AF465</f>
        <v/>
      </c>
      <c r="AG502" s="189">
        <f>AG78+AG121+AG164+AG207+AG250+AG293+AG336+AG379+AG422+AG465</f>
        <v/>
      </c>
      <c r="AH502" s="189">
        <f>AH78+AH121+AH164+AH207+AH250+AH293+AH336+AH379+AH422+AH465</f>
        <v/>
      </c>
      <c r="AI502" s="51" t="inlineStr">
        <is>
          <t>U9θ</t>
        </is>
      </c>
    </row>
    <row r="503">
      <c r="B503" s="189">
        <f>B79+B122+B165+B208+B251+B294+B337+B380+B423+B466</f>
        <v/>
      </c>
      <c r="C503" s="189">
        <f>C79+C122+C165+C208+C251+C294+C337+C380+C423+C466</f>
        <v/>
      </c>
      <c r="D503" s="189">
        <f>D79+D122+D165+D208+D251+D294+D337+D380+D423+D466</f>
        <v/>
      </c>
      <c r="E503" s="189">
        <f>E79+E122+E165+E208+E251+E294+E337+E380+E423+E466</f>
        <v/>
      </c>
      <c r="F503" s="189">
        <f>F79+F122+F165+F208+F251+F294+F337+F380+F423+F466</f>
        <v/>
      </c>
      <c r="G503" s="189">
        <f>G79+G122+G165+G208+G251+G294+G337+G380+G423+G466</f>
        <v/>
      </c>
      <c r="H503" s="189">
        <f>H79+H122+H165+H208+H251+H294+H337+H380+H423+H466</f>
        <v/>
      </c>
      <c r="I503" s="189">
        <f>I79+I122+I165+I208+I251+I294+I337+I380+I423+I466</f>
        <v/>
      </c>
      <c r="J503" s="189">
        <f>J79+J122+J165+J208+J251+J294+J337+J380+J423+J466</f>
        <v/>
      </c>
      <c r="K503" s="189">
        <f>K79+K122+K165+K208+K251+K294+K337+K380+K423+K466</f>
        <v/>
      </c>
      <c r="L503" s="189">
        <f>L79+L122+L165+L208+L251+L294+L337+L380+L423+L466</f>
        <v/>
      </c>
      <c r="M503" s="189">
        <f>M79+M122+M165+M208+M251+M294+M337+M380+M423+M466</f>
        <v/>
      </c>
      <c r="N503" s="189">
        <f>N79+N122+N165+N208+N251+N294+N337+N380+N423+N466</f>
        <v/>
      </c>
      <c r="O503" s="189">
        <f>O79+O122+O165+O208+O251+O294+O337+O380+O423+O466</f>
        <v/>
      </c>
      <c r="P503" s="189">
        <f>P79+P122+P165+P208+P251+P294+P337+P380+P423+P466</f>
        <v/>
      </c>
      <c r="Q503" s="189">
        <f>Q79+Q122+Q165+Q208+Q251+Q294+Q337+Q380+Q423+Q466</f>
        <v/>
      </c>
      <c r="R503" s="189">
        <f>R79+R122+R165+R208+R251+R294+R337+R380+R423+R466</f>
        <v/>
      </c>
      <c r="S503" s="189">
        <f>S79+S122+S165+S208+S251+S294+S337+S380+S423+S466</f>
        <v/>
      </c>
      <c r="T503" s="189">
        <f>T79+T122+T165+T208+T251+T294+T337+T380+T423+T466</f>
        <v/>
      </c>
      <c r="U503" s="189">
        <f>U79+U122+U165+U208+U251+U294+U337+U380+U423+U466</f>
        <v/>
      </c>
      <c r="V503" s="189">
        <f>V79+V122+V165+V208+V251+V294+V337+V380+V423+V466</f>
        <v/>
      </c>
      <c r="W503" s="189">
        <f>W79+W122+W165+W208+W251+W294+W337+W380+W423+W466</f>
        <v/>
      </c>
      <c r="X503" s="189">
        <f>X79+X122+X165+X208+X251+X294+X337+X380+X423+X466</f>
        <v/>
      </c>
      <c r="Y503" s="189">
        <f>Y79+Y122+Y165+Y208+Y251+Y294+Y337+Y380+Y423+Y466</f>
        <v/>
      </c>
      <c r="Z503" s="189">
        <f>Z79+Z122+Z165+Z208+Z251+Z294+Z337+Z380+Z423+Z466</f>
        <v/>
      </c>
      <c r="AA503" s="189">
        <f>AA79+AA122+AA165+AA208+AA251+AA294+AA337+AA380+AA423+AA466</f>
        <v/>
      </c>
      <c r="AB503" s="189">
        <f>AB79+AB122+AB165+AB208+AB251+AB294+AB337+AB380+AB423+AB466</f>
        <v/>
      </c>
      <c r="AC503" s="10">
        <f>AC79+AC122+AC165+AC208+AC251+AC294+AC337+AC380+AC423+AC466</f>
        <v/>
      </c>
      <c r="AD503" s="189">
        <f>AD79+AD122+AD165+AD208+AD251+AD294+AD337+AD380+AD423+AD466</f>
        <v/>
      </c>
      <c r="AE503" s="189">
        <f>AE79+AE122+AE165+AE208+AE251+AE294+AE337+AE380+AE423+AE466</f>
        <v/>
      </c>
      <c r="AF503" s="189">
        <f>AF79+AF122+AF165+AF208+AF251+AF294+AF337+AF380+AF423+AF466</f>
        <v/>
      </c>
      <c r="AG503" s="189">
        <f>AG79+AG122+AG165+AG208+AG251+AG294+AG337+AG380+AG423+AG466</f>
        <v/>
      </c>
      <c r="AH503" s="189">
        <f>AH79+AH122+AH165+AH208+AH251+AH294+AH337+AH380+AH423+AH466</f>
        <v/>
      </c>
      <c r="AI503" s="51" t="inlineStr">
        <is>
          <t>U10X</t>
        </is>
      </c>
    </row>
    <row r="504">
      <c r="B504" s="189">
        <f>B80+B123+B166+B209+B252+B295+B338+B381+B424+B467</f>
        <v/>
      </c>
      <c r="C504" s="189">
        <f>C80+C123+C166+C209+C252+C295+C338+C381+C424+C467</f>
        <v/>
      </c>
      <c r="D504" s="189">
        <f>D80+D123+D166+D209+D252+D295+D338+D381+D424+D467</f>
        <v/>
      </c>
      <c r="E504" s="189">
        <f>E80+E123+E166+E209+E252+E295+E338+E381+E424+E467</f>
        <v/>
      </c>
      <c r="F504" s="189">
        <f>F80+F123+F166+F209+F252+F295+F338+F381+F424+F467</f>
        <v/>
      </c>
      <c r="G504" s="189">
        <f>G80+G123+G166+G209+G252+G295+G338+G381+G424+G467</f>
        <v/>
      </c>
      <c r="H504" s="189">
        <f>H80+H123+H166+H209+H252+H295+H338+H381+H424+H467</f>
        <v/>
      </c>
      <c r="I504" s="189">
        <f>I80+I123+I166+I209+I252+I295+I338+I381+I424+I467</f>
        <v/>
      </c>
      <c r="J504" s="189">
        <f>J80+J123+J166+J209+J252+J295+J338+J381+J424+J467</f>
        <v/>
      </c>
      <c r="K504" s="189">
        <f>K80+K123+K166+K209+K252+K295+K338+K381+K424+K467</f>
        <v/>
      </c>
      <c r="L504" s="189">
        <f>L80+L123+L166+L209+L252+L295+L338+L381+L424+L467</f>
        <v/>
      </c>
      <c r="M504" s="189">
        <f>M80+M123+M166+M209+M252+M295+M338+M381+M424+M467</f>
        <v/>
      </c>
      <c r="N504" s="189">
        <f>N80+N123+N166+N209+N252+N295+N338+N381+N424+N467</f>
        <v/>
      </c>
      <c r="O504" s="189">
        <f>O80+O123+O166+O209+O252+O295+O338+O381+O424+O467</f>
        <v/>
      </c>
      <c r="P504" s="189">
        <f>P80+P123+P166+P209+P252+P295+P338+P381+P424+P467</f>
        <v/>
      </c>
      <c r="Q504" s="189">
        <f>Q80+Q123+Q166+Q209+Q252+Q295+Q338+Q381+Q424+Q467</f>
        <v/>
      </c>
      <c r="R504" s="189">
        <f>R80+R123+R166+R209+R252+R295+R338+R381+R424+R467</f>
        <v/>
      </c>
      <c r="S504" s="189">
        <f>S80+S123+S166+S209+S252+S295+S338+S381+S424+S467</f>
        <v/>
      </c>
      <c r="T504" s="189">
        <f>T80+T123+T166+T209+T252+T295+T338+T381+T424+T467</f>
        <v/>
      </c>
      <c r="U504" s="189">
        <f>U80+U123+U166+U209+U252+U295+U338+U381+U424+U467</f>
        <v/>
      </c>
      <c r="V504" s="189">
        <f>V80+V123+V166+V209+V252+V295+V338+V381+V424+V467</f>
        <v/>
      </c>
      <c r="W504" s="189">
        <f>W80+W123+W166+W209+W252+W295+W338+W381+W424+W467</f>
        <v/>
      </c>
      <c r="X504" s="189">
        <f>X80+X123+X166+X209+X252+X295+X338+X381+X424+X467</f>
        <v/>
      </c>
      <c r="Y504" s="189">
        <f>Y80+Y123+Y166+Y209+Y252+Y295+Y338+Y381+Y424+Y467</f>
        <v/>
      </c>
      <c r="Z504" s="189">
        <f>Z80+Z123+Z166+Z209+Z252+Z295+Z338+Z381+Z424+Z467</f>
        <v/>
      </c>
      <c r="AA504" s="189">
        <f>AA80+AA123+AA166+AA209+AA252+AA295+AA338+AA381+AA424+AA467</f>
        <v/>
      </c>
      <c r="AB504" s="189">
        <f>AB80+AB123+AB166+AB209+AB252+AB295+AB338+AB381+AB424+AB467</f>
        <v/>
      </c>
      <c r="AC504" s="189">
        <f>AC80+AC123+AC166+AC209+AC252+AC295+AC338+AC381+AC424+AC467</f>
        <v/>
      </c>
      <c r="AD504" s="10">
        <f>AD80+AD123+AD166+AD209+AD252+AD295+AD338+AD381+AD424+AD467</f>
        <v/>
      </c>
      <c r="AE504" s="189">
        <f>AE80+AE123+AE166+AE209+AE252+AE295+AE338+AE381+AE424+AE467</f>
        <v/>
      </c>
      <c r="AF504" s="189">
        <f>AF80+AF123+AF166+AF209+AF252+AF295+AF338+AF381+AF424+AF467</f>
        <v/>
      </c>
      <c r="AG504" s="189">
        <f>AG80+AG123+AG166+AG209+AG252+AG295+AG338+AG381+AG424+AG467</f>
        <v/>
      </c>
      <c r="AH504" s="189">
        <f>AH80+AH123+AH166+AH209+AH252+AH295+AH338+AH381+AH424+AH467</f>
        <v/>
      </c>
      <c r="AI504" s="51" t="inlineStr">
        <is>
          <t>U10Y</t>
        </is>
      </c>
    </row>
    <row r="505">
      <c r="B505" s="189">
        <f>B81+B124+B167+B210+B253+B296+B339+B382+B425+B468</f>
        <v/>
      </c>
      <c r="C505" s="189">
        <f>C81+C124+C167+C210+C253+C296+C339+C382+C425+C468</f>
        <v/>
      </c>
      <c r="D505" s="189">
        <f>D81+D124+D167+D210+D253+D296+D339+D382+D425+D468</f>
        <v/>
      </c>
      <c r="E505" s="189">
        <f>E81+E124+E167+E210+E253+E296+E339+E382+E425+E468</f>
        <v/>
      </c>
      <c r="F505" s="189">
        <f>F81+F124+F167+F210+F253+F296+F339+F382+F425+F468</f>
        <v/>
      </c>
      <c r="G505" s="189">
        <f>G81+G124+G167+G210+G253+G296+G339+G382+G425+G468</f>
        <v/>
      </c>
      <c r="H505" s="189">
        <f>H81+H124+H167+H210+H253+H296+H339+H382+H425+H468</f>
        <v/>
      </c>
      <c r="I505" s="189">
        <f>I81+I124+I167+I210+I253+I296+I339+I382+I425+I468</f>
        <v/>
      </c>
      <c r="J505" s="189">
        <f>J81+J124+J167+J210+J253+J296+J339+J382+J425+J468</f>
        <v/>
      </c>
      <c r="K505" s="189">
        <f>K81+K124+K167+K210+K253+K296+K339+K382+K425+K468</f>
        <v/>
      </c>
      <c r="L505" s="189">
        <f>L81+L124+L167+L210+L253+L296+L339+L382+L425+L468</f>
        <v/>
      </c>
      <c r="M505" s="189">
        <f>M81+M124+M167+M210+M253+M296+M339+M382+M425+M468</f>
        <v/>
      </c>
      <c r="N505" s="189">
        <f>N81+N124+N167+N210+N253+N296+N339+N382+N425+N468</f>
        <v/>
      </c>
      <c r="O505" s="189">
        <f>O81+O124+O167+O210+O253+O296+O339+O382+O425+O468</f>
        <v/>
      </c>
      <c r="P505" s="189">
        <f>P81+P124+P167+P210+P253+P296+P339+P382+P425+P468</f>
        <v/>
      </c>
      <c r="Q505" s="189">
        <f>Q81+Q124+Q167+Q210+Q253+Q296+Q339+Q382+Q425+Q468</f>
        <v/>
      </c>
      <c r="R505" s="189">
        <f>R81+R124+R167+R210+R253+R296+R339+R382+R425+R468</f>
        <v/>
      </c>
      <c r="S505" s="189">
        <f>S81+S124+S167+S210+S253+S296+S339+S382+S425+S468</f>
        <v/>
      </c>
      <c r="T505" s="189">
        <f>T81+T124+T167+T210+T253+T296+T339+T382+T425+T468</f>
        <v/>
      </c>
      <c r="U505" s="189">
        <f>U81+U124+U167+U210+U253+U296+U339+U382+U425+U468</f>
        <v/>
      </c>
      <c r="V505" s="189">
        <f>V81+V124+V167+V210+V253+V296+V339+V382+V425+V468</f>
        <v/>
      </c>
      <c r="W505" s="189">
        <f>W81+W124+W167+W210+W253+W296+W339+W382+W425+W468</f>
        <v/>
      </c>
      <c r="X505" s="189">
        <f>X81+X124+X167+X210+X253+X296+X339+X382+X425+X468</f>
        <v/>
      </c>
      <c r="Y505" s="189">
        <f>Y81+Y124+Y167+Y210+Y253+Y296+Y339+Y382+Y425+Y468</f>
        <v/>
      </c>
      <c r="Z505" s="189">
        <f>Z81+Z124+Z167+Z210+Z253+Z296+Z339+Z382+Z425+Z468</f>
        <v/>
      </c>
      <c r="AA505" s="189">
        <f>AA81+AA124+AA167+AA210+AA253+AA296+AA339+AA382+AA425+AA468</f>
        <v/>
      </c>
      <c r="AB505" s="189">
        <f>AB81+AB124+AB167+AB210+AB253+AB296+AB339+AB382+AB425+AB468</f>
        <v/>
      </c>
      <c r="AC505" s="189">
        <f>AC81+AC124+AC167+AC210+AC253+AC296+AC339+AC382+AC425+AC468</f>
        <v/>
      </c>
      <c r="AD505" s="189">
        <f>AD81+AD124+AD167+AD210+AD253+AD296+AD339+AD382+AD425+AD468</f>
        <v/>
      </c>
      <c r="AE505" s="10">
        <f>AE81+AE124+AE167+AE210+AE253+AE296+AE339+AE382+AE425+AE468</f>
        <v/>
      </c>
      <c r="AF505" s="189">
        <f>AF81+AF124+AF167+AF210+AF253+AF296+AF339+AF382+AF425+AF468</f>
        <v/>
      </c>
      <c r="AG505" s="189">
        <f>AG81+AG124+AG167+AG210+AG253+AG296+AG339+AG382+AG425+AG468</f>
        <v/>
      </c>
      <c r="AH505" s="189">
        <f>AH81+AH124+AH167+AH210+AH253+AH296+AH339+AH382+AH425+AH468</f>
        <v/>
      </c>
      <c r="AI505" s="51" t="inlineStr">
        <is>
          <t>U10θ</t>
        </is>
      </c>
    </row>
    <row r="506">
      <c r="B506" s="189">
        <f>B82+B125+B168+B211+B254+B297+B340+B383+B426+B469</f>
        <v/>
      </c>
      <c r="C506" s="189">
        <f>C82+C125+C168+C211+C254+C297+C340+C383+C426+C469</f>
        <v/>
      </c>
      <c r="D506" s="189">
        <f>D82+D125+D168+D211+D254+D297+D340+D383+D426+D469</f>
        <v/>
      </c>
      <c r="E506" s="189">
        <f>E82+E125+E168+E211+E254+E297+E340+E383+E426+E469</f>
        <v/>
      </c>
      <c r="F506" s="189">
        <f>F82+F125+F168+F211+F254+F297+F340+F383+F426+F469</f>
        <v/>
      </c>
      <c r="G506" s="189">
        <f>G82+G125+G168+G211+G254+G297+G340+G383+G426+G469</f>
        <v/>
      </c>
      <c r="H506" s="189">
        <f>H82+H125+H168+H211+H254+H297+H340+H383+H426+H469</f>
        <v/>
      </c>
      <c r="I506" s="189">
        <f>I82+I125+I168+I211+I254+I297+I340+I383+I426+I469</f>
        <v/>
      </c>
      <c r="J506" s="189">
        <f>J82+J125+J168+J211+J254+J297+J340+J383+J426+J469</f>
        <v/>
      </c>
      <c r="K506" s="189">
        <f>K82+K125+K168+K211+K254+K297+K340+K383+K426+K469</f>
        <v/>
      </c>
      <c r="L506" s="189">
        <f>L82+L125+L168+L211+L254+L297+L340+L383+L426+L469</f>
        <v/>
      </c>
      <c r="M506" s="189">
        <f>M82+M125+M168+M211+M254+M297+M340+M383+M426+M469</f>
        <v/>
      </c>
      <c r="N506" s="189">
        <f>N82+N125+N168+N211+N254+N297+N340+N383+N426+N469</f>
        <v/>
      </c>
      <c r="O506" s="189">
        <f>O82+O125+O168+O211+O254+O297+O340+O383+O426+O469</f>
        <v/>
      </c>
      <c r="P506" s="189">
        <f>P82+P125+P168+P211+P254+P297+P340+P383+P426+P469</f>
        <v/>
      </c>
      <c r="Q506" s="189">
        <f>Q82+Q125+Q168+Q211+Q254+Q297+Q340+Q383+Q426+Q469</f>
        <v/>
      </c>
      <c r="R506" s="189">
        <f>R82+R125+R168+R211+R254+R297+R340+R383+R426+R469</f>
        <v/>
      </c>
      <c r="S506" s="189">
        <f>S82+S125+S168+S211+S254+S297+S340+S383+S426+S469</f>
        <v/>
      </c>
      <c r="T506" s="189">
        <f>T82+T125+T168+T211+T254+T297+T340+T383+T426+T469</f>
        <v/>
      </c>
      <c r="U506" s="189">
        <f>U82+U125+U168+U211+U254+U297+U340+U383+U426+U469</f>
        <v/>
      </c>
      <c r="V506" s="189">
        <f>V82+V125+V168+V211+V254+V297+V340+V383+V426+V469</f>
        <v/>
      </c>
      <c r="W506" s="189">
        <f>W82+W125+W168+W211+W254+W297+W340+W383+W426+W469</f>
        <v/>
      </c>
      <c r="X506" s="189">
        <f>X82+X125+X168+X211+X254+X297+X340+X383+X426+X469</f>
        <v/>
      </c>
      <c r="Y506" s="189">
        <f>Y82+Y125+Y168+Y211+Y254+Y297+Y340+Y383+Y426+Y469</f>
        <v/>
      </c>
      <c r="Z506" s="189">
        <f>Z82+Z125+Z168+Z211+Z254+Z297+Z340+Z383+Z426+Z469</f>
        <v/>
      </c>
      <c r="AA506" s="189">
        <f>AA82+AA125+AA168+AA211+AA254+AA297+AA340+AA383+AA426+AA469</f>
        <v/>
      </c>
      <c r="AB506" s="189">
        <f>AB82+AB125+AB168+AB211+AB254+AB297+AB340+AB383+AB426+AB469</f>
        <v/>
      </c>
      <c r="AC506" s="189">
        <f>AC82+AC125+AC168+AC211+AC254+AC297+AC340+AC383+AC426+AC469</f>
        <v/>
      </c>
      <c r="AD506" s="189">
        <f>AD82+AD125+AD168+AD211+AD254+AD297+AD340+AD383+AD426+AD469</f>
        <v/>
      </c>
      <c r="AE506" s="189">
        <f>AE82+AE125+AE168+AE211+AE254+AE297+AE340+AE383+AE426+AE469</f>
        <v/>
      </c>
      <c r="AF506" s="10">
        <f>AF82+AF125+AF168+AF211+AF254+AF297+AF340+AF383+AF426+AF469</f>
        <v/>
      </c>
      <c r="AG506" s="189">
        <f>AG82+AG125+AG168+AG211+AG254+AG297+AG340+AG383+AG426+AG469</f>
        <v/>
      </c>
      <c r="AH506" s="189">
        <f>AH82+AH125+AH168+AH211+AH254+AH297+AH340+AH383+AH426+AH469</f>
        <v/>
      </c>
      <c r="AI506" s="51" t="inlineStr">
        <is>
          <t>U11X</t>
        </is>
      </c>
    </row>
    <row r="507">
      <c r="B507" s="189">
        <f>B83+B126+B169+B212+B255+B298+B341+B384+B427+B470</f>
        <v/>
      </c>
      <c r="C507" s="189">
        <f>C83+C126+C169+C212+C255+C298+C341+C384+C427+C470</f>
        <v/>
      </c>
      <c r="D507" s="189">
        <f>D83+D126+D169+D212+D255+D298+D341+D384+D427+D470</f>
        <v/>
      </c>
      <c r="E507" s="189">
        <f>E83+E126+E169+E212+E255+E298+E341+E384+E427+E470</f>
        <v/>
      </c>
      <c r="F507" s="189">
        <f>F83+F126+F169+F212+F255+F298+F341+F384+F427+F470</f>
        <v/>
      </c>
      <c r="G507" s="189">
        <f>G83+G126+G169+G212+G255+G298+G341+G384+G427+G470</f>
        <v/>
      </c>
      <c r="H507" s="189">
        <f>H83+H126+H169+H212+H255+H298+H341+H384+H427+H470</f>
        <v/>
      </c>
      <c r="I507" s="189">
        <f>I83+I126+I169+I212+I255+I298+I341+I384+I427+I470</f>
        <v/>
      </c>
      <c r="J507" s="189">
        <f>J83+J126+J169+J212+J255+J298+J341+J384+J427+J470</f>
        <v/>
      </c>
      <c r="K507" s="189">
        <f>K83+K126+K169+K212+K255+K298+K341+K384+K427+K470</f>
        <v/>
      </c>
      <c r="L507" s="189">
        <f>L83+L126+L169+L212+L255+L298+L341+L384+L427+L470</f>
        <v/>
      </c>
      <c r="M507" s="189">
        <f>M83+M126+M169+M212+M255+M298+M341+M384+M427+M470</f>
        <v/>
      </c>
      <c r="N507" s="189">
        <f>N83+N126+N169+N212+N255+N298+N341+N384+N427+N470</f>
        <v/>
      </c>
      <c r="O507" s="189">
        <f>O83+O126+O169+O212+O255+O298+O341+O384+O427+O470</f>
        <v/>
      </c>
      <c r="P507" s="189">
        <f>P83+P126+P169+P212+P255+P298+P341+P384+P427+P470</f>
        <v/>
      </c>
      <c r="Q507" s="189">
        <f>Q83+Q126+Q169+Q212+Q255+Q298+Q341+Q384+Q427+Q470</f>
        <v/>
      </c>
      <c r="R507" s="189">
        <f>R83+R126+R169+R212+R255+R298+R341+R384+R427+R470</f>
        <v/>
      </c>
      <c r="S507" s="189">
        <f>S83+S126+S169+S212+S255+S298+S341+S384+S427+S470</f>
        <v/>
      </c>
      <c r="T507" s="189">
        <f>T83+T126+T169+T212+T255+T298+T341+T384+T427+T470</f>
        <v/>
      </c>
      <c r="U507" s="189">
        <f>U83+U126+U169+U212+U255+U298+U341+U384+U427+U470</f>
        <v/>
      </c>
      <c r="V507" s="189">
        <f>V83+V126+V169+V212+V255+V298+V341+V384+V427+V470</f>
        <v/>
      </c>
      <c r="W507" s="189">
        <f>W83+W126+W169+W212+W255+W298+W341+W384+W427+W470</f>
        <v/>
      </c>
      <c r="X507" s="189">
        <f>X83+X126+X169+X212+X255+X298+X341+X384+X427+X470</f>
        <v/>
      </c>
      <c r="Y507" s="189">
        <f>Y83+Y126+Y169+Y212+Y255+Y298+Y341+Y384+Y427+Y470</f>
        <v/>
      </c>
      <c r="Z507" s="189">
        <f>Z83+Z126+Z169+Z212+Z255+Z298+Z341+Z384+Z427+Z470</f>
        <v/>
      </c>
      <c r="AA507" s="189">
        <f>AA83+AA126+AA169+AA212+AA255+AA298+AA341+AA384+AA427+AA470</f>
        <v/>
      </c>
      <c r="AB507" s="189">
        <f>AB83+AB126+AB169+AB212+AB255+AB298+AB341+AB384+AB427+AB470</f>
        <v/>
      </c>
      <c r="AC507" s="189">
        <f>AC83+AC126+AC169+AC212+AC255+AC298+AC341+AC384+AC427+AC470</f>
        <v/>
      </c>
      <c r="AD507" s="189">
        <f>AD83+AD126+AD169+AD212+AD255+AD298+AD341+AD384+AD427+AD470</f>
        <v/>
      </c>
      <c r="AE507" s="189">
        <f>AE83+AE126+AE169+AE212+AE255+AE298+AE341+AE384+AE427+AE470</f>
        <v/>
      </c>
      <c r="AF507" s="189">
        <f>AF83+AF126+AF169+AF212+AF255+AF298+AF341+AF384+AF427+AF470</f>
        <v/>
      </c>
      <c r="AG507" s="10">
        <f>AG83+AG126+AG169+AG212+AG255+AG298+AG341+AG384+AG427+AG470</f>
        <v/>
      </c>
      <c r="AH507" s="189">
        <f>AH83+AH126+AH169+AH212+AH255+AH298+AH341+AH384+AH427+AH470</f>
        <v/>
      </c>
      <c r="AI507" s="51" t="inlineStr">
        <is>
          <t>U11Y</t>
        </is>
      </c>
    </row>
    <row r="508">
      <c r="B508" s="189">
        <f>B84+B127+B170+B213+B256+B299+B342+B385+B428+B471</f>
        <v/>
      </c>
      <c r="C508" s="189">
        <f>C84+C127+C170+C213+C256+C299+C342+C385+C428+C471</f>
        <v/>
      </c>
      <c r="D508" s="189">
        <f>D84+D127+D170+D213+D256+D299+D342+D385+D428+D471</f>
        <v/>
      </c>
      <c r="E508" s="189">
        <f>E84+E127+E170+E213+E256+E299+E342+E385+E428+E471</f>
        <v/>
      </c>
      <c r="F508" s="189">
        <f>F84+F127+F170+F213+F256+F299+F342+F385+F428+F471</f>
        <v/>
      </c>
      <c r="G508" s="189">
        <f>G84+G127+G170+G213+G256+G299+G342+G385+G428+G471</f>
        <v/>
      </c>
      <c r="H508" s="189">
        <f>H84+H127+H170+H213+H256+H299+H342+H385+H428+H471</f>
        <v/>
      </c>
      <c r="I508" s="189">
        <f>I84+I127+I170+I213+I256+I299+I342+I385+I428+I471</f>
        <v/>
      </c>
      <c r="J508" s="189">
        <f>J84+J127+J170+J213+J256+J299+J342+J385+J428+J471</f>
        <v/>
      </c>
      <c r="K508" s="189">
        <f>K84+K127+K170+K213+K256+K299+K342+K385+K428+K471</f>
        <v/>
      </c>
      <c r="L508" s="189">
        <f>L84+L127+L170+L213+L256+L299+L342+L385+L428+L471</f>
        <v/>
      </c>
      <c r="M508" s="189">
        <f>M84+M127+M170+M213+M256+M299+M342+M385+M428+M471</f>
        <v/>
      </c>
      <c r="N508" s="189">
        <f>N84+N127+N170+N213+N256+N299+N342+N385+N428+N471</f>
        <v/>
      </c>
      <c r="O508" s="189">
        <f>O84+O127+O170+O213+O256+O299+O342+O385+O428+O471</f>
        <v/>
      </c>
      <c r="P508" s="189">
        <f>P84+P127+P170+P213+P256+P299+P342+P385+P428+P471</f>
        <v/>
      </c>
      <c r="Q508" s="189">
        <f>Q84+Q127+Q170+Q213+Q256+Q299+Q342+Q385+Q428+Q471</f>
        <v/>
      </c>
      <c r="R508" s="189">
        <f>R84+R127+R170+R213+R256+R299+R342+R385+R428+R471</f>
        <v/>
      </c>
      <c r="S508" s="189">
        <f>S84+S127+S170+S213+S256+S299+S342+S385+S428+S471</f>
        <v/>
      </c>
      <c r="T508" s="189">
        <f>T84+T127+T170+T213+T256+T299+T342+T385+T428+T471</f>
        <v/>
      </c>
      <c r="U508" s="189">
        <f>U84+U127+U170+U213+U256+U299+U342+U385+U428+U471</f>
        <v/>
      </c>
      <c r="V508" s="189">
        <f>V84+V127+V170+V213+V256+V299+V342+V385+V428+V471</f>
        <v/>
      </c>
      <c r="W508" s="189">
        <f>W84+W127+W170+W213+W256+W299+W342+W385+W428+W471</f>
        <v/>
      </c>
      <c r="X508" s="189">
        <f>X84+X127+X170+X213+X256+X299+X342+X385+X428+X471</f>
        <v/>
      </c>
      <c r="Y508" s="189">
        <f>Y84+Y127+Y170+Y213+Y256+Y299+Y342+Y385+Y428+Y471</f>
        <v/>
      </c>
      <c r="Z508" s="189">
        <f>Z84+Z127+Z170+Z213+Z256+Z299+Z342+Z385+Z428+Z471</f>
        <v/>
      </c>
      <c r="AA508" s="189">
        <f>AA84+AA127+AA170+AA213+AA256+AA299+AA342+AA385+AA428+AA471</f>
        <v/>
      </c>
      <c r="AB508" s="189">
        <f>AB84+AB127+AB170+AB213+AB256+AB299+AB342+AB385+AB428+AB471</f>
        <v/>
      </c>
      <c r="AC508" s="189">
        <f>AC84+AC127+AC170+AC213+AC256+AC299+AC342+AC385+AC428+AC471</f>
        <v/>
      </c>
      <c r="AD508" s="189">
        <f>AD84+AD127+AD170+AD213+AD256+AD299+AD342+AD385+AD428+AD471</f>
        <v/>
      </c>
      <c r="AE508" s="189">
        <f>AE84+AE127+AE170+AE213+AE256+AE299+AE342+AE385+AE428+AE471</f>
        <v/>
      </c>
      <c r="AF508" s="189">
        <f>AF84+AF127+AF170+AF213+AF256+AF299+AF342+AF385+AF428+AF471</f>
        <v/>
      </c>
      <c r="AG508" s="189">
        <f>AG84+AG127+AG170+AG213+AG256+AG299+AG342+AG385+AG428+AG471</f>
        <v/>
      </c>
      <c r="AH508" s="10">
        <f>AH84+AH127+AH170+AH213+AH256+AH299+AH342+AH385+AH428+AH471</f>
        <v/>
      </c>
      <c r="AI508" s="51" t="inlineStr">
        <is>
          <t>U11θ</t>
        </is>
      </c>
    </row>
    <row r="511">
      <c r="B511" s="53" t="inlineStr">
        <is>
          <t>VECTORES DE CARGAS GLOBALES {C} Y CONDICIONES DE FRONTERA / DESPLAZAMIENTOS {D}</t>
        </is>
      </c>
      <c r="C511" s="190" t="n"/>
      <c r="D511" s="190" t="n"/>
      <c r="E511" s="190" t="n"/>
      <c r="F511" s="190" t="n"/>
      <c r="G511" s="190" t="n"/>
      <c r="H511" s="190" t="n"/>
      <c r="I511" s="190" t="n"/>
      <c r="J511" s="190" t="n"/>
      <c r="K511" s="190" t="n"/>
      <c r="L511" s="190" t="n"/>
      <c r="M511" s="190" t="n"/>
      <c r="N511" s="190" t="n"/>
      <c r="O511" s="190" t="n"/>
      <c r="P511" s="190" t="n"/>
      <c r="Q511" s="190" t="n"/>
      <c r="R511" s="190" t="n"/>
      <c r="S511" s="190" t="n"/>
      <c r="T511" s="190" t="n"/>
      <c r="U511" s="190" t="n"/>
      <c r="V511" s="190" t="n"/>
      <c r="W511" s="190" t="n"/>
      <c r="X511" s="190" t="n"/>
      <c r="Y511" s="190" t="n"/>
      <c r="Z511" s="190" t="n"/>
      <c r="AA511" s="190" t="n"/>
      <c r="AB511" s="190" t="n"/>
      <c r="AC511" s="190" t="n"/>
      <c r="AD511" s="190" t="n"/>
      <c r="AE511" s="190" t="n"/>
      <c r="AF511" s="190" t="n"/>
      <c r="AG511" s="190" t="n"/>
      <c r="AH511" s="191" t="n"/>
    </row>
    <row r="512" ht="26.4" customHeight="1" s="183">
      <c r="B512" s="57" t="inlineStr">
        <is>
          <t>VECTOR DE CARGAS {C}</t>
        </is>
      </c>
      <c r="H512" s="57" t="inlineStr">
        <is>
          <t>VECTOR DE DESPLAZAMIENTOS {D}</t>
        </is>
      </c>
      <c r="N512" s="58" t="inlineStr">
        <is>
          <t>Condición GDL</t>
        </is>
      </c>
    </row>
    <row r="513" ht="26.4" customHeight="1" s="183">
      <c r="B513" s="11" t="inlineStr">
        <is>
          <t>C1X</t>
        </is>
      </c>
      <c r="C513" s="12" t="inlineStr">
        <is>
          <t>U1X</t>
        </is>
      </c>
      <c r="D513" s="187" t="inlineStr">
        <is>
          <t>=</t>
        </is>
      </c>
      <c r="E513" s="13" t="n">
        <v>0</v>
      </c>
      <c r="F513" s="12" t="inlineStr">
        <is>
          <t>U1X</t>
        </is>
      </c>
      <c r="H513" s="11" t="inlineStr">
        <is>
          <t>D1X</t>
        </is>
      </c>
      <c r="I513" s="12" t="inlineStr">
        <is>
          <t>U1X</t>
        </is>
      </c>
      <c r="J513" s="187" t="inlineStr">
        <is>
          <t>=</t>
        </is>
      </c>
      <c r="K513" s="14" t="n">
        <v>0</v>
      </c>
      <c r="L513" s="12" t="inlineStr">
        <is>
          <t>U1X</t>
        </is>
      </c>
      <c r="N513" s="186">
        <f>IF(OR($G$4=0, 1&gt;$G$4), "RESTRINGIDO", IF(ISNUMBER(K513), IF(K513=0, "RESTRINGIDO", "LIBRE"), "LIBRE"))</f>
        <v/>
      </c>
    </row>
    <row r="514" ht="26.4" customHeight="1" s="183">
      <c r="B514" s="11" t="inlineStr">
        <is>
          <t>C1Y</t>
        </is>
      </c>
      <c r="C514" s="12" t="inlineStr">
        <is>
          <t>U1Y</t>
        </is>
      </c>
      <c r="D514" s="187" t="inlineStr">
        <is>
          <t>=</t>
        </is>
      </c>
      <c r="E514" s="13" t="n">
        <v>0</v>
      </c>
      <c r="F514" s="12" t="inlineStr">
        <is>
          <t>U1Y</t>
        </is>
      </c>
      <c r="H514" s="11" t="inlineStr">
        <is>
          <t>D1Y</t>
        </is>
      </c>
      <c r="I514" s="12" t="inlineStr">
        <is>
          <t>U1Y</t>
        </is>
      </c>
      <c r="J514" s="187" t="inlineStr">
        <is>
          <t>=</t>
        </is>
      </c>
      <c r="K514" s="14" t="n">
        <v>0</v>
      </c>
      <c r="L514" s="12" t="inlineStr">
        <is>
          <t>U1Y</t>
        </is>
      </c>
      <c r="N514" s="186">
        <f>IF(OR($G$4=0, 1&gt;$G$4), "RESTRINGIDO", IF(ISNUMBER(K514), IF(K514=0, "RESTRINGIDO", "LIBRE"), "LIBRE"))</f>
        <v/>
      </c>
    </row>
    <row r="515">
      <c r="B515" s="11" t="inlineStr">
        <is>
          <t>C1θ</t>
        </is>
      </c>
      <c r="C515" s="12" t="inlineStr">
        <is>
          <t>U1θ</t>
        </is>
      </c>
      <c r="D515" s="187" t="inlineStr">
        <is>
          <t>=</t>
        </is>
      </c>
      <c r="E515" s="13" t="n">
        <v>0</v>
      </c>
      <c r="F515" s="12" t="inlineStr">
        <is>
          <t>U1θ</t>
        </is>
      </c>
      <c r="H515" s="11" t="inlineStr">
        <is>
          <t>D1θ</t>
        </is>
      </c>
      <c r="I515" s="12" t="inlineStr">
        <is>
          <t>U1θ</t>
        </is>
      </c>
      <c r="J515" s="187" t="inlineStr">
        <is>
          <t>=</t>
        </is>
      </c>
      <c r="K515" s="14">
        <f>H515</f>
        <v/>
      </c>
      <c r="L515" s="12" t="inlineStr">
        <is>
          <t>U1θ</t>
        </is>
      </c>
      <c r="N515" s="186">
        <f>IF(OR($G$4=0, 1&gt;$G$4), "RESTRINGIDO", IF(ISNUMBER(K515), IF(K515=0, "RESTRINGIDO", "LIBRE"), "LIBRE"))</f>
        <v/>
      </c>
    </row>
    <row r="516">
      <c r="B516" s="11" t="inlineStr">
        <is>
          <t>C2X</t>
        </is>
      </c>
      <c r="C516" s="12" t="inlineStr">
        <is>
          <t>U2X</t>
        </is>
      </c>
      <c r="D516" s="187" t="inlineStr">
        <is>
          <t>=</t>
        </is>
      </c>
      <c r="E516" s="13" t="n">
        <v>0</v>
      </c>
      <c r="F516" s="12" t="inlineStr">
        <is>
          <t>U2X</t>
        </is>
      </c>
      <c r="H516" s="11" t="inlineStr">
        <is>
          <t>D2X</t>
        </is>
      </c>
      <c r="I516" s="12" t="inlineStr">
        <is>
          <t>U2X</t>
        </is>
      </c>
      <c r="J516" s="187" t="inlineStr">
        <is>
          <t>=</t>
        </is>
      </c>
      <c r="K516" s="14">
        <f>H516</f>
        <v/>
      </c>
      <c r="L516" s="12" t="inlineStr">
        <is>
          <t>U2X</t>
        </is>
      </c>
      <c r="N516" s="186">
        <f>IF(OR($G$4=0, 2&gt;$G$4), "RESTRINGIDO", IF(ISNUMBER(K516), IF(K516=0, "RESTRINGIDO", "LIBRE"), "LIBRE"))</f>
        <v/>
      </c>
    </row>
    <row r="517">
      <c r="B517" s="11" t="inlineStr">
        <is>
          <t>C2Y</t>
        </is>
      </c>
      <c r="C517" s="12" t="inlineStr">
        <is>
          <t>U2Y</t>
        </is>
      </c>
      <c r="D517" s="187" t="inlineStr">
        <is>
          <t>=</t>
        </is>
      </c>
      <c r="E517" s="13" t="n">
        <v>-2000</v>
      </c>
      <c r="F517" s="12" t="inlineStr">
        <is>
          <t>U2Y</t>
        </is>
      </c>
      <c r="H517" s="11" t="inlineStr">
        <is>
          <t>D2Y</t>
        </is>
      </c>
      <c r="I517" s="12" t="inlineStr">
        <is>
          <t>U2Y</t>
        </is>
      </c>
      <c r="J517" s="187" t="inlineStr">
        <is>
          <t>=</t>
        </is>
      </c>
      <c r="K517" s="14">
        <f>H517</f>
        <v/>
      </c>
      <c r="L517" s="12" t="inlineStr">
        <is>
          <t>U2Y</t>
        </is>
      </c>
      <c r="N517" s="186">
        <f>IF(OR($G$4=0, 2&gt;$G$4), "RESTRINGIDO", IF(ISNUMBER(K517), IF(K517=0, "RESTRINGIDO", "LIBRE"), "LIBRE"))</f>
        <v/>
      </c>
    </row>
    <row r="518">
      <c r="B518" s="11" t="inlineStr">
        <is>
          <t>C2θ</t>
        </is>
      </c>
      <c r="C518" s="12" t="inlineStr">
        <is>
          <t>U2θ</t>
        </is>
      </c>
      <c r="D518" s="187" t="inlineStr">
        <is>
          <t>=</t>
        </is>
      </c>
      <c r="E518" s="13" t="n">
        <v>0</v>
      </c>
      <c r="F518" s="12" t="inlineStr">
        <is>
          <t>U2θ</t>
        </is>
      </c>
      <c r="H518" s="11" t="inlineStr">
        <is>
          <t>D2θ</t>
        </is>
      </c>
      <c r="I518" s="12" t="inlineStr">
        <is>
          <t>U2θ</t>
        </is>
      </c>
      <c r="J518" s="187" t="inlineStr">
        <is>
          <t>=</t>
        </is>
      </c>
      <c r="K518" s="14">
        <f>H518</f>
        <v/>
      </c>
      <c r="L518" s="12" t="inlineStr">
        <is>
          <t>U2θ</t>
        </is>
      </c>
      <c r="N518" s="186">
        <f>IF(OR($G$4=0, 2&gt;$G$4), "RESTRINGIDO", IF(ISNUMBER(K518), IF(K518=0, "RESTRINGIDO", "LIBRE"), "LIBRE"))</f>
        <v/>
      </c>
    </row>
    <row r="519">
      <c r="B519" s="11" t="inlineStr">
        <is>
          <t>C3X</t>
        </is>
      </c>
      <c r="C519" s="12" t="inlineStr">
        <is>
          <t>U3X</t>
        </is>
      </c>
      <c r="D519" s="187" t="inlineStr">
        <is>
          <t>=</t>
        </is>
      </c>
      <c r="E519" s="13" t="n">
        <v>0</v>
      </c>
      <c r="F519" s="12" t="inlineStr">
        <is>
          <t>U3X</t>
        </is>
      </c>
      <c r="H519" s="11" t="inlineStr">
        <is>
          <t>D3X</t>
        </is>
      </c>
      <c r="I519" s="12" t="inlineStr">
        <is>
          <t>U3X</t>
        </is>
      </c>
      <c r="J519" s="187" t="inlineStr">
        <is>
          <t>=</t>
        </is>
      </c>
      <c r="K519" s="14">
        <f>H519</f>
        <v/>
      </c>
      <c r="L519" s="12" t="inlineStr">
        <is>
          <t>U3X</t>
        </is>
      </c>
      <c r="N519" s="186">
        <f>IF(OR($G$4=0, 3&gt;$G$4), "RESTRINGIDO", IF(ISNUMBER(K519), IF(K519=0, "RESTRINGIDO", "LIBRE"), "LIBRE"))</f>
        <v/>
      </c>
    </row>
    <row r="520" ht="26.4" customHeight="1" s="183">
      <c r="B520" s="11" t="inlineStr">
        <is>
          <t>C3Y</t>
        </is>
      </c>
      <c r="C520" s="12" t="inlineStr">
        <is>
          <t>U3Y</t>
        </is>
      </c>
      <c r="D520" s="187" t="inlineStr">
        <is>
          <t>=</t>
        </is>
      </c>
      <c r="E520" s="13" t="n">
        <v>0</v>
      </c>
      <c r="F520" s="12" t="inlineStr">
        <is>
          <t>U3Y</t>
        </is>
      </c>
      <c r="H520" s="11" t="inlineStr">
        <is>
          <t>D3Y</t>
        </is>
      </c>
      <c r="I520" s="12" t="inlineStr">
        <is>
          <t>U3Y</t>
        </is>
      </c>
      <c r="J520" s="187" t="inlineStr">
        <is>
          <t>=</t>
        </is>
      </c>
      <c r="K520" s="14" t="n">
        <v>0</v>
      </c>
      <c r="L520" s="12" t="inlineStr">
        <is>
          <t>U3Y</t>
        </is>
      </c>
      <c r="N520" s="186">
        <f>IF(OR($G$4=0, 3&gt;$G$4), "RESTRINGIDO", IF(ISNUMBER(K520), IF(K520=0, "RESTRINGIDO", "LIBRE"), "LIBRE"))</f>
        <v/>
      </c>
    </row>
    <row r="521">
      <c r="B521" s="11" t="inlineStr">
        <is>
          <t>C3θ</t>
        </is>
      </c>
      <c r="C521" s="12" t="inlineStr">
        <is>
          <t>U3θ</t>
        </is>
      </c>
      <c r="D521" s="187" t="inlineStr">
        <is>
          <t>=</t>
        </is>
      </c>
      <c r="E521" s="13" t="n">
        <v>0</v>
      </c>
      <c r="F521" s="12" t="inlineStr">
        <is>
          <t>U3θ</t>
        </is>
      </c>
      <c r="H521" s="11" t="inlineStr">
        <is>
          <t>D3θ</t>
        </is>
      </c>
      <c r="I521" s="12" t="inlineStr">
        <is>
          <t>U3θ</t>
        </is>
      </c>
      <c r="J521" s="187" t="inlineStr">
        <is>
          <t>=</t>
        </is>
      </c>
      <c r="K521" s="14">
        <f>H521</f>
        <v/>
      </c>
      <c r="L521" s="12" t="inlineStr">
        <is>
          <t>U3θ</t>
        </is>
      </c>
      <c r="N521" s="186">
        <f>IF(OR($G$4=0, 3&gt;$G$4), "RESTRINGIDO", IF(ISNUMBER(K521), IF(K521=0, "RESTRINGIDO", "LIBRE"), "LIBRE"))</f>
        <v/>
      </c>
    </row>
    <row r="522" ht="26.4" customHeight="1" s="183">
      <c r="B522" s="11" t="inlineStr">
        <is>
          <t>C4X</t>
        </is>
      </c>
      <c r="C522" s="12" t="inlineStr">
        <is>
          <t>U4X</t>
        </is>
      </c>
      <c r="D522" s="187" t="inlineStr">
        <is>
          <t>=</t>
        </is>
      </c>
      <c r="E522" s="13" t="n">
        <v>0</v>
      </c>
      <c r="F522" s="12" t="inlineStr">
        <is>
          <t>U4X</t>
        </is>
      </c>
      <c r="H522" s="11" t="inlineStr">
        <is>
          <t>D4X</t>
        </is>
      </c>
      <c r="I522" s="12" t="inlineStr">
        <is>
          <t>U4X</t>
        </is>
      </c>
      <c r="J522" s="187" t="inlineStr">
        <is>
          <t>=</t>
        </is>
      </c>
      <c r="K522" s="14">
        <f>H522</f>
        <v/>
      </c>
      <c r="L522" s="12" t="inlineStr">
        <is>
          <t>U4X</t>
        </is>
      </c>
      <c r="N522" s="186">
        <f>IF(OR($G$4=0, 4&gt;$G$4), "RESTRINGIDO", IF(ISNUMBER(K522), IF(K522=0, "RESTRINGIDO", "LIBRE"), "LIBRE"))</f>
        <v/>
      </c>
    </row>
    <row r="523" ht="26.4" customHeight="1" s="183">
      <c r="B523" s="11" t="inlineStr">
        <is>
          <t>C4Y</t>
        </is>
      </c>
      <c r="C523" s="12" t="inlineStr">
        <is>
          <t>U4Y</t>
        </is>
      </c>
      <c r="D523" s="187" t="inlineStr">
        <is>
          <t>=</t>
        </is>
      </c>
      <c r="E523" s="13" t="n">
        <v>0</v>
      </c>
      <c r="F523" s="12" t="inlineStr">
        <is>
          <t>U4Y</t>
        </is>
      </c>
      <c r="H523" s="11" t="inlineStr">
        <is>
          <t>D4Y</t>
        </is>
      </c>
      <c r="I523" s="12" t="inlineStr">
        <is>
          <t>U4Y</t>
        </is>
      </c>
      <c r="J523" s="187" t="inlineStr">
        <is>
          <t>=</t>
        </is>
      </c>
      <c r="K523" s="14">
        <f>H523</f>
        <v/>
      </c>
      <c r="L523" s="12" t="inlineStr">
        <is>
          <t>U4Y</t>
        </is>
      </c>
      <c r="N523" s="186">
        <f>IF(OR($G$4=0, 4&gt;$G$4), "RESTRINGIDO", IF(ISNUMBER(K523), IF(K523=0, "RESTRINGIDO", "LIBRE"), "LIBRE"))</f>
        <v/>
      </c>
    </row>
    <row r="524" ht="26.4" customHeight="1" s="183">
      <c r="B524" s="11" t="inlineStr">
        <is>
          <t>C4θ</t>
        </is>
      </c>
      <c r="C524" s="12" t="inlineStr">
        <is>
          <t>U4θ</t>
        </is>
      </c>
      <c r="D524" s="187" t="inlineStr">
        <is>
          <t>=</t>
        </is>
      </c>
      <c r="E524" s="13" t="n">
        <v>0</v>
      </c>
      <c r="F524" s="12" t="inlineStr">
        <is>
          <t>U4θ</t>
        </is>
      </c>
      <c r="H524" s="11" t="inlineStr">
        <is>
          <t>D4θ</t>
        </is>
      </c>
      <c r="I524" s="12" t="inlineStr">
        <is>
          <t>U4θ</t>
        </is>
      </c>
      <c r="J524" s="187" t="inlineStr">
        <is>
          <t>=</t>
        </is>
      </c>
      <c r="K524" s="14">
        <f>H524</f>
        <v/>
      </c>
      <c r="L524" s="12" t="inlineStr">
        <is>
          <t>U4θ</t>
        </is>
      </c>
      <c r="N524" s="186">
        <f>IF(OR($G$4=0, 4&gt;$G$4), "RESTRINGIDO", IF(ISNUMBER(K524), IF(K524=0, "RESTRINGIDO", "LIBRE"), "LIBRE"))</f>
        <v/>
      </c>
    </row>
    <row r="525" ht="26.4" customHeight="1" s="183">
      <c r="B525" s="11" t="inlineStr">
        <is>
          <t>C5X</t>
        </is>
      </c>
      <c r="C525" s="12" t="inlineStr">
        <is>
          <t>U5X</t>
        </is>
      </c>
      <c r="D525" s="187" t="inlineStr">
        <is>
          <t>=</t>
        </is>
      </c>
      <c r="E525" s="13" t="n">
        <v>0</v>
      </c>
      <c r="F525" s="12" t="inlineStr">
        <is>
          <t>U5X</t>
        </is>
      </c>
      <c r="H525" s="11" t="inlineStr">
        <is>
          <t>D5X</t>
        </is>
      </c>
      <c r="I525" s="12" t="inlineStr">
        <is>
          <t>U5X</t>
        </is>
      </c>
      <c r="J525" s="187" t="inlineStr">
        <is>
          <t>=</t>
        </is>
      </c>
      <c r="K525" s="14">
        <f>H525</f>
        <v/>
      </c>
      <c r="L525" s="12" t="inlineStr">
        <is>
          <t>U5X</t>
        </is>
      </c>
      <c r="N525" s="186">
        <f>IF(OR($G$4=0, 5&gt;$G$4), "RESTRINGIDO", IF(ISNUMBER(K525), IF(K525=0, "RESTRINGIDO", "LIBRE"), "LIBRE"))</f>
        <v/>
      </c>
    </row>
    <row r="526" ht="26.4" customHeight="1" s="183">
      <c r="B526" s="11" t="inlineStr">
        <is>
          <t>C5Y</t>
        </is>
      </c>
      <c r="C526" s="12" t="inlineStr">
        <is>
          <t>U5Y</t>
        </is>
      </c>
      <c r="D526" s="187" t="inlineStr">
        <is>
          <t>=</t>
        </is>
      </c>
      <c r="E526" s="13" t="n">
        <v>0</v>
      </c>
      <c r="F526" s="12" t="inlineStr">
        <is>
          <t>U5Y</t>
        </is>
      </c>
      <c r="H526" s="11" t="inlineStr">
        <is>
          <t>D5Y</t>
        </is>
      </c>
      <c r="I526" s="12" t="inlineStr">
        <is>
          <t>U5Y</t>
        </is>
      </c>
      <c r="J526" s="187" t="inlineStr">
        <is>
          <t>=</t>
        </is>
      </c>
      <c r="K526" s="14">
        <f>H526</f>
        <v/>
      </c>
      <c r="L526" s="12" t="inlineStr">
        <is>
          <t>U5Y</t>
        </is>
      </c>
      <c r="N526" s="186">
        <f>IF(OR($G$4=0, 5&gt;$G$4), "RESTRINGIDO", IF(ISNUMBER(K526), IF(K526=0, "RESTRINGIDO", "LIBRE"), "LIBRE"))</f>
        <v/>
      </c>
    </row>
    <row r="527" ht="26.4" customHeight="1" s="183">
      <c r="B527" s="11" t="inlineStr">
        <is>
          <t>C5θ</t>
        </is>
      </c>
      <c r="C527" s="12" t="inlineStr">
        <is>
          <t>U5θ</t>
        </is>
      </c>
      <c r="D527" s="187" t="inlineStr">
        <is>
          <t>=</t>
        </is>
      </c>
      <c r="E527" s="13" t="n">
        <v>0</v>
      </c>
      <c r="F527" s="12" t="inlineStr">
        <is>
          <t>U5θ</t>
        </is>
      </c>
      <c r="H527" s="11" t="inlineStr">
        <is>
          <t>D5θ</t>
        </is>
      </c>
      <c r="I527" s="12" t="inlineStr">
        <is>
          <t>U5θ</t>
        </is>
      </c>
      <c r="J527" s="187" t="inlineStr">
        <is>
          <t>=</t>
        </is>
      </c>
      <c r="K527" s="14">
        <f>H527</f>
        <v/>
      </c>
      <c r="L527" s="12" t="inlineStr">
        <is>
          <t>U5θ</t>
        </is>
      </c>
      <c r="N527" s="186">
        <f>IF(OR($G$4=0, 5&gt;$G$4), "RESTRINGIDO", IF(ISNUMBER(K527), IF(K527=0, "RESTRINGIDO", "LIBRE"), "LIBRE"))</f>
        <v/>
      </c>
    </row>
    <row r="528" ht="26.4" customHeight="1" s="183">
      <c r="B528" s="11" t="inlineStr">
        <is>
          <t>C6X</t>
        </is>
      </c>
      <c r="C528" s="12" t="inlineStr">
        <is>
          <t>U6X</t>
        </is>
      </c>
      <c r="D528" s="187" t="inlineStr">
        <is>
          <t>=</t>
        </is>
      </c>
      <c r="E528" s="13" t="n">
        <v>0</v>
      </c>
      <c r="F528" s="12" t="inlineStr">
        <is>
          <t>U6X</t>
        </is>
      </c>
      <c r="H528" s="11" t="inlineStr">
        <is>
          <t>D6X</t>
        </is>
      </c>
      <c r="I528" s="12" t="inlineStr">
        <is>
          <t>U6X</t>
        </is>
      </c>
      <c r="J528" s="187" t="inlineStr">
        <is>
          <t>=</t>
        </is>
      </c>
      <c r="K528" s="14">
        <f>H528</f>
        <v/>
      </c>
      <c r="L528" s="12" t="inlineStr">
        <is>
          <t>U6X</t>
        </is>
      </c>
      <c r="N528" s="186">
        <f>IF(OR($G$4=0, 6&gt;$G$4), "RESTRINGIDO", IF(ISNUMBER(K528), IF(K528=0, "RESTRINGIDO", "LIBRE"), "LIBRE"))</f>
        <v/>
      </c>
    </row>
    <row r="529" ht="26.4" customHeight="1" s="183">
      <c r="B529" s="11" t="inlineStr">
        <is>
          <t>C6Y</t>
        </is>
      </c>
      <c r="C529" s="12" t="inlineStr">
        <is>
          <t>U6Y</t>
        </is>
      </c>
      <c r="D529" s="187" t="inlineStr">
        <is>
          <t>=</t>
        </is>
      </c>
      <c r="E529" s="13" t="n">
        <v>0</v>
      </c>
      <c r="F529" s="12" t="inlineStr">
        <is>
          <t>U6Y</t>
        </is>
      </c>
      <c r="H529" s="11" t="inlineStr">
        <is>
          <t>D6Y</t>
        </is>
      </c>
      <c r="I529" s="12" t="inlineStr">
        <is>
          <t>U6Y</t>
        </is>
      </c>
      <c r="J529" s="187" t="inlineStr">
        <is>
          <t>=</t>
        </is>
      </c>
      <c r="K529" s="14">
        <f>H529</f>
        <v/>
      </c>
      <c r="L529" s="12" t="inlineStr">
        <is>
          <t>U6Y</t>
        </is>
      </c>
      <c r="N529" s="186">
        <f>IF(OR($G$4=0, 6&gt;$G$4), "RESTRINGIDO", IF(ISNUMBER(K529), IF(K529=0, "RESTRINGIDO", "LIBRE"), "LIBRE"))</f>
        <v/>
      </c>
    </row>
    <row r="530" ht="26.4" customHeight="1" s="183">
      <c r="B530" s="11" t="inlineStr">
        <is>
          <t>C6θ</t>
        </is>
      </c>
      <c r="C530" s="12" t="inlineStr">
        <is>
          <t>U6θ</t>
        </is>
      </c>
      <c r="D530" s="187" t="inlineStr">
        <is>
          <t>=</t>
        </is>
      </c>
      <c r="E530" s="13" t="n">
        <v>0</v>
      </c>
      <c r="F530" s="12" t="inlineStr">
        <is>
          <t>U6θ</t>
        </is>
      </c>
      <c r="H530" s="11" t="inlineStr">
        <is>
          <t>D6θ</t>
        </is>
      </c>
      <c r="I530" s="12" t="inlineStr">
        <is>
          <t>U6θ</t>
        </is>
      </c>
      <c r="J530" s="187" t="inlineStr">
        <is>
          <t>=</t>
        </is>
      </c>
      <c r="K530" s="14">
        <f>H530</f>
        <v/>
      </c>
      <c r="L530" s="12" t="inlineStr">
        <is>
          <t>U6θ</t>
        </is>
      </c>
      <c r="N530" s="186">
        <f>IF(OR($G$4=0, 6&gt;$G$4), "RESTRINGIDO", IF(ISNUMBER(K530), IF(K530=0, "RESTRINGIDO", "LIBRE"), "LIBRE"))</f>
        <v/>
      </c>
    </row>
    <row r="531" ht="26.4" customHeight="1" s="183">
      <c r="B531" s="11" t="inlineStr">
        <is>
          <t>C7X</t>
        </is>
      </c>
      <c r="C531" s="12" t="inlineStr">
        <is>
          <t>U7X</t>
        </is>
      </c>
      <c r="D531" s="187" t="inlineStr">
        <is>
          <t>=</t>
        </is>
      </c>
      <c r="E531" s="13" t="n">
        <v>0</v>
      </c>
      <c r="F531" s="12" t="inlineStr">
        <is>
          <t>U7X</t>
        </is>
      </c>
      <c r="H531" s="11" t="inlineStr">
        <is>
          <t>D7X</t>
        </is>
      </c>
      <c r="I531" s="12" t="inlineStr">
        <is>
          <t>U7X</t>
        </is>
      </c>
      <c r="J531" s="187" t="inlineStr">
        <is>
          <t>=</t>
        </is>
      </c>
      <c r="K531" s="14">
        <f>H531</f>
        <v/>
      </c>
      <c r="L531" s="12" t="inlineStr">
        <is>
          <t>U7X</t>
        </is>
      </c>
      <c r="N531" s="186">
        <f>IF(OR($G$4=0, 7&gt;$G$4), "RESTRINGIDO", IF(ISNUMBER(K531), IF(K531=0, "RESTRINGIDO", "LIBRE"), "LIBRE"))</f>
        <v/>
      </c>
    </row>
    <row r="532" ht="26.4" customHeight="1" s="183">
      <c r="B532" s="11" t="inlineStr">
        <is>
          <t>C7Y</t>
        </is>
      </c>
      <c r="C532" s="12" t="inlineStr">
        <is>
          <t>U7Y</t>
        </is>
      </c>
      <c r="D532" s="187" t="inlineStr">
        <is>
          <t>=</t>
        </is>
      </c>
      <c r="E532" s="13" t="n">
        <v>0</v>
      </c>
      <c r="F532" s="12" t="inlineStr">
        <is>
          <t>U7Y</t>
        </is>
      </c>
      <c r="H532" s="11" t="inlineStr">
        <is>
          <t>D7Y</t>
        </is>
      </c>
      <c r="I532" s="12" t="inlineStr">
        <is>
          <t>U7Y</t>
        </is>
      </c>
      <c r="J532" s="187" t="inlineStr">
        <is>
          <t>=</t>
        </is>
      </c>
      <c r="K532" s="14">
        <f>H532</f>
        <v/>
      </c>
      <c r="L532" s="12" t="inlineStr">
        <is>
          <t>U7Y</t>
        </is>
      </c>
      <c r="N532" s="186">
        <f>IF(OR($G$4=0, 7&gt;$G$4), "RESTRINGIDO", IF(ISNUMBER(K532), IF(K532=0, "RESTRINGIDO", "LIBRE"), "LIBRE"))</f>
        <v/>
      </c>
    </row>
    <row r="533" ht="26.4" customHeight="1" s="183">
      <c r="B533" s="11" t="inlineStr">
        <is>
          <t>C7θ</t>
        </is>
      </c>
      <c r="C533" s="12" t="inlineStr">
        <is>
          <t>U7θ</t>
        </is>
      </c>
      <c r="D533" s="187" t="inlineStr">
        <is>
          <t>=</t>
        </is>
      </c>
      <c r="E533" s="13" t="n">
        <v>0</v>
      </c>
      <c r="F533" s="12" t="inlineStr">
        <is>
          <t>U7θ</t>
        </is>
      </c>
      <c r="H533" s="11" t="inlineStr">
        <is>
          <t>D7θ</t>
        </is>
      </c>
      <c r="I533" s="12" t="inlineStr">
        <is>
          <t>U7θ</t>
        </is>
      </c>
      <c r="J533" s="187" t="inlineStr">
        <is>
          <t>=</t>
        </is>
      </c>
      <c r="K533" s="14">
        <f>H533</f>
        <v/>
      </c>
      <c r="L533" s="12" t="inlineStr">
        <is>
          <t>U7θ</t>
        </is>
      </c>
      <c r="N533" s="186">
        <f>IF(OR($G$4=0, 7&gt;$G$4), "RESTRINGIDO", IF(ISNUMBER(K533), IF(K533=0, "RESTRINGIDO", "LIBRE"), "LIBRE"))</f>
        <v/>
      </c>
    </row>
    <row r="534" ht="26.4" customHeight="1" s="183">
      <c r="B534" s="11" t="inlineStr">
        <is>
          <t>C8X</t>
        </is>
      </c>
      <c r="C534" s="12" t="inlineStr">
        <is>
          <t>U8X</t>
        </is>
      </c>
      <c r="D534" s="187" t="inlineStr">
        <is>
          <t>=</t>
        </is>
      </c>
      <c r="E534" s="13" t="n">
        <v>0</v>
      </c>
      <c r="F534" s="12" t="inlineStr">
        <is>
          <t>U8X</t>
        </is>
      </c>
      <c r="H534" s="11" t="inlineStr">
        <is>
          <t>D8X</t>
        </is>
      </c>
      <c r="I534" s="12" t="inlineStr">
        <is>
          <t>U8X</t>
        </is>
      </c>
      <c r="J534" s="187" t="inlineStr">
        <is>
          <t>=</t>
        </is>
      </c>
      <c r="K534" s="14">
        <f>H534</f>
        <v/>
      </c>
      <c r="L534" s="12" t="inlineStr">
        <is>
          <t>U8X</t>
        </is>
      </c>
      <c r="N534" s="186">
        <f>IF(OR($G$4=0, 8&gt;$G$4), "RESTRINGIDO", IF(ISNUMBER(K534), IF(K534=0, "RESTRINGIDO", "LIBRE"), "LIBRE"))</f>
        <v/>
      </c>
    </row>
    <row r="535" ht="26.4" customHeight="1" s="183">
      <c r="B535" s="11" t="inlineStr">
        <is>
          <t>C8Y</t>
        </is>
      </c>
      <c r="C535" s="12" t="inlineStr">
        <is>
          <t>U8Y</t>
        </is>
      </c>
      <c r="D535" s="187" t="inlineStr">
        <is>
          <t>=</t>
        </is>
      </c>
      <c r="E535" s="13" t="n">
        <v>0</v>
      </c>
      <c r="F535" s="12" t="inlineStr">
        <is>
          <t>U8Y</t>
        </is>
      </c>
      <c r="H535" s="11" t="inlineStr">
        <is>
          <t>D8Y</t>
        </is>
      </c>
      <c r="I535" s="12" t="inlineStr">
        <is>
          <t>U8Y</t>
        </is>
      </c>
      <c r="J535" s="187" t="inlineStr">
        <is>
          <t>=</t>
        </is>
      </c>
      <c r="K535" s="14">
        <f>H535</f>
        <v/>
      </c>
      <c r="L535" s="12" t="inlineStr">
        <is>
          <t>U8Y</t>
        </is>
      </c>
      <c r="N535" s="186">
        <f>IF(OR($G$4=0, 8&gt;$G$4), "RESTRINGIDO", IF(ISNUMBER(K535), IF(K535=0, "RESTRINGIDO", "LIBRE"), "LIBRE"))</f>
        <v/>
      </c>
    </row>
    <row r="536" ht="26.4" customHeight="1" s="183">
      <c r="B536" s="11" t="inlineStr">
        <is>
          <t>C8θ</t>
        </is>
      </c>
      <c r="C536" s="12" t="inlineStr">
        <is>
          <t>U8θ</t>
        </is>
      </c>
      <c r="D536" s="187" t="inlineStr">
        <is>
          <t>=</t>
        </is>
      </c>
      <c r="E536" s="13" t="n">
        <v>0</v>
      </c>
      <c r="F536" s="12" t="inlineStr">
        <is>
          <t>U8θ</t>
        </is>
      </c>
      <c r="H536" s="11" t="inlineStr">
        <is>
          <t>D8θ</t>
        </is>
      </c>
      <c r="I536" s="12" t="inlineStr">
        <is>
          <t>U8θ</t>
        </is>
      </c>
      <c r="J536" s="187" t="inlineStr">
        <is>
          <t>=</t>
        </is>
      </c>
      <c r="K536" s="14">
        <f>H536</f>
        <v/>
      </c>
      <c r="L536" s="12" t="inlineStr">
        <is>
          <t>U8θ</t>
        </is>
      </c>
      <c r="N536" s="186">
        <f>IF(OR($G$4=0, 8&gt;$G$4), "RESTRINGIDO", IF(ISNUMBER(K536), IF(K536=0, "RESTRINGIDO", "LIBRE"), "LIBRE"))</f>
        <v/>
      </c>
    </row>
    <row r="537" ht="26.4" customHeight="1" s="183">
      <c r="B537" s="11" t="inlineStr">
        <is>
          <t>C9X</t>
        </is>
      </c>
      <c r="C537" s="12" t="inlineStr">
        <is>
          <t>U9X</t>
        </is>
      </c>
      <c r="D537" s="187" t="inlineStr">
        <is>
          <t>=</t>
        </is>
      </c>
      <c r="E537" s="13" t="n">
        <v>0</v>
      </c>
      <c r="F537" s="12" t="inlineStr">
        <is>
          <t>U9X</t>
        </is>
      </c>
      <c r="H537" s="11" t="inlineStr">
        <is>
          <t>D9X</t>
        </is>
      </c>
      <c r="I537" s="12" t="inlineStr">
        <is>
          <t>U9X</t>
        </is>
      </c>
      <c r="J537" s="187" t="inlineStr">
        <is>
          <t>=</t>
        </is>
      </c>
      <c r="K537" s="14">
        <f>H537</f>
        <v/>
      </c>
      <c r="L537" s="12" t="inlineStr">
        <is>
          <t>U9X</t>
        </is>
      </c>
      <c r="N537" s="186">
        <f>IF(OR($G$4=0, 9&gt;$G$4), "RESTRINGIDO", IF(ISNUMBER(K537), IF(K537=0, "RESTRINGIDO", "LIBRE"), "LIBRE"))</f>
        <v/>
      </c>
    </row>
    <row r="538" ht="26.4" customHeight="1" s="183">
      <c r="B538" s="11" t="inlineStr">
        <is>
          <t>C9Y</t>
        </is>
      </c>
      <c r="C538" s="12" t="inlineStr">
        <is>
          <t>U9Y</t>
        </is>
      </c>
      <c r="D538" s="187" t="inlineStr">
        <is>
          <t>=</t>
        </is>
      </c>
      <c r="E538" s="13" t="n">
        <v>0</v>
      </c>
      <c r="F538" s="12" t="inlineStr">
        <is>
          <t>U9Y</t>
        </is>
      </c>
      <c r="H538" s="11" t="inlineStr">
        <is>
          <t>D9Y</t>
        </is>
      </c>
      <c r="I538" s="12" t="inlineStr">
        <is>
          <t>U9Y</t>
        </is>
      </c>
      <c r="J538" s="187" t="inlineStr">
        <is>
          <t>=</t>
        </is>
      </c>
      <c r="K538" s="14">
        <f>H538</f>
        <v/>
      </c>
      <c r="L538" s="12" t="inlineStr">
        <is>
          <t>U9Y</t>
        </is>
      </c>
      <c r="N538" s="186">
        <f>IF(OR($G$4=0, 9&gt;$G$4), "RESTRINGIDO", IF(ISNUMBER(K538), IF(K538=0, "RESTRINGIDO", "LIBRE"), "LIBRE"))</f>
        <v/>
      </c>
    </row>
    <row r="539" ht="26.4" customHeight="1" s="183">
      <c r="B539" s="11" t="inlineStr">
        <is>
          <t>C9θ</t>
        </is>
      </c>
      <c r="C539" s="12" t="inlineStr">
        <is>
          <t>U9θ</t>
        </is>
      </c>
      <c r="D539" s="187" t="inlineStr">
        <is>
          <t>=</t>
        </is>
      </c>
      <c r="E539" s="13" t="n">
        <v>0</v>
      </c>
      <c r="F539" s="12" t="inlineStr">
        <is>
          <t>U9θ</t>
        </is>
      </c>
      <c r="H539" s="11" t="inlineStr">
        <is>
          <t>D9θ</t>
        </is>
      </c>
      <c r="I539" s="12" t="inlineStr">
        <is>
          <t>U9θ</t>
        </is>
      </c>
      <c r="J539" s="187" t="inlineStr">
        <is>
          <t>=</t>
        </is>
      </c>
      <c r="K539" s="14">
        <f>H539</f>
        <v/>
      </c>
      <c r="L539" s="12" t="inlineStr">
        <is>
          <t>U9θ</t>
        </is>
      </c>
      <c r="N539" s="186">
        <f>IF(OR($G$4=0, 9&gt;$G$4), "RESTRINGIDO", IF(ISNUMBER(K539), IF(K539=0, "RESTRINGIDO", "LIBRE"), "LIBRE"))</f>
        <v/>
      </c>
    </row>
    <row r="540" ht="26.4" customHeight="1" s="183">
      <c r="B540" s="11" t="inlineStr">
        <is>
          <t>C10X</t>
        </is>
      </c>
      <c r="C540" s="12" t="inlineStr">
        <is>
          <t>U10X</t>
        </is>
      </c>
      <c r="D540" s="187" t="inlineStr">
        <is>
          <t>=</t>
        </is>
      </c>
      <c r="E540" s="13" t="n">
        <v>0</v>
      </c>
      <c r="F540" s="12" t="inlineStr">
        <is>
          <t>U10X</t>
        </is>
      </c>
      <c r="H540" s="11" t="inlineStr">
        <is>
          <t>D10X</t>
        </is>
      </c>
      <c r="I540" s="12" t="inlineStr">
        <is>
          <t>U10X</t>
        </is>
      </c>
      <c r="J540" s="187" t="inlineStr">
        <is>
          <t>=</t>
        </is>
      </c>
      <c r="K540" s="14">
        <f>H540</f>
        <v/>
      </c>
      <c r="L540" s="12" t="inlineStr">
        <is>
          <t>U10X</t>
        </is>
      </c>
      <c r="N540" s="186">
        <f>IF(OR($G$4=0, 10&gt;$G$4), "RESTRINGIDO", IF(ISNUMBER(K540), IF(K540=0, "RESTRINGIDO", "LIBRE"), "LIBRE"))</f>
        <v/>
      </c>
    </row>
    <row r="541" ht="26.4" customHeight="1" s="183">
      <c r="B541" s="11" t="inlineStr">
        <is>
          <t>C10Y</t>
        </is>
      </c>
      <c r="C541" s="12" t="inlineStr">
        <is>
          <t>U10Y</t>
        </is>
      </c>
      <c r="D541" s="187" t="inlineStr">
        <is>
          <t>=</t>
        </is>
      </c>
      <c r="E541" s="13" t="n">
        <v>0</v>
      </c>
      <c r="F541" s="12" t="inlineStr">
        <is>
          <t>U10Y</t>
        </is>
      </c>
      <c r="H541" s="11" t="inlineStr">
        <is>
          <t>D10Y</t>
        </is>
      </c>
      <c r="I541" s="12" t="inlineStr">
        <is>
          <t>U10Y</t>
        </is>
      </c>
      <c r="J541" s="187" t="inlineStr">
        <is>
          <t>=</t>
        </is>
      </c>
      <c r="K541" s="14">
        <f>H541</f>
        <v/>
      </c>
      <c r="L541" s="12" t="inlineStr">
        <is>
          <t>U10Y</t>
        </is>
      </c>
      <c r="N541" s="186">
        <f>IF(OR($G$4=0, 10&gt;$G$4), "RESTRINGIDO", IF(ISNUMBER(K541), IF(K541=0, "RESTRINGIDO", "LIBRE"), "LIBRE"))</f>
        <v/>
      </c>
    </row>
    <row r="542" ht="26.4" customHeight="1" s="183">
      <c r="B542" s="11" t="inlineStr">
        <is>
          <t>C10θ</t>
        </is>
      </c>
      <c r="C542" s="12" t="inlineStr">
        <is>
          <t>U10θ</t>
        </is>
      </c>
      <c r="D542" s="187" t="inlineStr">
        <is>
          <t>=</t>
        </is>
      </c>
      <c r="E542" s="13" t="n">
        <v>0</v>
      </c>
      <c r="F542" s="12" t="inlineStr">
        <is>
          <t>U10θ</t>
        </is>
      </c>
      <c r="H542" s="11" t="inlineStr">
        <is>
          <t>D10θ</t>
        </is>
      </c>
      <c r="I542" s="12" t="inlineStr">
        <is>
          <t>U10θ</t>
        </is>
      </c>
      <c r="J542" s="187" t="inlineStr">
        <is>
          <t>=</t>
        </is>
      </c>
      <c r="K542" s="14">
        <f>H542</f>
        <v/>
      </c>
      <c r="L542" s="12" t="inlineStr">
        <is>
          <t>U10θ</t>
        </is>
      </c>
      <c r="N542" s="186">
        <f>IF(OR($G$4=0, 10&gt;$G$4), "RESTRINGIDO", IF(ISNUMBER(K542), IF(K542=0, "RESTRINGIDO", "LIBRE"), "LIBRE"))</f>
        <v/>
      </c>
    </row>
    <row r="543" ht="26.4" customHeight="1" s="183">
      <c r="B543" s="11" t="inlineStr">
        <is>
          <t>C11X</t>
        </is>
      </c>
      <c r="C543" s="12" t="inlineStr">
        <is>
          <t>U11X</t>
        </is>
      </c>
      <c r="D543" s="187" t="inlineStr">
        <is>
          <t>=</t>
        </is>
      </c>
      <c r="E543" s="13" t="n">
        <v>0</v>
      </c>
      <c r="F543" s="12" t="inlineStr">
        <is>
          <t>U11X</t>
        </is>
      </c>
      <c r="H543" s="11" t="inlineStr">
        <is>
          <t>D11X</t>
        </is>
      </c>
      <c r="I543" s="12" t="inlineStr">
        <is>
          <t>U11X</t>
        </is>
      </c>
      <c r="J543" s="187" t="inlineStr">
        <is>
          <t>=</t>
        </is>
      </c>
      <c r="K543" s="14">
        <f>H543</f>
        <v/>
      </c>
      <c r="L543" s="12" t="inlineStr">
        <is>
          <t>U11X</t>
        </is>
      </c>
      <c r="N543" s="186">
        <f>IF(OR($G$4=0, 11&gt;$G$4), "RESTRINGIDO", IF(ISNUMBER(K543), IF(K543=0, "RESTRINGIDO", "LIBRE"), "LIBRE"))</f>
        <v/>
      </c>
    </row>
    <row r="544" ht="26.4" customHeight="1" s="183">
      <c r="B544" s="11" t="inlineStr">
        <is>
          <t>C11Y</t>
        </is>
      </c>
      <c r="C544" s="12" t="inlineStr">
        <is>
          <t>U11Y</t>
        </is>
      </c>
      <c r="D544" s="187" t="inlineStr">
        <is>
          <t>=</t>
        </is>
      </c>
      <c r="E544" s="13" t="n">
        <v>0</v>
      </c>
      <c r="F544" s="12" t="inlineStr">
        <is>
          <t>U11Y</t>
        </is>
      </c>
      <c r="H544" s="11" t="inlineStr">
        <is>
          <t>D11Y</t>
        </is>
      </c>
      <c r="I544" s="12" t="inlineStr">
        <is>
          <t>U11Y</t>
        </is>
      </c>
      <c r="J544" s="187" t="inlineStr">
        <is>
          <t>=</t>
        </is>
      </c>
      <c r="K544" s="14">
        <f>H544</f>
        <v/>
      </c>
      <c r="L544" s="12" t="inlineStr">
        <is>
          <t>U11Y</t>
        </is>
      </c>
      <c r="N544" s="186">
        <f>IF(OR($G$4=0, 11&gt;$G$4), "RESTRINGIDO", IF(ISNUMBER(K544), IF(K544=0, "RESTRINGIDO", "LIBRE"), "LIBRE"))</f>
        <v/>
      </c>
    </row>
    <row r="545" ht="26.4" customHeight="1" s="183">
      <c r="B545" s="11" t="inlineStr">
        <is>
          <t>C11θ</t>
        </is>
      </c>
      <c r="C545" s="12" t="inlineStr">
        <is>
          <t>U11θ</t>
        </is>
      </c>
      <c r="D545" s="187" t="inlineStr">
        <is>
          <t>=</t>
        </is>
      </c>
      <c r="E545" s="13" t="n">
        <v>0</v>
      </c>
      <c r="F545" s="12" t="inlineStr">
        <is>
          <t>U11θ</t>
        </is>
      </c>
      <c r="H545" s="11" t="inlineStr">
        <is>
          <t>D11θ</t>
        </is>
      </c>
      <c r="I545" s="12" t="inlineStr">
        <is>
          <t>U11θ</t>
        </is>
      </c>
      <c r="J545" s="187" t="inlineStr">
        <is>
          <t>=</t>
        </is>
      </c>
      <c r="K545" s="14">
        <f>H545</f>
        <v/>
      </c>
      <c r="L545" s="12" t="inlineStr">
        <is>
          <t>U11θ</t>
        </is>
      </c>
      <c r="N545" s="186">
        <f>IF(OR($G$4=0, 11&gt;$G$4), "RESTRINGIDO", IF(ISNUMBER(K545), IF(K545=0, "RESTRINGIDO", "LIBRE"), "LIBRE"))</f>
        <v/>
      </c>
    </row>
    <row r="548">
      <c r="B548" s="53" t="inlineStr">
        <is>
          <t>ECUACION MATRICIAL DEL SISTEMA: {C} = [Kviga] * {D}</t>
        </is>
      </c>
      <c r="C548" s="190" t="n"/>
      <c r="D548" s="190" t="n"/>
      <c r="E548" s="190" t="n"/>
      <c r="F548" s="190" t="n"/>
      <c r="G548" s="190" t="n"/>
      <c r="H548" s="190" t="n"/>
      <c r="I548" s="190" t="n"/>
      <c r="J548" s="190" t="n"/>
      <c r="K548" s="190" t="n"/>
      <c r="L548" s="190" t="n"/>
      <c r="M548" s="190" t="n"/>
      <c r="N548" s="190" t="n"/>
      <c r="O548" s="190" t="n"/>
      <c r="P548" s="190" t="n"/>
      <c r="Q548" s="190" t="n"/>
      <c r="R548" s="190" t="n"/>
      <c r="S548" s="190" t="n"/>
      <c r="T548" s="190" t="n"/>
      <c r="U548" s="190" t="n"/>
      <c r="V548" s="190" t="n"/>
      <c r="W548" s="190" t="n"/>
      <c r="X548" s="190" t="n"/>
      <c r="Y548" s="190" t="n"/>
      <c r="Z548" s="190" t="n"/>
      <c r="AA548" s="190" t="n"/>
      <c r="AB548" s="190" t="n"/>
      <c r="AC548" s="190" t="n"/>
      <c r="AD548" s="190" t="n"/>
      <c r="AE548" s="190" t="n"/>
      <c r="AF548" s="190" t="n"/>
      <c r="AG548" s="190" t="n"/>
      <c r="AH548" s="191" t="n"/>
    </row>
    <row r="550">
      <c r="A550" s="189">
        <f>E513</f>
        <v/>
      </c>
      <c r="B550" s="118" t="inlineStr">
        <is>
          <t>=</t>
        </is>
      </c>
      <c r="C550" s="8">
        <f>B476</f>
        <v/>
      </c>
      <c r="D550" s="189">
        <f>C476</f>
        <v/>
      </c>
      <c r="E550" s="189">
        <f>D476</f>
        <v/>
      </c>
      <c r="F550" s="189">
        <f>E476</f>
        <v/>
      </c>
      <c r="G550" s="189">
        <f>F476</f>
        <v/>
      </c>
      <c r="H550" s="189">
        <f>G476</f>
        <v/>
      </c>
      <c r="I550" s="189">
        <f>H476</f>
        <v/>
      </c>
      <c r="J550" s="189">
        <f>I476</f>
        <v/>
      </c>
      <c r="K550" s="189">
        <f>J476</f>
        <v/>
      </c>
      <c r="L550" s="189">
        <f>K476</f>
        <v/>
      </c>
      <c r="M550" s="189">
        <f>L476</f>
        <v/>
      </c>
      <c r="N550" s="189">
        <f>M476</f>
        <v/>
      </c>
      <c r="O550" s="189">
        <f>N476</f>
        <v/>
      </c>
      <c r="P550" s="189">
        <f>O476</f>
        <v/>
      </c>
      <c r="Q550" s="189">
        <f>P476</f>
        <v/>
      </c>
      <c r="R550" s="189">
        <f>Q476</f>
        <v/>
      </c>
      <c r="S550" s="189">
        <f>R476</f>
        <v/>
      </c>
      <c r="T550" s="189">
        <f>S476</f>
        <v/>
      </c>
      <c r="U550" s="189">
        <f>T476</f>
        <v/>
      </c>
      <c r="V550" s="189">
        <f>U476</f>
        <v/>
      </c>
      <c r="W550" s="189">
        <f>V476</f>
        <v/>
      </c>
      <c r="X550" s="189">
        <f>W476</f>
        <v/>
      </c>
      <c r="Y550" s="189">
        <f>X476</f>
        <v/>
      </c>
      <c r="Z550" s="189">
        <f>Y476</f>
        <v/>
      </c>
      <c r="AA550" s="189">
        <f>Z476</f>
        <v/>
      </c>
      <c r="AB550" s="189">
        <f>AA476</f>
        <v/>
      </c>
      <c r="AC550" s="189">
        <f>AB476</f>
        <v/>
      </c>
      <c r="AD550" s="189">
        <f>AC476</f>
        <v/>
      </c>
      <c r="AE550" s="189">
        <f>AD476</f>
        <v/>
      </c>
      <c r="AF550" s="189">
        <f>AE476</f>
        <v/>
      </c>
      <c r="AG550" s="189">
        <f>AF476</f>
        <v/>
      </c>
      <c r="AH550" s="189">
        <f>AG476</f>
        <v/>
      </c>
      <c r="AI550" s="189">
        <f>AH476</f>
        <v/>
      </c>
      <c r="AQ550" s="187">
        <f>K513</f>
        <v/>
      </c>
    </row>
    <row r="551">
      <c r="A551" s="189">
        <f>E514</f>
        <v/>
      </c>
      <c r="B551" s="118" t="inlineStr">
        <is>
          <t>=</t>
        </is>
      </c>
      <c r="C551" s="189">
        <f>B477</f>
        <v/>
      </c>
      <c r="D551" s="8">
        <f>C477</f>
        <v/>
      </c>
      <c r="E551" s="189">
        <f>D477</f>
        <v/>
      </c>
      <c r="F551" s="189">
        <f>E477</f>
        <v/>
      </c>
      <c r="G551" s="189">
        <f>F477</f>
        <v/>
      </c>
      <c r="H551" s="189">
        <f>G477</f>
        <v/>
      </c>
      <c r="I551" s="189">
        <f>H477</f>
        <v/>
      </c>
      <c r="J551" s="189">
        <f>I477</f>
        <v/>
      </c>
      <c r="K551" s="189">
        <f>J477</f>
        <v/>
      </c>
      <c r="L551" s="189">
        <f>K477</f>
        <v/>
      </c>
      <c r="M551" s="189">
        <f>L477</f>
        <v/>
      </c>
      <c r="N551" s="189">
        <f>M477</f>
        <v/>
      </c>
      <c r="O551" s="189">
        <f>N477</f>
        <v/>
      </c>
      <c r="P551" s="189">
        <f>O477</f>
        <v/>
      </c>
      <c r="Q551" s="189">
        <f>P477</f>
        <v/>
      </c>
      <c r="R551" s="189">
        <f>Q477</f>
        <v/>
      </c>
      <c r="S551" s="189">
        <f>R477</f>
        <v/>
      </c>
      <c r="T551" s="189">
        <f>S477</f>
        <v/>
      </c>
      <c r="U551" s="189">
        <f>T477</f>
        <v/>
      </c>
      <c r="V551" s="189">
        <f>U477</f>
        <v/>
      </c>
      <c r="W551" s="189">
        <f>V477</f>
        <v/>
      </c>
      <c r="X551" s="189">
        <f>W477</f>
        <v/>
      </c>
      <c r="Y551" s="189">
        <f>X477</f>
        <v/>
      </c>
      <c r="Z551" s="189">
        <f>Y477</f>
        <v/>
      </c>
      <c r="AA551" s="189">
        <f>Z477</f>
        <v/>
      </c>
      <c r="AB551" s="189">
        <f>AA477</f>
        <v/>
      </c>
      <c r="AC551" s="189">
        <f>AB477</f>
        <v/>
      </c>
      <c r="AD551" s="189">
        <f>AC477</f>
        <v/>
      </c>
      <c r="AE551" s="189">
        <f>AD477</f>
        <v/>
      </c>
      <c r="AF551" s="189">
        <f>AE477</f>
        <v/>
      </c>
      <c r="AG551" s="189">
        <f>AF477</f>
        <v/>
      </c>
      <c r="AH551" s="189">
        <f>AG477</f>
        <v/>
      </c>
      <c r="AI551" s="189">
        <f>AH477</f>
        <v/>
      </c>
      <c r="AQ551" s="187">
        <f>K514</f>
        <v/>
      </c>
    </row>
    <row r="552">
      <c r="A552" s="189">
        <f>E515</f>
        <v/>
      </c>
      <c r="B552" s="118" t="inlineStr">
        <is>
          <t>=</t>
        </is>
      </c>
      <c r="C552" s="189">
        <f>B478</f>
        <v/>
      </c>
      <c r="D552" s="189">
        <f>C478</f>
        <v/>
      </c>
      <c r="E552" s="8">
        <f>D478</f>
        <v/>
      </c>
      <c r="F552" s="189">
        <f>E478</f>
        <v/>
      </c>
      <c r="G552" s="189">
        <f>F478</f>
        <v/>
      </c>
      <c r="H552" s="189">
        <f>G478</f>
        <v/>
      </c>
      <c r="I552" s="189">
        <f>H478</f>
        <v/>
      </c>
      <c r="J552" s="189">
        <f>I478</f>
        <v/>
      </c>
      <c r="K552" s="189">
        <f>J478</f>
        <v/>
      </c>
      <c r="L552" s="189">
        <f>K478</f>
        <v/>
      </c>
      <c r="M552" s="189">
        <f>L478</f>
        <v/>
      </c>
      <c r="N552" s="189">
        <f>M478</f>
        <v/>
      </c>
      <c r="O552" s="189">
        <f>N478</f>
        <v/>
      </c>
      <c r="P552" s="189">
        <f>O478</f>
        <v/>
      </c>
      <c r="Q552" s="189">
        <f>P478</f>
        <v/>
      </c>
      <c r="R552" s="189">
        <f>Q478</f>
        <v/>
      </c>
      <c r="S552" s="189">
        <f>R478</f>
        <v/>
      </c>
      <c r="T552" s="189">
        <f>S478</f>
        <v/>
      </c>
      <c r="U552" s="189">
        <f>T478</f>
        <v/>
      </c>
      <c r="V552" s="189">
        <f>U478</f>
        <v/>
      </c>
      <c r="W552" s="189">
        <f>V478</f>
        <v/>
      </c>
      <c r="X552" s="189">
        <f>W478</f>
        <v/>
      </c>
      <c r="Y552" s="189">
        <f>X478</f>
        <v/>
      </c>
      <c r="Z552" s="189">
        <f>Y478</f>
        <v/>
      </c>
      <c r="AA552" s="189">
        <f>Z478</f>
        <v/>
      </c>
      <c r="AB552" s="189">
        <f>AA478</f>
        <v/>
      </c>
      <c r="AC552" s="189">
        <f>AB478</f>
        <v/>
      </c>
      <c r="AD552" s="189">
        <f>AC478</f>
        <v/>
      </c>
      <c r="AE552" s="189">
        <f>AD478</f>
        <v/>
      </c>
      <c r="AF552" s="189">
        <f>AE478</f>
        <v/>
      </c>
      <c r="AG552" s="189">
        <f>AF478</f>
        <v/>
      </c>
      <c r="AH552" s="189">
        <f>AG478</f>
        <v/>
      </c>
      <c r="AI552" s="189">
        <f>AH478</f>
        <v/>
      </c>
      <c r="AQ552" s="187">
        <f>K515</f>
        <v/>
      </c>
    </row>
    <row r="553">
      <c r="A553" s="189">
        <f>E516</f>
        <v/>
      </c>
      <c r="B553" s="118" t="inlineStr">
        <is>
          <t>=</t>
        </is>
      </c>
      <c r="C553" s="189">
        <f>B479</f>
        <v/>
      </c>
      <c r="D553" s="189">
        <f>C479</f>
        <v/>
      </c>
      <c r="E553" s="189">
        <f>D479</f>
        <v/>
      </c>
      <c r="F553" s="8">
        <f>E479</f>
        <v/>
      </c>
      <c r="G553" s="189">
        <f>F479</f>
        <v/>
      </c>
      <c r="H553" s="189">
        <f>G479</f>
        <v/>
      </c>
      <c r="I553" s="189">
        <f>H479</f>
        <v/>
      </c>
      <c r="J553" s="189">
        <f>I479</f>
        <v/>
      </c>
      <c r="K553" s="189">
        <f>J479</f>
        <v/>
      </c>
      <c r="L553" s="189">
        <f>K479</f>
        <v/>
      </c>
      <c r="M553" s="189">
        <f>L479</f>
        <v/>
      </c>
      <c r="N553" s="189">
        <f>M479</f>
        <v/>
      </c>
      <c r="O553" s="189">
        <f>N479</f>
        <v/>
      </c>
      <c r="P553" s="189">
        <f>O479</f>
        <v/>
      </c>
      <c r="Q553" s="189">
        <f>P479</f>
        <v/>
      </c>
      <c r="R553" s="189">
        <f>Q479</f>
        <v/>
      </c>
      <c r="S553" s="189">
        <f>R479</f>
        <v/>
      </c>
      <c r="T553" s="189">
        <f>S479</f>
        <v/>
      </c>
      <c r="U553" s="189">
        <f>T479</f>
        <v/>
      </c>
      <c r="V553" s="189">
        <f>U479</f>
        <v/>
      </c>
      <c r="W553" s="189">
        <f>V479</f>
        <v/>
      </c>
      <c r="X553" s="189">
        <f>W479</f>
        <v/>
      </c>
      <c r="Y553" s="189">
        <f>X479</f>
        <v/>
      </c>
      <c r="Z553" s="189">
        <f>Y479</f>
        <v/>
      </c>
      <c r="AA553" s="189">
        <f>Z479</f>
        <v/>
      </c>
      <c r="AB553" s="189">
        <f>AA479</f>
        <v/>
      </c>
      <c r="AC553" s="189">
        <f>AB479</f>
        <v/>
      </c>
      <c r="AD553" s="189">
        <f>AC479</f>
        <v/>
      </c>
      <c r="AE553" s="189">
        <f>AD479</f>
        <v/>
      </c>
      <c r="AF553" s="189">
        <f>AE479</f>
        <v/>
      </c>
      <c r="AG553" s="189">
        <f>AF479</f>
        <v/>
      </c>
      <c r="AH553" s="189">
        <f>AG479</f>
        <v/>
      </c>
      <c r="AI553" s="189">
        <f>AH479</f>
        <v/>
      </c>
      <c r="AQ553" s="187">
        <f>K516</f>
        <v/>
      </c>
    </row>
    <row r="554">
      <c r="A554" s="189">
        <f>E517</f>
        <v/>
      </c>
      <c r="B554" s="118" t="inlineStr">
        <is>
          <t>=</t>
        </is>
      </c>
      <c r="C554" s="189">
        <f>B480</f>
        <v/>
      </c>
      <c r="D554" s="189">
        <f>C480</f>
        <v/>
      </c>
      <c r="E554" s="189">
        <f>D480</f>
        <v/>
      </c>
      <c r="F554" s="189">
        <f>E480</f>
        <v/>
      </c>
      <c r="G554" s="8">
        <f>F480</f>
        <v/>
      </c>
      <c r="H554" s="189">
        <f>G480</f>
        <v/>
      </c>
      <c r="I554" s="189">
        <f>H480</f>
        <v/>
      </c>
      <c r="J554" s="189">
        <f>I480</f>
        <v/>
      </c>
      <c r="K554" s="189">
        <f>J480</f>
        <v/>
      </c>
      <c r="L554" s="189">
        <f>K480</f>
        <v/>
      </c>
      <c r="M554" s="189">
        <f>L480</f>
        <v/>
      </c>
      <c r="N554" s="189">
        <f>M480</f>
        <v/>
      </c>
      <c r="O554" s="189">
        <f>N480</f>
        <v/>
      </c>
      <c r="P554" s="189">
        <f>O480</f>
        <v/>
      </c>
      <c r="Q554" s="189">
        <f>P480</f>
        <v/>
      </c>
      <c r="R554" s="189">
        <f>Q480</f>
        <v/>
      </c>
      <c r="S554" s="189">
        <f>R480</f>
        <v/>
      </c>
      <c r="T554" s="189">
        <f>S480</f>
        <v/>
      </c>
      <c r="U554" s="189">
        <f>T480</f>
        <v/>
      </c>
      <c r="V554" s="189">
        <f>U480</f>
        <v/>
      </c>
      <c r="W554" s="189">
        <f>V480</f>
        <v/>
      </c>
      <c r="X554" s="189">
        <f>W480</f>
        <v/>
      </c>
      <c r="Y554" s="189">
        <f>X480</f>
        <v/>
      </c>
      <c r="Z554" s="189">
        <f>Y480</f>
        <v/>
      </c>
      <c r="AA554" s="189">
        <f>Z480</f>
        <v/>
      </c>
      <c r="AB554" s="189">
        <f>AA480</f>
        <v/>
      </c>
      <c r="AC554" s="189">
        <f>AB480</f>
        <v/>
      </c>
      <c r="AD554" s="189">
        <f>AC480</f>
        <v/>
      </c>
      <c r="AE554" s="189">
        <f>AD480</f>
        <v/>
      </c>
      <c r="AF554" s="189">
        <f>AE480</f>
        <v/>
      </c>
      <c r="AG554" s="189">
        <f>AF480</f>
        <v/>
      </c>
      <c r="AH554" s="189">
        <f>AG480</f>
        <v/>
      </c>
      <c r="AI554" s="189">
        <f>AH480</f>
        <v/>
      </c>
      <c r="AQ554" s="187">
        <f>K517</f>
        <v/>
      </c>
    </row>
    <row r="555">
      <c r="A555" s="189">
        <f>E518</f>
        <v/>
      </c>
      <c r="B555" s="118" t="inlineStr">
        <is>
          <t>=</t>
        </is>
      </c>
      <c r="C555" s="189">
        <f>B481</f>
        <v/>
      </c>
      <c r="D555" s="189">
        <f>C481</f>
        <v/>
      </c>
      <c r="E555" s="189">
        <f>D481</f>
        <v/>
      </c>
      <c r="F555" s="189">
        <f>E481</f>
        <v/>
      </c>
      <c r="G555" s="189">
        <f>F481</f>
        <v/>
      </c>
      <c r="H555" s="8">
        <f>G481</f>
        <v/>
      </c>
      <c r="I555" s="189">
        <f>H481</f>
        <v/>
      </c>
      <c r="J555" s="189">
        <f>I481</f>
        <v/>
      </c>
      <c r="K555" s="189">
        <f>J481</f>
        <v/>
      </c>
      <c r="L555" s="189">
        <f>K481</f>
        <v/>
      </c>
      <c r="M555" s="189">
        <f>L481</f>
        <v/>
      </c>
      <c r="N555" s="189">
        <f>M481</f>
        <v/>
      </c>
      <c r="O555" s="189">
        <f>N481</f>
        <v/>
      </c>
      <c r="P555" s="189">
        <f>O481</f>
        <v/>
      </c>
      <c r="Q555" s="189">
        <f>P481</f>
        <v/>
      </c>
      <c r="R555" s="189">
        <f>Q481</f>
        <v/>
      </c>
      <c r="S555" s="189">
        <f>R481</f>
        <v/>
      </c>
      <c r="T555" s="189">
        <f>S481</f>
        <v/>
      </c>
      <c r="U555" s="189">
        <f>T481</f>
        <v/>
      </c>
      <c r="V555" s="189">
        <f>U481</f>
        <v/>
      </c>
      <c r="W555" s="189">
        <f>V481</f>
        <v/>
      </c>
      <c r="X555" s="189">
        <f>W481</f>
        <v/>
      </c>
      <c r="Y555" s="189">
        <f>X481</f>
        <v/>
      </c>
      <c r="Z555" s="189">
        <f>Y481</f>
        <v/>
      </c>
      <c r="AA555" s="189">
        <f>Z481</f>
        <v/>
      </c>
      <c r="AB555" s="189">
        <f>AA481</f>
        <v/>
      </c>
      <c r="AC555" s="189">
        <f>AB481</f>
        <v/>
      </c>
      <c r="AD555" s="189">
        <f>AC481</f>
        <v/>
      </c>
      <c r="AE555" s="189">
        <f>AD481</f>
        <v/>
      </c>
      <c r="AF555" s="189">
        <f>AE481</f>
        <v/>
      </c>
      <c r="AG555" s="189">
        <f>AF481</f>
        <v/>
      </c>
      <c r="AH555" s="189">
        <f>AG481</f>
        <v/>
      </c>
      <c r="AI555" s="189">
        <f>AH481</f>
        <v/>
      </c>
      <c r="AQ555" s="187">
        <f>K518</f>
        <v/>
      </c>
    </row>
    <row r="556">
      <c r="A556" s="189">
        <f>E519</f>
        <v/>
      </c>
      <c r="B556" s="118" t="inlineStr">
        <is>
          <t>=</t>
        </is>
      </c>
      <c r="C556" s="189">
        <f>B482</f>
        <v/>
      </c>
      <c r="D556" s="189">
        <f>C482</f>
        <v/>
      </c>
      <c r="E556" s="189">
        <f>D482</f>
        <v/>
      </c>
      <c r="F556" s="189">
        <f>E482</f>
        <v/>
      </c>
      <c r="G556" s="189">
        <f>F482</f>
        <v/>
      </c>
      <c r="H556" s="189">
        <f>G482</f>
        <v/>
      </c>
      <c r="I556" s="8">
        <f>H482</f>
        <v/>
      </c>
      <c r="J556" s="189">
        <f>I482</f>
        <v/>
      </c>
      <c r="K556" s="189">
        <f>J482</f>
        <v/>
      </c>
      <c r="L556" s="189">
        <f>K482</f>
        <v/>
      </c>
      <c r="M556" s="189">
        <f>L482</f>
        <v/>
      </c>
      <c r="N556" s="189">
        <f>M482</f>
        <v/>
      </c>
      <c r="O556" s="189">
        <f>N482</f>
        <v/>
      </c>
      <c r="P556" s="189">
        <f>O482</f>
        <v/>
      </c>
      <c r="Q556" s="189">
        <f>P482</f>
        <v/>
      </c>
      <c r="R556" s="189">
        <f>Q482</f>
        <v/>
      </c>
      <c r="S556" s="189">
        <f>R482</f>
        <v/>
      </c>
      <c r="T556" s="189">
        <f>S482</f>
        <v/>
      </c>
      <c r="U556" s="189">
        <f>T482</f>
        <v/>
      </c>
      <c r="V556" s="189">
        <f>U482</f>
        <v/>
      </c>
      <c r="W556" s="189">
        <f>V482</f>
        <v/>
      </c>
      <c r="X556" s="189">
        <f>W482</f>
        <v/>
      </c>
      <c r="Y556" s="189">
        <f>X482</f>
        <v/>
      </c>
      <c r="Z556" s="189">
        <f>Y482</f>
        <v/>
      </c>
      <c r="AA556" s="189">
        <f>Z482</f>
        <v/>
      </c>
      <c r="AB556" s="189">
        <f>AA482</f>
        <v/>
      </c>
      <c r="AC556" s="189">
        <f>AB482</f>
        <v/>
      </c>
      <c r="AD556" s="189">
        <f>AC482</f>
        <v/>
      </c>
      <c r="AE556" s="189">
        <f>AD482</f>
        <v/>
      </c>
      <c r="AF556" s="189">
        <f>AE482</f>
        <v/>
      </c>
      <c r="AG556" s="189">
        <f>AF482</f>
        <v/>
      </c>
      <c r="AH556" s="189">
        <f>AG482</f>
        <v/>
      </c>
      <c r="AI556" s="189">
        <f>AH482</f>
        <v/>
      </c>
      <c r="AQ556" s="187">
        <f>K519</f>
        <v/>
      </c>
    </row>
    <row r="557">
      <c r="A557" s="189">
        <f>E520</f>
        <v/>
      </c>
      <c r="B557" s="118" t="inlineStr">
        <is>
          <t>=</t>
        </is>
      </c>
      <c r="C557" s="189">
        <f>B483</f>
        <v/>
      </c>
      <c r="D557" s="189">
        <f>C483</f>
        <v/>
      </c>
      <c r="E557" s="189">
        <f>D483</f>
        <v/>
      </c>
      <c r="F557" s="189">
        <f>E483</f>
        <v/>
      </c>
      <c r="G557" s="189">
        <f>F483</f>
        <v/>
      </c>
      <c r="H557" s="189">
        <f>G483</f>
        <v/>
      </c>
      <c r="I557" s="189">
        <f>H483</f>
        <v/>
      </c>
      <c r="J557" s="8">
        <f>I483</f>
        <v/>
      </c>
      <c r="K557" s="189">
        <f>J483</f>
        <v/>
      </c>
      <c r="L557" s="189">
        <f>K483</f>
        <v/>
      </c>
      <c r="M557" s="189">
        <f>L483</f>
        <v/>
      </c>
      <c r="N557" s="189">
        <f>M483</f>
        <v/>
      </c>
      <c r="O557" s="189">
        <f>N483</f>
        <v/>
      </c>
      <c r="P557" s="189">
        <f>O483</f>
        <v/>
      </c>
      <c r="Q557" s="189">
        <f>P483</f>
        <v/>
      </c>
      <c r="R557" s="189">
        <f>Q483</f>
        <v/>
      </c>
      <c r="S557" s="189">
        <f>R483</f>
        <v/>
      </c>
      <c r="T557" s="189">
        <f>S483</f>
        <v/>
      </c>
      <c r="U557" s="189">
        <f>T483</f>
        <v/>
      </c>
      <c r="V557" s="189">
        <f>U483</f>
        <v/>
      </c>
      <c r="W557" s="189">
        <f>V483</f>
        <v/>
      </c>
      <c r="X557" s="189">
        <f>W483</f>
        <v/>
      </c>
      <c r="Y557" s="189">
        <f>X483</f>
        <v/>
      </c>
      <c r="Z557" s="189">
        <f>Y483</f>
        <v/>
      </c>
      <c r="AA557" s="189">
        <f>Z483</f>
        <v/>
      </c>
      <c r="AB557" s="189">
        <f>AA483</f>
        <v/>
      </c>
      <c r="AC557" s="189">
        <f>AB483</f>
        <v/>
      </c>
      <c r="AD557" s="189">
        <f>AC483</f>
        <v/>
      </c>
      <c r="AE557" s="189">
        <f>AD483</f>
        <v/>
      </c>
      <c r="AF557" s="189">
        <f>AE483</f>
        <v/>
      </c>
      <c r="AG557" s="189">
        <f>AF483</f>
        <v/>
      </c>
      <c r="AH557" s="189">
        <f>AG483</f>
        <v/>
      </c>
      <c r="AI557" s="189">
        <f>AH483</f>
        <v/>
      </c>
      <c r="AQ557" s="187">
        <f>K520</f>
        <v/>
      </c>
    </row>
    <row r="558">
      <c r="A558" s="189">
        <f>E521</f>
        <v/>
      </c>
      <c r="B558" s="118" t="inlineStr">
        <is>
          <t>=</t>
        </is>
      </c>
      <c r="C558" s="189">
        <f>B484</f>
        <v/>
      </c>
      <c r="D558" s="189">
        <f>C484</f>
        <v/>
      </c>
      <c r="E558" s="189">
        <f>D484</f>
        <v/>
      </c>
      <c r="F558" s="189">
        <f>E484</f>
        <v/>
      </c>
      <c r="G558" s="189">
        <f>F484</f>
        <v/>
      </c>
      <c r="H558" s="189">
        <f>G484</f>
        <v/>
      </c>
      <c r="I558" s="189">
        <f>H484</f>
        <v/>
      </c>
      <c r="J558" s="189">
        <f>I484</f>
        <v/>
      </c>
      <c r="K558" s="8">
        <f>J484</f>
        <v/>
      </c>
      <c r="L558" s="189">
        <f>K484</f>
        <v/>
      </c>
      <c r="M558" s="189">
        <f>L484</f>
        <v/>
      </c>
      <c r="N558" s="189">
        <f>M484</f>
        <v/>
      </c>
      <c r="O558" s="189">
        <f>N484</f>
        <v/>
      </c>
      <c r="P558" s="189">
        <f>O484</f>
        <v/>
      </c>
      <c r="Q558" s="189">
        <f>P484</f>
        <v/>
      </c>
      <c r="R558" s="189">
        <f>Q484</f>
        <v/>
      </c>
      <c r="S558" s="189">
        <f>R484</f>
        <v/>
      </c>
      <c r="T558" s="189">
        <f>S484</f>
        <v/>
      </c>
      <c r="U558" s="189">
        <f>T484</f>
        <v/>
      </c>
      <c r="V558" s="189">
        <f>U484</f>
        <v/>
      </c>
      <c r="W558" s="189">
        <f>V484</f>
        <v/>
      </c>
      <c r="X558" s="189">
        <f>W484</f>
        <v/>
      </c>
      <c r="Y558" s="189">
        <f>X484</f>
        <v/>
      </c>
      <c r="Z558" s="189">
        <f>Y484</f>
        <v/>
      </c>
      <c r="AA558" s="189">
        <f>Z484</f>
        <v/>
      </c>
      <c r="AB558" s="189">
        <f>AA484</f>
        <v/>
      </c>
      <c r="AC558" s="189">
        <f>AB484</f>
        <v/>
      </c>
      <c r="AD558" s="189">
        <f>AC484</f>
        <v/>
      </c>
      <c r="AE558" s="189">
        <f>AD484</f>
        <v/>
      </c>
      <c r="AF558" s="189">
        <f>AE484</f>
        <v/>
      </c>
      <c r="AG558" s="189">
        <f>AF484</f>
        <v/>
      </c>
      <c r="AH558" s="189">
        <f>AG484</f>
        <v/>
      </c>
      <c r="AI558" s="189">
        <f>AH484</f>
        <v/>
      </c>
      <c r="AQ558" s="187">
        <f>K521</f>
        <v/>
      </c>
    </row>
    <row r="559">
      <c r="A559" s="189">
        <f>E522</f>
        <v/>
      </c>
      <c r="B559" s="118" t="inlineStr">
        <is>
          <t>=</t>
        </is>
      </c>
      <c r="C559" s="189">
        <f>B485</f>
        <v/>
      </c>
      <c r="D559" s="189">
        <f>C485</f>
        <v/>
      </c>
      <c r="E559" s="189">
        <f>D485</f>
        <v/>
      </c>
      <c r="F559" s="189">
        <f>E485</f>
        <v/>
      </c>
      <c r="G559" s="189">
        <f>F485</f>
        <v/>
      </c>
      <c r="H559" s="189">
        <f>G485</f>
        <v/>
      </c>
      <c r="I559" s="189">
        <f>H485</f>
        <v/>
      </c>
      <c r="J559" s="189">
        <f>I485</f>
        <v/>
      </c>
      <c r="K559" s="189">
        <f>J485</f>
        <v/>
      </c>
      <c r="L559" s="8">
        <f>K485</f>
        <v/>
      </c>
      <c r="M559" s="189">
        <f>L485</f>
        <v/>
      </c>
      <c r="N559" s="189">
        <f>M485</f>
        <v/>
      </c>
      <c r="O559" s="189">
        <f>N485</f>
        <v/>
      </c>
      <c r="P559" s="189">
        <f>O485</f>
        <v/>
      </c>
      <c r="Q559" s="189">
        <f>P485</f>
        <v/>
      </c>
      <c r="R559" s="189">
        <f>Q485</f>
        <v/>
      </c>
      <c r="S559" s="189">
        <f>R485</f>
        <v/>
      </c>
      <c r="T559" s="189">
        <f>S485</f>
        <v/>
      </c>
      <c r="U559" s="189">
        <f>T485</f>
        <v/>
      </c>
      <c r="V559" s="189">
        <f>U485</f>
        <v/>
      </c>
      <c r="W559" s="189">
        <f>V485</f>
        <v/>
      </c>
      <c r="X559" s="189">
        <f>W485</f>
        <v/>
      </c>
      <c r="Y559" s="189">
        <f>X485</f>
        <v/>
      </c>
      <c r="Z559" s="189">
        <f>Y485</f>
        <v/>
      </c>
      <c r="AA559" s="189">
        <f>Z485</f>
        <v/>
      </c>
      <c r="AB559" s="189">
        <f>AA485</f>
        <v/>
      </c>
      <c r="AC559" s="189">
        <f>AB485</f>
        <v/>
      </c>
      <c r="AD559" s="189">
        <f>AC485</f>
        <v/>
      </c>
      <c r="AE559" s="189">
        <f>AD485</f>
        <v/>
      </c>
      <c r="AF559" s="189">
        <f>AE485</f>
        <v/>
      </c>
      <c r="AG559" s="189">
        <f>AF485</f>
        <v/>
      </c>
      <c r="AH559" s="189">
        <f>AG485</f>
        <v/>
      </c>
      <c r="AI559" s="189">
        <f>AH485</f>
        <v/>
      </c>
      <c r="AQ559" s="187">
        <f>K522</f>
        <v/>
      </c>
    </row>
    <row r="560">
      <c r="A560" s="189">
        <f>E523</f>
        <v/>
      </c>
      <c r="B560" s="118" t="inlineStr">
        <is>
          <t>=</t>
        </is>
      </c>
      <c r="C560" s="189">
        <f>B486</f>
        <v/>
      </c>
      <c r="D560" s="189">
        <f>C486</f>
        <v/>
      </c>
      <c r="E560" s="189">
        <f>D486</f>
        <v/>
      </c>
      <c r="F560" s="189">
        <f>E486</f>
        <v/>
      </c>
      <c r="G560" s="189">
        <f>F486</f>
        <v/>
      </c>
      <c r="H560" s="189">
        <f>G486</f>
        <v/>
      </c>
      <c r="I560" s="189">
        <f>H486</f>
        <v/>
      </c>
      <c r="J560" s="189">
        <f>I486</f>
        <v/>
      </c>
      <c r="K560" s="189">
        <f>J486</f>
        <v/>
      </c>
      <c r="L560" s="189">
        <f>K486</f>
        <v/>
      </c>
      <c r="M560" s="8">
        <f>L486</f>
        <v/>
      </c>
      <c r="N560" s="189">
        <f>M486</f>
        <v/>
      </c>
      <c r="O560" s="189">
        <f>N486</f>
        <v/>
      </c>
      <c r="P560" s="189">
        <f>O486</f>
        <v/>
      </c>
      <c r="Q560" s="189">
        <f>P486</f>
        <v/>
      </c>
      <c r="R560" s="189">
        <f>Q486</f>
        <v/>
      </c>
      <c r="S560" s="189">
        <f>R486</f>
        <v/>
      </c>
      <c r="T560" s="189">
        <f>S486</f>
        <v/>
      </c>
      <c r="U560" s="189">
        <f>T486</f>
        <v/>
      </c>
      <c r="V560" s="189">
        <f>U486</f>
        <v/>
      </c>
      <c r="W560" s="189">
        <f>V486</f>
        <v/>
      </c>
      <c r="X560" s="189">
        <f>W486</f>
        <v/>
      </c>
      <c r="Y560" s="189">
        <f>X486</f>
        <v/>
      </c>
      <c r="Z560" s="189">
        <f>Y486</f>
        <v/>
      </c>
      <c r="AA560" s="189">
        <f>Z486</f>
        <v/>
      </c>
      <c r="AB560" s="189">
        <f>AA486</f>
        <v/>
      </c>
      <c r="AC560" s="189">
        <f>AB486</f>
        <v/>
      </c>
      <c r="AD560" s="189">
        <f>AC486</f>
        <v/>
      </c>
      <c r="AE560" s="189">
        <f>AD486</f>
        <v/>
      </c>
      <c r="AF560" s="189">
        <f>AE486</f>
        <v/>
      </c>
      <c r="AG560" s="189">
        <f>AF486</f>
        <v/>
      </c>
      <c r="AH560" s="189">
        <f>AG486</f>
        <v/>
      </c>
      <c r="AI560" s="189">
        <f>AH486</f>
        <v/>
      </c>
      <c r="AQ560" s="187">
        <f>K523</f>
        <v/>
      </c>
    </row>
    <row r="561">
      <c r="A561" s="189">
        <f>E524</f>
        <v/>
      </c>
      <c r="B561" s="118" t="inlineStr">
        <is>
          <t>=</t>
        </is>
      </c>
      <c r="C561" s="189">
        <f>B487</f>
        <v/>
      </c>
      <c r="D561" s="189">
        <f>C487</f>
        <v/>
      </c>
      <c r="E561" s="189">
        <f>D487</f>
        <v/>
      </c>
      <c r="F561" s="189">
        <f>E487</f>
        <v/>
      </c>
      <c r="G561" s="189">
        <f>F487</f>
        <v/>
      </c>
      <c r="H561" s="189">
        <f>G487</f>
        <v/>
      </c>
      <c r="I561" s="189">
        <f>H487</f>
        <v/>
      </c>
      <c r="J561" s="189">
        <f>I487</f>
        <v/>
      </c>
      <c r="K561" s="189">
        <f>J487</f>
        <v/>
      </c>
      <c r="L561" s="189">
        <f>K487</f>
        <v/>
      </c>
      <c r="M561" s="189">
        <f>L487</f>
        <v/>
      </c>
      <c r="N561" s="8">
        <f>M487</f>
        <v/>
      </c>
      <c r="O561" s="189">
        <f>N487</f>
        <v/>
      </c>
      <c r="P561" s="189">
        <f>O487</f>
        <v/>
      </c>
      <c r="Q561" s="189">
        <f>P487</f>
        <v/>
      </c>
      <c r="R561" s="189">
        <f>Q487</f>
        <v/>
      </c>
      <c r="S561" s="189">
        <f>R487</f>
        <v/>
      </c>
      <c r="T561" s="189">
        <f>S487</f>
        <v/>
      </c>
      <c r="U561" s="189">
        <f>T487</f>
        <v/>
      </c>
      <c r="V561" s="189">
        <f>U487</f>
        <v/>
      </c>
      <c r="W561" s="189">
        <f>V487</f>
        <v/>
      </c>
      <c r="X561" s="189">
        <f>W487</f>
        <v/>
      </c>
      <c r="Y561" s="189">
        <f>X487</f>
        <v/>
      </c>
      <c r="Z561" s="189">
        <f>Y487</f>
        <v/>
      </c>
      <c r="AA561" s="189">
        <f>Z487</f>
        <v/>
      </c>
      <c r="AB561" s="189">
        <f>AA487</f>
        <v/>
      </c>
      <c r="AC561" s="189">
        <f>AB487</f>
        <v/>
      </c>
      <c r="AD561" s="189">
        <f>AC487</f>
        <v/>
      </c>
      <c r="AE561" s="189">
        <f>AD487</f>
        <v/>
      </c>
      <c r="AF561" s="189">
        <f>AE487</f>
        <v/>
      </c>
      <c r="AG561" s="189">
        <f>AF487</f>
        <v/>
      </c>
      <c r="AH561" s="189">
        <f>AG487</f>
        <v/>
      </c>
      <c r="AI561" s="189">
        <f>AH487</f>
        <v/>
      </c>
      <c r="AQ561" s="187">
        <f>K524</f>
        <v/>
      </c>
    </row>
    <row r="562">
      <c r="A562" s="189">
        <f>E525</f>
        <v/>
      </c>
      <c r="B562" s="118" t="inlineStr">
        <is>
          <t>=</t>
        </is>
      </c>
      <c r="C562" s="189">
        <f>B488</f>
        <v/>
      </c>
      <c r="D562" s="189">
        <f>C488</f>
        <v/>
      </c>
      <c r="E562" s="189">
        <f>D488</f>
        <v/>
      </c>
      <c r="F562" s="189">
        <f>E488</f>
        <v/>
      </c>
      <c r="G562" s="189">
        <f>F488</f>
        <v/>
      </c>
      <c r="H562" s="189">
        <f>G488</f>
        <v/>
      </c>
      <c r="I562" s="189">
        <f>H488</f>
        <v/>
      </c>
      <c r="J562" s="189">
        <f>I488</f>
        <v/>
      </c>
      <c r="K562" s="189">
        <f>J488</f>
        <v/>
      </c>
      <c r="L562" s="189">
        <f>K488</f>
        <v/>
      </c>
      <c r="M562" s="189">
        <f>L488</f>
        <v/>
      </c>
      <c r="N562" s="189">
        <f>M488</f>
        <v/>
      </c>
      <c r="O562" s="8">
        <f>N488</f>
        <v/>
      </c>
      <c r="P562" s="189">
        <f>O488</f>
        <v/>
      </c>
      <c r="Q562" s="189">
        <f>P488</f>
        <v/>
      </c>
      <c r="R562" s="189">
        <f>Q488</f>
        <v/>
      </c>
      <c r="S562" s="189">
        <f>R488</f>
        <v/>
      </c>
      <c r="T562" s="189">
        <f>S488</f>
        <v/>
      </c>
      <c r="U562" s="189">
        <f>T488</f>
        <v/>
      </c>
      <c r="V562" s="189">
        <f>U488</f>
        <v/>
      </c>
      <c r="W562" s="189">
        <f>V488</f>
        <v/>
      </c>
      <c r="X562" s="189">
        <f>W488</f>
        <v/>
      </c>
      <c r="Y562" s="189">
        <f>X488</f>
        <v/>
      </c>
      <c r="Z562" s="189">
        <f>Y488</f>
        <v/>
      </c>
      <c r="AA562" s="189">
        <f>Z488</f>
        <v/>
      </c>
      <c r="AB562" s="189">
        <f>AA488</f>
        <v/>
      </c>
      <c r="AC562" s="189">
        <f>AB488</f>
        <v/>
      </c>
      <c r="AD562" s="189">
        <f>AC488</f>
        <v/>
      </c>
      <c r="AE562" s="189">
        <f>AD488</f>
        <v/>
      </c>
      <c r="AF562" s="189">
        <f>AE488</f>
        <v/>
      </c>
      <c r="AG562" s="189">
        <f>AF488</f>
        <v/>
      </c>
      <c r="AH562" s="189">
        <f>AG488</f>
        <v/>
      </c>
      <c r="AI562" s="189">
        <f>AH488</f>
        <v/>
      </c>
      <c r="AQ562" s="187">
        <f>K525</f>
        <v/>
      </c>
    </row>
    <row r="563">
      <c r="A563" s="189">
        <f>E526</f>
        <v/>
      </c>
      <c r="B563" s="118" t="inlineStr">
        <is>
          <t>=</t>
        </is>
      </c>
      <c r="C563" s="189">
        <f>B489</f>
        <v/>
      </c>
      <c r="D563" s="189">
        <f>C489</f>
        <v/>
      </c>
      <c r="E563" s="189">
        <f>D489</f>
        <v/>
      </c>
      <c r="F563" s="189">
        <f>E489</f>
        <v/>
      </c>
      <c r="G563" s="189">
        <f>F489</f>
        <v/>
      </c>
      <c r="H563" s="189">
        <f>G489</f>
        <v/>
      </c>
      <c r="I563" s="189">
        <f>H489</f>
        <v/>
      </c>
      <c r="J563" s="189">
        <f>I489</f>
        <v/>
      </c>
      <c r="K563" s="189">
        <f>J489</f>
        <v/>
      </c>
      <c r="L563" s="189">
        <f>K489</f>
        <v/>
      </c>
      <c r="M563" s="189">
        <f>L489</f>
        <v/>
      </c>
      <c r="N563" s="189">
        <f>M489</f>
        <v/>
      </c>
      <c r="O563" s="189">
        <f>N489</f>
        <v/>
      </c>
      <c r="P563" s="8">
        <f>O489</f>
        <v/>
      </c>
      <c r="Q563" s="189">
        <f>P489</f>
        <v/>
      </c>
      <c r="R563" s="189">
        <f>Q489</f>
        <v/>
      </c>
      <c r="S563" s="189">
        <f>R489</f>
        <v/>
      </c>
      <c r="T563" s="189">
        <f>S489</f>
        <v/>
      </c>
      <c r="U563" s="189">
        <f>T489</f>
        <v/>
      </c>
      <c r="V563" s="189">
        <f>U489</f>
        <v/>
      </c>
      <c r="W563" s="189">
        <f>V489</f>
        <v/>
      </c>
      <c r="X563" s="189">
        <f>W489</f>
        <v/>
      </c>
      <c r="Y563" s="189">
        <f>X489</f>
        <v/>
      </c>
      <c r="Z563" s="189">
        <f>Y489</f>
        <v/>
      </c>
      <c r="AA563" s="189">
        <f>Z489</f>
        <v/>
      </c>
      <c r="AB563" s="189">
        <f>AA489</f>
        <v/>
      </c>
      <c r="AC563" s="189">
        <f>AB489</f>
        <v/>
      </c>
      <c r="AD563" s="189">
        <f>AC489</f>
        <v/>
      </c>
      <c r="AE563" s="189">
        <f>AD489</f>
        <v/>
      </c>
      <c r="AF563" s="189">
        <f>AE489</f>
        <v/>
      </c>
      <c r="AG563" s="189">
        <f>AF489</f>
        <v/>
      </c>
      <c r="AH563" s="189">
        <f>AG489</f>
        <v/>
      </c>
      <c r="AI563" s="189">
        <f>AH489</f>
        <v/>
      </c>
      <c r="AQ563" s="187">
        <f>K526</f>
        <v/>
      </c>
    </row>
    <row r="564">
      <c r="A564" s="189">
        <f>E527</f>
        <v/>
      </c>
      <c r="B564" s="118" t="inlineStr">
        <is>
          <t>=</t>
        </is>
      </c>
      <c r="C564" s="189">
        <f>B490</f>
        <v/>
      </c>
      <c r="D564" s="189">
        <f>C490</f>
        <v/>
      </c>
      <c r="E564" s="189">
        <f>D490</f>
        <v/>
      </c>
      <c r="F564" s="189">
        <f>E490</f>
        <v/>
      </c>
      <c r="G564" s="189">
        <f>F490</f>
        <v/>
      </c>
      <c r="H564" s="189">
        <f>G490</f>
        <v/>
      </c>
      <c r="I564" s="189">
        <f>H490</f>
        <v/>
      </c>
      <c r="J564" s="189">
        <f>I490</f>
        <v/>
      </c>
      <c r="K564" s="189">
        <f>J490</f>
        <v/>
      </c>
      <c r="L564" s="189">
        <f>K490</f>
        <v/>
      </c>
      <c r="M564" s="189">
        <f>L490</f>
        <v/>
      </c>
      <c r="N564" s="189">
        <f>M490</f>
        <v/>
      </c>
      <c r="O564" s="189">
        <f>N490</f>
        <v/>
      </c>
      <c r="P564" s="189">
        <f>O490</f>
        <v/>
      </c>
      <c r="Q564" s="8">
        <f>P490</f>
        <v/>
      </c>
      <c r="R564" s="189">
        <f>Q490</f>
        <v/>
      </c>
      <c r="S564" s="189">
        <f>R490</f>
        <v/>
      </c>
      <c r="T564" s="189">
        <f>S490</f>
        <v/>
      </c>
      <c r="U564" s="189">
        <f>T490</f>
        <v/>
      </c>
      <c r="V564" s="189">
        <f>U490</f>
        <v/>
      </c>
      <c r="W564" s="189">
        <f>V490</f>
        <v/>
      </c>
      <c r="X564" s="189">
        <f>W490</f>
        <v/>
      </c>
      <c r="Y564" s="189">
        <f>X490</f>
        <v/>
      </c>
      <c r="Z564" s="189">
        <f>Y490</f>
        <v/>
      </c>
      <c r="AA564" s="189">
        <f>Z490</f>
        <v/>
      </c>
      <c r="AB564" s="189">
        <f>AA490</f>
        <v/>
      </c>
      <c r="AC564" s="189">
        <f>AB490</f>
        <v/>
      </c>
      <c r="AD564" s="189">
        <f>AC490</f>
        <v/>
      </c>
      <c r="AE564" s="189">
        <f>AD490</f>
        <v/>
      </c>
      <c r="AF564" s="189">
        <f>AE490</f>
        <v/>
      </c>
      <c r="AG564" s="189">
        <f>AF490</f>
        <v/>
      </c>
      <c r="AH564" s="189">
        <f>AG490</f>
        <v/>
      </c>
      <c r="AI564" s="189">
        <f>AH490</f>
        <v/>
      </c>
      <c r="AQ564" s="187">
        <f>K527</f>
        <v/>
      </c>
    </row>
    <row r="565">
      <c r="A565" s="189">
        <f>E528</f>
        <v/>
      </c>
      <c r="B565" s="118" t="inlineStr">
        <is>
          <t>=</t>
        </is>
      </c>
      <c r="C565" s="189">
        <f>B491</f>
        <v/>
      </c>
      <c r="D565" s="189">
        <f>C491</f>
        <v/>
      </c>
      <c r="E565" s="189">
        <f>D491</f>
        <v/>
      </c>
      <c r="F565" s="189">
        <f>E491</f>
        <v/>
      </c>
      <c r="G565" s="189">
        <f>F491</f>
        <v/>
      </c>
      <c r="H565" s="189">
        <f>G491</f>
        <v/>
      </c>
      <c r="I565" s="189">
        <f>H491</f>
        <v/>
      </c>
      <c r="J565" s="189">
        <f>I491</f>
        <v/>
      </c>
      <c r="K565" s="189">
        <f>J491</f>
        <v/>
      </c>
      <c r="L565" s="189">
        <f>K491</f>
        <v/>
      </c>
      <c r="M565" s="189">
        <f>L491</f>
        <v/>
      </c>
      <c r="N565" s="189">
        <f>M491</f>
        <v/>
      </c>
      <c r="O565" s="189">
        <f>N491</f>
        <v/>
      </c>
      <c r="P565" s="189">
        <f>O491</f>
        <v/>
      </c>
      <c r="Q565" s="189">
        <f>P491</f>
        <v/>
      </c>
      <c r="R565" s="8">
        <f>Q491</f>
        <v/>
      </c>
      <c r="S565" s="189">
        <f>R491</f>
        <v/>
      </c>
      <c r="T565" s="189">
        <f>S491</f>
        <v/>
      </c>
      <c r="U565" s="189">
        <f>T491</f>
        <v/>
      </c>
      <c r="V565" s="189">
        <f>U491</f>
        <v/>
      </c>
      <c r="W565" s="189">
        <f>V491</f>
        <v/>
      </c>
      <c r="X565" s="189">
        <f>W491</f>
        <v/>
      </c>
      <c r="Y565" s="189">
        <f>X491</f>
        <v/>
      </c>
      <c r="Z565" s="189">
        <f>Y491</f>
        <v/>
      </c>
      <c r="AA565" s="189">
        <f>Z491</f>
        <v/>
      </c>
      <c r="AB565" s="189">
        <f>AA491</f>
        <v/>
      </c>
      <c r="AC565" s="189">
        <f>AB491</f>
        <v/>
      </c>
      <c r="AD565" s="189">
        <f>AC491</f>
        <v/>
      </c>
      <c r="AE565" s="189">
        <f>AD491</f>
        <v/>
      </c>
      <c r="AF565" s="189">
        <f>AE491</f>
        <v/>
      </c>
      <c r="AG565" s="189">
        <f>AF491</f>
        <v/>
      </c>
      <c r="AH565" s="189">
        <f>AG491</f>
        <v/>
      </c>
      <c r="AI565" s="189">
        <f>AH491</f>
        <v/>
      </c>
      <c r="AQ565" s="187">
        <f>K528</f>
        <v/>
      </c>
    </row>
    <row r="566">
      <c r="A566" s="189">
        <f>E529</f>
        <v/>
      </c>
      <c r="B566" s="118" t="inlineStr">
        <is>
          <t>=</t>
        </is>
      </c>
      <c r="C566" s="189">
        <f>B492</f>
        <v/>
      </c>
      <c r="D566" s="189">
        <f>C492</f>
        <v/>
      </c>
      <c r="E566" s="189">
        <f>D492</f>
        <v/>
      </c>
      <c r="F566" s="189">
        <f>E492</f>
        <v/>
      </c>
      <c r="G566" s="189">
        <f>F492</f>
        <v/>
      </c>
      <c r="H566" s="189">
        <f>G492</f>
        <v/>
      </c>
      <c r="I566" s="189">
        <f>H492</f>
        <v/>
      </c>
      <c r="J566" s="189">
        <f>I492</f>
        <v/>
      </c>
      <c r="K566" s="189">
        <f>J492</f>
        <v/>
      </c>
      <c r="L566" s="189">
        <f>K492</f>
        <v/>
      </c>
      <c r="M566" s="189">
        <f>L492</f>
        <v/>
      </c>
      <c r="N566" s="189">
        <f>M492</f>
        <v/>
      </c>
      <c r="O566" s="189">
        <f>N492</f>
        <v/>
      </c>
      <c r="P566" s="189">
        <f>O492</f>
        <v/>
      </c>
      <c r="Q566" s="189">
        <f>P492</f>
        <v/>
      </c>
      <c r="R566" s="189">
        <f>Q492</f>
        <v/>
      </c>
      <c r="S566" s="8">
        <f>R492</f>
        <v/>
      </c>
      <c r="T566" s="189">
        <f>S492</f>
        <v/>
      </c>
      <c r="U566" s="189">
        <f>T492</f>
        <v/>
      </c>
      <c r="V566" s="189">
        <f>U492</f>
        <v/>
      </c>
      <c r="W566" s="189">
        <f>V492</f>
        <v/>
      </c>
      <c r="X566" s="189">
        <f>W492</f>
        <v/>
      </c>
      <c r="Y566" s="189">
        <f>X492</f>
        <v/>
      </c>
      <c r="Z566" s="189">
        <f>Y492</f>
        <v/>
      </c>
      <c r="AA566" s="189">
        <f>Z492</f>
        <v/>
      </c>
      <c r="AB566" s="189">
        <f>AA492</f>
        <v/>
      </c>
      <c r="AC566" s="189">
        <f>AB492</f>
        <v/>
      </c>
      <c r="AD566" s="189">
        <f>AC492</f>
        <v/>
      </c>
      <c r="AE566" s="189">
        <f>AD492</f>
        <v/>
      </c>
      <c r="AF566" s="189">
        <f>AE492</f>
        <v/>
      </c>
      <c r="AG566" s="189">
        <f>AF492</f>
        <v/>
      </c>
      <c r="AH566" s="189">
        <f>AG492</f>
        <v/>
      </c>
      <c r="AI566" s="189">
        <f>AH492</f>
        <v/>
      </c>
      <c r="AQ566" s="187">
        <f>K529</f>
        <v/>
      </c>
    </row>
    <row r="567">
      <c r="A567" s="189">
        <f>E530</f>
        <v/>
      </c>
      <c r="B567" s="118" t="inlineStr">
        <is>
          <t>=</t>
        </is>
      </c>
      <c r="C567" s="189">
        <f>B493</f>
        <v/>
      </c>
      <c r="D567" s="189">
        <f>C493</f>
        <v/>
      </c>
      <c r="E567" s="189">
        <f>D493</f>
        <v/>
      </c>
      <c r="F567" s="189">
        <f>E493</f>
        <v/>
      </c>
      <c r="G567" s="189">
        <f>F493</f>
        <v/>
      </c>
      <c r="H567" s="189">
        <f>G493</f>
        <v/>
      </c>
      <c r="I567" s="189">
        <f>H493</f>
        <v/>
      </c>
      <c r="J567" s="189">
        <f>I493</f>
        <v/>
      </c>
      <c r="K567" s="189">
        <f>J493</f>
        <v/>
      </c>
      <c r="L567" s="189">
        <f>K493</f>
        <v/>
      </c>
      <c r="M567" s="189">
        <f>L493</f>
        <v/>
      </c>
      <c r="N567" s="189">
        <f>M493</f>
        <v/>
      </c>
      <c r="O567" s="189">
        <f>N493</f>
        <v/>
      </c>
      <c r="P567" s="189">
        <f>O493</f>
        <v/>
      </c>
      <c r="Q567" s="189">
        <f>P493</f>
        <v/>
      </c>
      <c r="R567" s="189">
        <f>Q493</f>
        <v/>
      </c>
      <c r="S567" s="189">
        <f>R493</f>
        <v/>
      </c>
      <c r="T567" s="8">
        <f>S493</f>
        <v/>
      </c>
      <c r="U567" s="189">
        <f>T493</f>
        <v/>
      </c>
      <c r="V567" s="189">
        <f>U493</f>
        <v/>
      </c>
      <c r="W567" s="189">
        <f>V493</f>
        <v/>
      </c>
      <c r="X567" s="189">
        <f>W493</f>
        <v/>
      </c>
      <c r="Y567" s="189">
        <f>X493</f>
        <v/>
      </c>
      <c r="Z567" s="189">
        <f>Y493</f>
        <v/>
      </c>
      <c r="AA567" s="189">
        <f>Z493</f>
        <v/>
      </c>
      <c r="AB567" s="189">
        <f>AA493</f>
        <v/>
      </c>
      <c r="AC567" s="189">
        <f>AB493</f>
        <v/>
      </c>
      <c r="AD567" s="189">
        <f>AC493</f>
        <v/>
      </c>
      <c r="AE567" s="189">
        <f>AD493</f>
        <v/>
      </c>
      <c r="AF567" s="189">
        <f>AE493</f>
        <v/>
      </c>
      <c r="AG567" s="189">
        <f>AF493</f>
        <v/>
      </c>
      <c r="AH567" s="189">
        <f>AG493</f>
        <v/>
      </c>
      <c r="AI567" s="189">
        <f>AH493</f>
        <v/>
      </c>
      <c r="AQ567" s="187">
        <f>K530</f>
        <v/>
      </c>
    </row>
    <row r="568">
      <c r="A568" s="189">
        <f>E531</f>
        <v/>
      </c>
      <c r="B568" s="118" t="inlineStr">
        <is>
          <t>=</t>
        </is>
      </c>
      <c r="C568" s="189">
        <f>B494</f>
        <v/>
      </c>
      <c r="D568" s="189">
        <f>C494</f>
        <v/>
      </c>
      <c r="E568" s="189">
        <f>D494</f>
        <v/>
      </c>
      <c r="F568" s="189">
        <f>E494</f>
        <v/>
      </c>
      <c r="G568" s="189">
        <f>F494</f>
        <v/>
      </c>
      <c r="H568" s="189">
        <f>G494</f>
        <v/>
      </c>
      <c r="I568" s="189">
        <f>H494</f>
        <v/>
      </c>
      <c r="J568" s="189">
        <f>I494</f>
        <v/>
      </c>
      <c r="K568" s="189">
        <f>J494</f>
        <v/>
      </c>
      <c r="L568" s="189">
        <f>K494</f>
        <v/>
      </c>
      <c r="M568" s="189">
        <f>L494</f>
        <v/>
      </c>
      <c r="N568" s="189">
        <f>M494</f>
        <v/>
      </c>
      <c r="O568" s="189">
        <f>N494</f>
        <v/>
      </c>
      <c r="P568" s="189">
        <f>O494</f>
        <v/>
      </c>
      <c r="Q568" s="189">
        <f>P494</f>
        <v/>
      </c>
      <c r="R568" s="189">
        <f>Q494</f>
        <v/>
      </c>
      <c r="S568" s="189">
        <f>R494</f>
        <v/>
      </c>
      <c r="T568" s="189">
        <f>S494</f>
        <v/>
      </c>
      <c r="U568" s="8">
        <f>T494</f>
        <v/>
      </c>
      <c r="V568" s="189">
        <f>U494</f>
        <v/>
      </c>
      <c r="W568" s="189">
        <f>V494</f>
        <v/>
      </c>
      <c r="X568" s="189">
        <f>W494</f>
        <v/>
      </c>
      <c r="Y568" s="189">
        <f>X494</f>
        <v/>
      </c>
      <c r="Z568" s="189">
        <f>Y494</f>
        <v/>
      </c>
      <c r="AA568" s="189">
        <f>Z494</f>
        <v/>
      </c>
      <c r="AB568" s="189">
        <f>AA494</f>
        <v/>
      </c>
      <c r="AC568" s="189">
        <f>AB494</f>
        <v/>
      </c>
      <c r="AD568" s="189">
        <f>AC494</f>
        <v/>
      </c>
      <c r="AE568" s="189">
        <f>AD494</f>
        <v/>
      </c>
      <c r="AF568" s="189">
        <f>AE494</f>
        <v/>
      </c>
      <c r="AG568" s="189">
        <f>AF494</f>
        <v/>
      </c>
      <c r="AH568" s="189">
        <f>AG494</f>
        <v/>
      </c>
      <c r="AI568" s="189">
        <f>AH494</f>
        <v/>
      </c>
      <c r="AQ568" s="187">
        <f>K531</f>
        <v/>
      </c>
    </row>
    <row r="569">
      <c r="A569" s="189">
        <f>E532</f>
        <v/>
      </c>
      <c r="B569" s="118" t="inlineStr">
        <is>
          <t>=</t>
        </is>
      </c>
      <c r="C569" s="189">
        <f>B495</f>
        <v/>
      </c>
      <c r="D569" s="189">
        <f>C495</f>
        <v/>
      </c>
      <c r="E569" s="189">
        <f>D495</f>
        <v/>
      </c>
      <c r="F569" s="189">
        <f>E495</f>
        <v/>
      </c>
      <c r="G569" s="189">
        <f>F495</f>
        <v/>
      </c>
      <c r="H569" s="189">
        <f>G495</f>
        <v/>
      </c>
      <c r="I569" s="189">
        <f>H495</f>
        <v/>
      </c>
      <c r="J569" s="189">
        <f>I495</f>
        <v/>
      </c>
      <c r="K569" s="189">
        <f>J495</f>
        <v/>
      </c>
      <c r="L569" s="189">
        <f>K495</f>
        <v/>
      </c>
      <c r="M569" s="189">
        <f>L495</f>
        <v/>
      </c>
      <c r="N569" s="189">
        <f>M495</f>
        <v/>
      </c>
      <c r="O569" s="189">
        <f>N495</f>
        <v/>
      </c>
      <c r="P569" s="189">
        <f>O495</f>
        <v/>
      </c>
      <c r="Q569" s="189">
        <f>P495</f>
        <v/>
      </c>
      <c r="R569" s="189">
        <f>Q495</f>
        <v/>
      </c>
      <c r="S569" s="189">
        <f>R495</f>
        <v/>
      </c>
      <c r="T569" s="189">
        <f>S495</f>
        <v/>
      </c>
      <c r="U569" s="189">
        <f>T495</f>
        <v/>
      </c>
      <c r="V569" s="8">
        <f>U495</f>
        <v/>
      </c>
      <c r="W569" s="189">
        <f>V495</f>
        <v/>
      </c>
      <c r="X569" s="189">
        <f>W495</f>
        <v/>
      </c>
      <c r="Y569" s="189">
        <f>X495</f>
        <v/>
      </c>
      <c r="Z569" s="189">
        <f>Y495</f>
        <v/>
      </c>
      <c r="AA569" s="189">
        <f>Z495</f>
        <v/>
      </c>
      <c r="AB569" s="189">
        <f>AA495</f>
        <v/>
      </c>
      <c r="AC569" s="189">
        <f>AB495</f>
        <v/>
      </c>
      <c r="AD569" s="189">
        <f>AC495</f>
        <v/>
      </c>
      <c r="AE569" s="189">
        <f>AD495</f>
        <v/>
      </c>
      <c r="AF569" s="189">
        <f>AE495</f>
        <v/>
      </c>
      <c r="AG569" s="189">
        <f>AF495</f>
        <v/>
      </c>
      <c r="AH569" s="189">
        <f>AG495</f>
        <v/>
      </c>
      <c r="AI569" s="189">
        <f>AH495</f>
        <v/>
      </c>
      <c r="AQ569" s="187">
        <f>K532</f>
        <v/>
      </c>
    </row>
    <row r="570">
      <c r="A570" s="189">
        <f>E533</f>
        <v/>
      </c>
      <c r="B570" s="118" t="inlineStr">
        <is>
          <t>=</t>
        </is>
      </c>
      <c r="C570" s="189">
        <f>B496</f>
        <v/>
      </c>
      <c r="D570" s="189">
        <f>C496</f>
        <v/>
      </c>
      <c r="E570" s="189">
        <f>D496</f>
        <v/>
      </c>
      <c r="F570" s="189">
        <f>E496</f>
        <v/>
      </c>
      <c r="G570" s="189">
        <f>F496</f>
        <v/>
      </c>
      <c r="H570" s="189">
        <f>G496</f>
        <v/>
      </c>
      <c r="I570" s="189">
        <f>H496</f>
        <v/>
      </c>
      <c r="J570" s="189">
        <f>I496</f>
        <v/>
      </c>
      <c r="K570" s="189">
        <f>J496</f>
        <v/>
      </c>
      <c r="L570" s="189">
        <f>K496</f>
        <v/>
      </c>
      <c r="M570" s="189">
        <f>L496</f>
        <v/>
      </c>
      <c r="N570" s="189">
        <f>M496</f>
        <v/>
      </c>
      <c r="O570" s="189">
        <f>N496</f>
        <v/>
      </c>
      <c r="P570" s="189">
        <f>O496</f>
        <v/>
      </c>
      <c r="Q570" s="189">
        <f>P496</f>
        <v/>
      </c>
      <c r="R570" s="189">
        <f>Q496</f>
        <v/>
      </c>
      <c r="S570" s="189">
        <f>R496</f>
        <v/>
      </c>
      <c r="T570" s="189">
        <f>S496</f>
        <v/>
      </c>
      <c r="U570" s="189">
        <f>T496</f>
        <v/>
      </c>
      <c r="V570" s="189">
        <f>U496</f>
        <v/>
      </c>
      <c r="W570" s="8">
        <f>V496</f>
        <v/>
      </c>
      <c r="X570" s="189">
        <f>W496</f>
        <v/>
      </c>
      <c r="Y570" s="189">
        <f>X496</f>
        <v/>
      </c>
      <c r="Z570" s="189">
        <f>Y496</f>
        <v/>
      </c>
      <c r="AA570" s="189">
        <f>Z496</f>
        <v/>
      </c>
      <c r="AB570" s="189">
        <f>AA496</f>
        <v/>
      </c>
      <c r="AC570" s="189">
        <f>AB496</f>
        <v/>
      </c>
      <c r="AD570" s="189">
        <f>AC496</f>
        <v/>
      </c>
      <c r="AE570" s="189">
        <f>AD496</f>
        <v/>
      </c>
      <c r="AF570" s="189">
        <f>AE496</f>
        <v/>
      </c>
      <c r="AG570" s="189">
        <f>AF496</f>
        <v/>
      </c>
      <c r="AH570" s="189">
        <f>AG496</f>
        <v/>
      </c>
      <c r="AI570" s="189">
        <f>AH496</f>
        <v/>
      </c>
      <c r="AQ570" s="187">
        <f>K533</f>
        <v/>
      </c>
    </row>
    <row r="571">
      <c r="A571" s="189">
        <f>E534</f>
        <v/>
      </c>
      <c r="B571" s="118" t="inlineStr">
        <is>
          <t>=</t>
        </is>
      </c>
      <c r="C571" s="189">
        <f>B497</f>
        <v/>
      </c>
      <c r="D571" s="189">
        <f>C497</f>
        <v/>
      </c>
      <c r="E571" s="189">
        <f>D497</f>
        <v/>
      </c>
      <c r="F571" s="189">
        <f>E497</f>
        <v/>
      </c>
      <c r="G571" s="189">
        <f>F497</f>
        <v/>
      </c>
      <c r="H571" s="189">
        <f>G497</f>
        <v/>
      </c>
      <c r="I571" s="189">
        <f>H497</f>
        <v/>
      </c>
      <c r="J571" s="189">
        <f>I497</f>
        <v/>
      </c>
      <c r="K571" s="189">
        <f>J497</f>
        <v/>
      </c>
      <c r="L571" s="189">
        <f>K497</f>
        <v/>
      </c>
      <c r="M571" s="189">
        <f>L497</f>
        <v/>
      </c>
      <c r="N571" s="189">
        <f>M497</f>
        <v/>
      </c>
      <c r="O571" s="189">
        <f>N497</f>
        <v/>
      </c>
      <c r="P571" s="189">
        <f>O497</f>
        <v/>
      </c>
      <c r="Q571" s="189">
        <f>P497</f>
        <v/>
      </c>
      <c r="R571" s="189">
        <f>Q497</f>
        <v/>
      </c>
      <c r="S571" s="189">
        <f>R497</f>
        <v/>
      </c>
      <c r="T571" s="189">
        <f>S497</f>
        <v/>
      </c>
      <c r="U571" s="189">
        <f>T497</f>
        <v/>
      </c>
      <c r="V571" s="189">
        <f>U497</f>
        <v/>
      </c>
      <c r="W571" s="189">
        <f>V497</f>
        <v/>
      </c>
      <c r="X571" s="8">
        <f>W497</f>
        <v/>
      </c>
      <c r="Y571" s="189">
        <f>X497</f>
        <v/>
      </c>
      <c r="Z571" s="189">
        <f>Y497</f>
        <v/>
      </c>
      <c r="AA571" s="189">
        <f>Z497</f>
        <v/>
      </c>
      <c r="AB571" s="189">
        <f>AA497</f>
        <v/>
      </c>
      <c r="AC571" s="189">
        <f>AB497</f>
        <v/>
      </c>
      <c r="AD571" s="189">
        <f>AC497</f>
        <v/>
      </c>
      <c r="AE571" s="189">
        <f>AD497</f>
        <v/>
      </c>
      <c r="AF571" s="189">
        <f>AE497</f>
        <v/>
      </c>
      <c r="AG571" s="189">
        <f>AF497</f>
        <v/>
      </c>
      <c r="AH571" s="189">
        <f>AG497</f>
        <v/>
      </c>
      <c r="AI571" s="189">
        <f>AH497</f>
        <v/>
      </c>
      <c r="AQ571" s="187">
        <f>K534</f>
        <v/>
      </c>
    </row>
    <row r="572">
      <c r="A572" s="189">
        <f>E535</f>
        <v/>
      </c>
      <c r="B572" s="118" t="inlineStr">
        <is>
          <t>=</t>
        </is>
      </c>
      <c r="C572" s="189">
        <f>B498</f>
        <v/>
      </c>
      <c r="D572" s="189">
        <f>C498</f>
        <v/>
      </c>
      <c r="E572" s="189">
        <f>D498</f>
        <v/>
      </c>
      <c r="F572" s="189">
        <f>E498</f>
        <v/>
      </c>
      <c r="G572" s="189">
        <f>F498</f>
        <v/>
      </c>
      <c r="H572" s="189">
        <f>G498</f>
        <v/>
      </c>
      <c r="I572" s="189">
        <f>H498</f>
        <v/>
      </c>
      <c r="J572" s="189">
        <f>I498</f>
        <v/>
      </c>
      <c r="K572" s="189">
        <f>J498</f>
        <v/>
      </c>
      <c r="L572" s="189">
        <f>K498</f>
        <v/>
      </c>
      <c r="M572" s="189">
        <f>L498</f>
        <v/>
      </c>
      <c r="N572" s="189">
        <f>M498</f>
        <v/>
      </c>
      <c r="O572" s="189">
        <f>N498</f>
        <v/>
      </c>
      <c r="P572" s="189">
        <f>O498</f>
        <v/>
      </c>
      <c r="Q572" s="189">
        <f>P498</f>
        <v/>
      </c>
      <c r="R572" s="189">
        <f>Q498</f>
        <v/>
      </c>
      <c r="S572" s="189">
        <f>R498</f>
        <v/>
      </c>
      <c r="T572" s="189">
        <f>S498</f>
        <v/>
      </c>
      <c r="U572" s="189">
        <f>T498</f>
        <v/>
      </c>
      <c r="V572" s="189">
        <f>U498</f>
        <v/>
      </c>
      <c r="W572" s="189">
        <f>V498</f>
        <v/>
      </c>
      <c r="X572" s="189">
        <f>W498</f>
        <v/>
      </c>
      <c r="Y572" s="8">
        <f>X498</f>
        <v/>
      </c>
      <c r="Z572" s="189">
        <f>Y498</f>
        <v/>
      </c>
      <c r="AA572" s="189">
        <f>Z498</f>
        <v/>
      </c>
      <c r="AB572" s="189">
        <f>AA498</f>
        <v/>
      </c>
      <c r="AC572" s="189">
        <f>AB498</f>
        <v/>
      </c>
      <c r="AD572" s="189">
        <f>AC498</f>
        <v/>
      </c>
      <c r="AE572" s="189">
        <f>AD498</f>
        <v/>
      </c>
      <c r="AF572" s="189">
        <f>AE498</f>
        <v/>
      </c>
      <c r="AG572" s="189">
        <f>AF498</f>
        <v/>
      </c>
      <c r="AH572" s="189">
        <f>AG498</f>
        <v/>
      </c>
      <c r="AI572" s="189">
        <f>AH498</f>
        <v/>
      </c>
      <c r="AQ572" s="187">
        <f>K535</f>
        <v/>
      </c>
    </row>
    <row r="573">
      <c r="A573" s="189">
        <f>E536</f>
        <v/>
      </c>
      <c r="B573" s="118" t="inlineStr">
        <is>
          <t>=</t>
        </is>
      </c>
      <c r="C573" s="189">
        <f>B499</f>
        <v/>
      </c>
      <c r="D573" s="189">
        <f>C499</f>
        <v/>
      </c>
      <c r="E573" s="189">
        <f>D499</f>
        <v/>
      </c>
      <c r="F573" s="189">
        <f>E499</f>
        <v/>
      </c>
      <c r="G573" s="189">
        <f>F499</f>
        <v/>
      </c>
      <c r="H573" s="189">
        <f>G499</f>
        <v/>
      </c>
      <c r="I573" s="189">
        <f>H499</f>
        <v/>
      </c>
      <c r="J573" s="189">
        <f>I499</f>
        <v/>
      </c>
      <c r="K573" s="189">
        <f>J499</f>
        <v/>
      </c>
      <c r="L573" s="189">
        <f>K499</f>
        <v/>
      </c>
      <c r="M573" s="189">
        <f>L499</f>
        <v/>
      </c>
      <c r="N573" s="189">
        <f>M499</f>
        <v/>
      </c>
      <c r="O573" s="189">
        <f>N499</f>
        <v/>
      </c>
      <c r="P573" s="189">
        <f>O499</f>
        <v/>
      </c>
      <c r="Q573" s="189">
        <f>P499</f>
        <v/>
      </c>
      <c r="R573" s="189">
        <f>Q499</f>
        <v/>
      </c>
      <c r="S573" s="189">
        <f>R499</f>
        <v/>
      </c>
      <c r="T573" s="189">
        <f>S499</f>
        <v/>
      </c>
      <c r="U573" s="189">
        <f>T499</f>
        <v/>
      </c>
      <c r="V573" s="189">
        <f>U499</f>
        <v/>
      </c>
      <c r="W573" s="189">
        <f>V499</f>
        <v/>
      </c>
      <c r="X573" s="189">
        <f>W499</f>
        <v/>
      </c>
      <c r="Y573" s="189">
        <f>X499</f>
        <v/>
      </c>
      <c r="Z573" s="8">
        <f>Y499</f>
        <v/>
      </c>
      <c r="AA573" s="189">
        <f>Z499</f>
        <v/>
      </c>
      <c r="AB573" s="189">
        <f>AA499</f>
        <v/>
      </c>
      <c r="AC573" s="189">
        <f>AB499</f>
        <v/>
      </c>
      <c r="AD573" s="189">
        <f>AC499</f>
        <v/>
      </c>
      <c r="AE573" s="189">
        <f>AD499</f>
        <v/>
      </c>
      <c r="AF573" s="189">
        <f>AE499</f>
        <v/>
      </c>
      <c r="AG573" s="189">
        <f>AF499</f>
        <v/>
      </c>
      <c r="AH573" s="189">
        <f>AG499</f>
        <v/>
      </c>
      <c r="AI573" s="189">
        <f>AH499</f>
        <v/>
      </c>
      <c r="AQ573" s="187">
        <f>K536</f>
        <v/>
      </c>
    </row>
    <row r="574">
      <c r="A574" s="189">
        <f>E537</f>
        <v/>
      </c>
      <c r="B574" s="118" t="inlineStr">
        <is>
          <t>=</t>
        </is>
      </c>
      <c r="C574" s="189">
        <f>B500</f>
        <v/>
      </c>
      <c r="D574" s="189">
        <f>C500</f>
        <v/>
      </c>
      <c r="E574" s="189">
        <f>D500</f>
        <v/>
      </c>
      <c r="F574" s="189">
        <f>E500</f>
        <v/>
      </c>
      <c r="G574" s="189">
        <f>F500</f>
        <v/>
      </c>
      <c r="H574" s="189">
        <f>G500</f>
        <v/>
      </c>
      <c r="I574" s="189">
        <f>H500</f>
        <v/>
      </c>
      <c r="J574" s="189">
        <f>I500</f>
        <v/>
      </c>
      <c r="K574" s="189">
        <f>J500</f>
        <v/>
      </c>
      <c r="L574" s="189">
        <f>K500</f>
        <v/>
      </c>
      <c r="M574" s="189">
        <f>L500</f>
        <v/>
      </c>
      <c r="N574" s="189">
        <f>M500</f>
        <v/>
      </c>
      <c r="O574" s="189">
        <f>N500</f>
        <v/>
      </c>
      <c r="P574" s="189">
        <f>O500</f>
        <v/>
      </c>
      <c r="Q574" s="189">
        <f>P500</f>
        <v/>
      </c>
      <c r="R574" s="189">
        <f>Q500</f>
        <v/>
      </c>
      <c r="S574" s="189">
        <f>R500</f>
        <v/>
      </c>
      <c r="T574" s="189">
        <f>S500</f>
        <v/>
      </c>
      <c r="U574" s="189">
        <f>T500</f>
        <v/>
      </c>
      <c r="V574" s="189">
        <f>U500</f>
        <v/>
      </c>
      <c r="W574" s="189">
        <f>V500</f>
        <v/>
      </c>
      <c r="X574" s="189">
        <f>W500</f>
        <v/>
      </c>
      <c r="Y574" s="189">
        <f>X500</f>
        <v/>
      </c>
      <c r="Z574" s="189">
        <f>Y500</f>
        <v/>
      </c>
      <c r="AA574" s="8">
        <f>Z500</f>
        <v/>
      </c>
      <c r="AB574" s="189">
        <f>AA500</f>
        <v/>
      </c>
      <c r="AC574" s="189">
        <f>AB500</f>
        <v/>
      </c>
      <c r="AD574" s="189">
        <f>AC500</f>
        <v/>
      </c>
      <c r="AE574" s="189">
        <f>AD500</f>
        <v/>
      </c>
      <c r="AF574" s="189">
        <f>AE500</f>
        <v/>
      </c>
      <c r="AG574" s="189">
        <f>AF500</f>
        <v/>
      </c>
      <c r="AH574" s="189">
        <f>AG500</f>
        <v/>
      </c>
      <c r="AI574" s="189">
        <f>AH500</f>
        <v/>
      </c>
      <c r="AQ574" s="187">
        <f>K537</f>
        <v/>
      </c>
    </row>
    <row r="575">
      <c r="A575" s="189">
        <f>E538</f>
        <v/>
      </c>
      <c r="B575" s="118" t="inlineStr">
        <is>
          <t>=</t>
        </is>
      </c>
      <c r="C575" s="189">
        <f>B501</f>
        <v/>
      </c>
      <c r="D575" s="189">
        <f>C501</f>
        <v/>
      </c>
      <c r="E575" s="189">
        <f>D501</f>
        <v/>
      </c>
      <c r="F575" s="189">
        <f>E501</f>
        <v/>
      </c>
      <c r="G575" s="189">
        <f>F501</f>
        <v/>
      </c>
      <c r="H575" s="189">
        <f>G501</f>
        <v/>
      </c>
      <c r="I575" s="189">
        <f>H501</f>
        <v/>
      </c>
      <c r="J575" s="189">
        <f>I501</f>
        <v/>
      </c>
      <c r="K575" s="189">
        <f>J501</f>
        <v/>
      </c>
      <c r="L575" s="189">
        <f>K501</f>
        <v/>
      </c>
      <c r="M575" s="189">
        <f>L501</f>
        <v/>
      </c>
      <c r="N575" s="189">
        <f>M501</f>
        <v/>
      </c>
      <c r="O575" s="189">
        <f>N501</f>
        <v/>
      </c>
      <c r="P575" s="189">
        <f>O501</f>
        <v/>
      </c>
      <c r="Q575" s="189">
        <f>P501</f>
        <v/>
      </c>
      <c r="R575" s="189">
        <f>Q501</f>
        <v/>
      </c>
      <c r="S575" s="189">
        <f>R501</f>
        <v/>
      </c>
      <c r="T575" s="189">
        <f>S501</f>
        <v/>
      </c>
      <c r="U575" s="189">
        <f>T501</f>
        <v/>
      </c>
      <c r="V575" s="189">
        <f>U501</f>
        <v/>
      </c>
      <c r="W575" s="189">
        <f>V501</f>
        <v/>
      </c>
      <c r="X575" s="189">
        <f>W501</f>
        <v/>
      </c>
      <c r="Y575" s="189">
        <f>X501</f>
        <v/>
      </c>
      <c r="Z575" s="189">
        <f>Y501</f>
        <v/>
      </c>
      <c r="AA575" s="189">
        <f>Z501</f>
        <v/>
      </c>
      <c r="AB575" s="8">
        <f>AA501</f>
        <v/>
      </c>
      <c r="AC575" s="189">
        <f>AB501</f>
        <v/>
      </c>
      <c r="AD575" s="189">
        <f>AC501</f>
        <v/>
      </c>
      <c r="AE575" s="189">
        <f>AD501</f>
        <v/>
      </c>
      <c r="AF575" s="189">
        <f>AE501</f>
        <v/>
      </c>
      <c r="AG575" s="189">
        <f>AF501</f>
        <v/>
      </c>
      <c r="AH575" s="189">
        <f>AG501</f>
        <v/>
      </c>
      <c r="AI575" s="189">
        <f>AH501</f>
        <v/>
      </c>
      <c r="AQ575" s="187">
        <f>K538</f>
        <v/>
      </c>
    </row>
    <row r="576">
      <c r="A576" s="189">
        <f>E539</f>
        <v/>
      </c>
      <c r="B576" s="118" t="inlineStr">
        <is>
          <t>=</t>
        </is>
      </c>
      <c r="C576" s="189">
        <f>B502</f>
        <v/>
      </c>
      <c r="D576" s="189">
        <f>C502</f>
        <v/>
      </c>
      <c r="E576" s="189">
        <f>D502</f>
        <v/>
      </c>
      <c r="F576" s="189">
        <f>E502</f>
        <v/>
      </c>
      <c r="G576" s="189">
        <f>F502</f>
        <v/>
      </c>
      <c r="H576" s="189">
        <f>G502</f>
        <v/>
      </c>
      <c r="I576" s="189">
        <f>H502</f>
        <v/>
      </c>
      <c r="J576" s="189">
        <f>I502</f>
        <v/>
      </c>
      <c r="K576" s="189">
        <f>J502</f>
        <v/>
      </c>
      <c r="L576" s="189">
        <f>K502</f>
        <v/>
      </c>
      <c r="M576" s="189">
        <f>L502</f>
        <v/>
      </c>
      <c r="N576" s="189">
        <f>M502</f>
        <v/>
      </c>
      <c r="O576" s="189">
        <f>N502</f>
        <v/>
      </c>
      <c r="P576" s="189">
        <f>O502</f>
        <v/>
      </c>
      <c r="Q576" s="189">
        <f>P502</f>
        <v/>
      </c>
      <c r="R576" s="189">
        <f>Q502</f>
        <v/>
      </c>
      <c r="S576" s="189">
        <f>R502</f>
        <v/>
      </c>
      <c r="T576" s="189">
        <f>S502</f>
        <v/>
      </c>
      <c r="U576" s="189">
        <f>T502</f>
        <v/>
      </c>
      <c r="V576" s="189">
        <f>U502</f>
        <v/>
      </c>
      <c r="W576" s="189">
        <f>V502</f>
        <v/>
      </c>
      <c r="X576" s="189">
        <f>W502</f>
        <v/>
      </c>
      <c r="Y576" s="189">
        <f>X502</f>
        <v/>
      </c>
      <c r="Z576" s="189">
        <f>Y502</f>
        <v/>
      </c>
      <c r="AA576" s="189">
        <f>Z502</f>
        <v/>
      </c>
      <c r="AB576" s="189">
        <f>AA502</f>
        <v/>
      </c>
      <c r="AC576" s="8">
        <f>AB502</f>
        <v/>
      </c>
      <c r="AD576" s="189">
        <f>AC502</f>
        <v/>
      </c>
      <c r="AE576" s="189">
        <f>AD502</f>
        <v/>
      </c>
      <c r="AF576" s="189">
        <f>AE502</f>
        <v/>
      </c>
      <c r="AG576" s="189">
        <f>AF502</f>
        <v/>
      </c>
      <c r="AH576" s="189">
        <f>AG502</f>
        <v/>
      </c>
      <c r="AI576" s="189">
        <f>AH502</f>
        <v/>
      </c>
      <c r="AQ576" s="187">
        <f>K539</f>
        <v/>
      </c>
    </row>
    <row r="577">
      <c r="A577" s="189">
        <f>E540</f>
        <v/>
      </c>
      <c r="B577" s="118" t="inlineStr">
        <is>
          <t>=</t>
        </is>
      </c>
      <c r="C577" s="189">
        <f>B503</f>
        <v/>
      </c>
      <c r="D577" s="189">
        <f>C503</f>
        <v/>
      </c>
      <c r="E577" s="189">
        <f>D503</f>
        <v/>
      </c>
      <c r="F577" s="189">
        <f>E503</f>
        <v/>
      </c>
      <c r="G577" s="189">
        <f>F503</f>
        <v/>
      </c>
      <c r="H577" s="189">
        <f>G503</f>
        <v/>
      </c>
      <c r="I577" s="189">
        <f>H503</f>
        <v/>
      </c>
      <c r="J577" s="189">
        <f>I503</f>
        <v/>
      </c>
      <c r="K577" s="189">
        <f>J503</f>
        <v/>
      </c>
      <c r="L577" s="189">
        <f>K503</f>
        <v/>
      </c>
      <c r="M577" s="189">
        <f>L503</f>
        <v/>
      </c>
      <c r="N577" s="189">
        <f>M503</f>
        <v/>
      </c>
      <c r="O577" s="189">
        <f>N503</f>
        <v/>
      </c>
      <c r="P577" s="189">
        <f>O503</f>
        <v/>
      </c>
      <c r="Q577" s="189">
        <f>P503</f>
        <v/>
      </c>
      <c r="R577" s="189">
        <f>Q503</f>
        <v/>
      </c>
      <c r="S577" s="189">
        <f>R503</f>
        <v/>
      </c>
      <c r="T577" s="189">
        <f>S503</f>
        <v/>
      </c>
      <c r="U577" s="189">
        <f>T503</f>
        <v/>
      </c>
      <c r="V577" s="189">
        <f>U503</f>
        <v/>
      </c>
      <c r="W577" s="189">
        <f>V503</f>
        <v/>
      </c>
      <c r="X577" s="189">
        <f>W503</f>
        <v/>
      </c>
      <c r="Y577" s="189">
        <f>X503</f>
        <v/>
      </c>
      <c r="Z577" s="189">
        <f>Y503</f>
        <v/>
      </c>
      <c r="AA577" s="189">
        <f>Z503</f>
        <v/>
      </c>
      <c r="AB577" s="189">
        <f>AA503</f>
        <v/>
      </c>
      <c r="AC577" s="189">
        <f>AB503</f>
        <v/>
      </c>
      <c r="AD577" s="8">
        <f>AC503</f>
        <v/>
      </c>
      <c r="AE577" s="189">
        <f>AD503</f>
        <v/>
      </c>
      <c r="AF577" s="189">
        <f>AE503</f>
        <v/>
      </c>
      <c r="AG577" s="189">
        <f>AF503</f>
        <v/>
      </c>
      <c r="AH577" s="189">
        <f>AG503</f>
        <v/>
      </c>
      <c r="AI577" s="189">
        <f>AH503</f>
        <v/>
      </c>
      <c r="AQ577" s="187">
        <f>K540</f>
        <v/>
      </c>
    </row>
    <row r="578">
      <c r="A578" s="189">
        <f>E541</f>
        <v/>
      </c>
      <c r="B578" s="118" t="inlineStr">
        <is>
          <t>=</t>
        </is>
      </c>
      <c r="C578" s="189">
        <f>B504</f>
        <v/>
      </c>
      <c r="D578" s="189">
        <f>C504</f>
        <v/>
      </c>
      <c r="E578" s="189">
        <f>D504</f>
        <v/>
      </c>
      <c r="F578" s="189">
        <f>E504</f>
        <v/>
      </c>
      <c r="G578" s="189">
        <f>F504</f>
        <v/>
      </c>
      <c r="H578" s="189">
        <f>G504</f>
        <v/>
      </c>
      <c r="I578" s="189">
        <f>H504</f>
        <v/>
      </c>
      <c r="J578" s="189">
        <f>I504</f>
        <v/>
      </c>
      <c r="K578" s="189">
        <f>J504</f>
        <v/>
      </c>
      <c r="L578" s="189">
        <f>K504</f>
        <v/>
      </c>
      <c r="M578" s="189">
        <f>L504</f>
        <v/>
      </c>
      <c r="N578" s="189">
        <f>M504</f>
        <v/>
      </c>
      <c r="O578" s="189">
        <f>N504</f>
        <v/>
      </c>
      <c r="P578" s="189">
        <f>O504</f>
        <v/>
      </c>
      <c r="Q578" s="189">
        <f>P504</f>
        <v/>
      </c>
      <c r="R578" s="189">
        <f>Q504</f>
        <v/>
      </c>
      <c r="S578" s="189">
        <f>R504</f>
        <v/>
      </c>
      <c r="T578" s="189">
        <f>S504</f>
        <v/>
      </c>
      <c r="U578" s="189">
        <f>T504</f>
        <v/>
      </c>
      <c r="V578" s="189">
        <f>U504</f>
        <v/>
      </c>
      <c r="W578" s="189">
        <f>V504</f>
        <v/>
      </c>
      <c r="X578" s="189">
        <f>W504</f>
        <v/>
      </c>
      <c r="Y578" s="189">
        <f>X504</f>
        <v/>
      </c>
      <c r="Z578" s="189">
        <f>Y504</f>
        <v/>
      </c>
      <c r="AA578" s="189">
        <f>Z504</f>
        <v/>
      </c>
      <c r="AB578" s="189">
        <f>AA504</f>
        <v/>
      </c>
      <c r="AC578" s="189">
        <f>AB504</f>
        <v/>
      </c>
      <c r="AD578" s="189">
        <f>AC504</f>
        <v/>
      </c>
      <c r="AE578" s="8">
        <f>AD504</f>
        <v/>
      </c>
      <c r="AF578" s="189">
        <f>AE504</f>
        <v/>
      </c>
      <c r="AG578" s="189">
        <f>AF504</f>
        <v/>
      </c>
      <c r="AH578" s="189">
        <f>AG504</f>
        <v/>
      </c>
      <c r="AI578" s="189">
        <f>AH504</f>
        <v/>
      </c>
      <c r="AQ578" s="187">
        <f>K541</f>
        <v/>
      </c>
    </row>
    <row r="579">
      <c r="A579" s="189">
        <f>E542</f>
        <v/>
      </c>
      <c r="B579" s="118" t="inlineStr">
        <is>
          <t>=</t>
        </is>
      </c>
      <c r="C579" s="189">
        <f>B505</f>
        <v/>
      </c>
      <c r="D579" s="189">
        <f>C505</f>
        <v/>
      </c>
      <c r="E579" s="189">
        <f>D505</f>
        <v/>
      </c>
      <c r="F579" s="189">
        <f>E505</f>
        <v/>
      </c>
      <c r="G579" s="189">
        <f>F505</f>
        <v/>
      </c>
      <c r="H579" s="189">
        <f>G505</f>
        <v/>
      </c>
      <c r="I579" s="189">
        <f>H505</f>
        <v/>
      </c>
      <c r="J579" s="189">
        <f>I505</f>
        <v/>
      </c>
      <c r="K579" s="189">
        <f>J505</f>
        <v/>
      </c>
      <c r="L579" s="189">
        <f>K505</f>
        <v/>
      </c>
      <c r="M579" s="189">
        <f>L505</f>
        <v/>
      </c>
      <c r="N579" s="189">
        <f>M505</f>
        <v/>
      </c>
      <c r="O579" s="189">
        <f>N505</f>
        <v/>
      </c>
      <c r="P579" s="189">
        <f>O505</f>
        <v/>
      </c>
      <c r="Q579" s="189">
        <f>P505</f>
        <v/>
      </c>
      <c r="R579" s="189">
        <f>Q505</f>
        <v/>
      </c>
      <c r="S579" s="189">
        <f>R505</f>
        <v/>
      </c>
      <c r="T579" s="189">
        <f>S505</f>
        <v/>
      </c>
      <c r="U579" s="189">
        <f>T505</f>
        <v/>
      </c>
      <c r="V579" s="189">
        <f>U505</f>
        <v/>
      </c>
      <c r="W579" s="189">
        <f>V505</f>
        <v/>
      </c>
      <c r="X579" s="189">
        <f>W505</f>
        <v/>
      </c>
      <c r="Y579" s="189">
        <f>X505</f>
        <v/>
      </c>
      <c r="Z579" s="189">
        <f>Y505</f>
        <v/>
      </c>
      <c r="AA579" s="189">
        <f>Z505</f>
        <v/>
      </c>
      <c r="AB579" s="189">
        <f>AA505</f>
        <v/>
      </c>
      <c r="AC579" s="189">
        <f>AB505</f>
        <v/>
      </c>
      <c r="AD579" s="189">
        <f>AC505</f>
        <v/>
      </c>
      <c r="AE579" s="189">
        <f>AD505</f>
        <v/>
      </c>
      <c r="AF579" s="8">
        <f>AE505</f>
        <v/>
      </c>
      <c r="AG579" s="189">
        <f>AF505</f>
        <v/>
      </c>
      <c r="AH579" s="189">
        <f>AG505</f>
        <v/>
      </c>
      <c r="AI579" s="189">
        <f>AH505</f>
        <v/>
      </c>
      <c r="AQ579" s="187">
        <f>K542</f>
        <v/>
      </c>
    </row>
    <row r="580">
      <c r="A580" s="189">
        <f>E543</f>
        <v/>
      </c>
      <c r="B580" s="118" t="inlineStr">
        <is>
          <t>=</t>
        </is>
      </c>
      <c r="C580" s="189">
        <f>B506</f>
        <v/>
      </c>
      <c r="D580" s="189">
        <f>C506</f>
        <v/>
      </c>
      <c r="E580" s="189">
        <f>D506</f>
        <v/>
      </c>
      <c r="F580" s="189">
        <f>E506</f>
        <v/>
      </c>
      <c r="G580" s="189">
        <f>F506</f>
        <v/>
      </c>
      <c r="H580" s="189">
        <f>G506</f>
        <v/>
      </c>
      <c r="I580" s="189">
        <f>H506</f>
        <v/>
      </c>
      <c r="J580" s="189">
        <f>I506</f>
        <v/>
      </c>
      <c r="K580" s="189">
        <f>J506</f>
        <v/>
      </c>
      <c r="L580" s="189">
        <f>K506</f>
        <v/>
      </c>
      <c r="M580" s="189">
        <f>L506</f>
        <v/>
      </c>
      <c r="N580" s="189">
        <f>M506</f>
        <v/>
      </c>
      <c r="O580" s="189">
        <f>N506</f>
        <v/>
      </c>
      <c r="P580" s="189">
        <f>O506</f>
        <v/>
      </c>
      <c r="Q580" s="189">
        <f>P506</f>
        <v/>
      </c>
      <c r="R580" s="189">
        <f>Q506</f>
        <v/>
      </c>
      <c r="S580" s="189">
        <f>R506</f>
        <v/>
      </c>
      <c r="T580" s="189">
        <f>S506</f>
        <v/>
      </c>
      <c r="U580" s="189">
        <f>T506</f>
        <v/>
      </c>
      <c r="V580" s="189">
        <f>U506</f>
        <v/>
      </c>
      <c r="W580" s="189">
        <f>V506</f>
        <v/>
      </c>
      <c r="X580" s="189">
        <f>W506</f>
        <v/>
      </c>
      <c r="Y580" s="189">
        <f>X506</f>
        <v/>
      </c>
      <c r="Z580" s="189">
        <f>Y506</f>
        <v/>
      </c>
      <c r="AA580" s="189">
        <f>Z506</f>
        <v/>
      </c>
      <c r="AB580" s="189">
        <f>AA506</f>
        <v/>
      </c>
      <c r="AC580" s="189">
        <f>AB506</f>
        <v/>
      </c>
      <c r="AD580" s="189">
        <f>AC506</f>
        <v/>
      </c>
      <c r="AE580" s="189">
        <f>AD506</f>
        <v/>
      </c>
      <c r="AF580" s="189">
        <f>AE506</f>
        <v/>
      </c>
      <c r="AG580" s="8">
        <f>AF506</f>
        <v/>
      </c>
      <c r="AH580" s="189">
        <f>AG506</f>
        <v/>
      </c>
      <c r="AI580" s="189">
        <f>AH506</f>
        <v/>
      </c>
      <c r="AQ580" s="187">
        <f>K543</f>
        <v/>
      </c>
    </row>
    <row r="581">
      <c r="A581" s="189">
        <f>E544</f>
        <v/>
      </c>
      <c r="B581" s="118" t="inlineStr">
        <is>
          <t>=</t>
        </is>
      </c>
      <c r="C581" s="189">
        <f>B507</f>
        <v/>
      </c>
      <c r="D581" s="189">
        <f>C507</f>
        <v/>
      </c>
      <c r="E581" s="189">
        <f>D507</f>
        <v/>
      </c>
      <c r="F581" s="189">
        <f>E507</f>
        <v/>
      </c>
      <c r="G581" s="189">
        <f>F507</f>
        <v/>
      </c>
      <c r="H581" s="189">
        <f>G507</f>
        <v/>
      </c>
      <c r="I581" s="189">
        <f>H507</f>
        <v/>
      </c>
      <c r="J581" s="189">
        <f>I507</f>
        <v/>
      </c>
      <c r="K581" s="189">
        <f>J507</f>
        <v/>
      </c>
      <c r="L581" s="189">
        <f>K507</f>
        <v/>
      </c>
      <c r="M581" s="189">
        <f>L507</f>
        <v/>
      </c>
      <c r="N581" s="189">
        <f>M507</f>
        <v/>
      </c>
      <c r="O581" s="189">
        <f>N507</f>
        <v/>
      </c>
      <c r="P581" s="189">
        <f>O507</f>
        <v/>
      </c>
      <c r="Q581" s="189">
        <f>P507</f>
        <v/>
      </c>
      <c r="R581" s="189">
        <f>Q507</f>
        <v/>
      </c>
      <c r="S581" s="189">
        <f>R507</f>
        <v/>
      </c>
      <c r="T581" s="189">
        <f>S507</f>
        <v/>
      </c>
      <c r="U581" s="189">
        <f>T507</f>
        <v/>
      </c>
      <c r="V581" s="189">
        <f>U507</f>
        <v/>
      </c>
      <c r="W581" s="189">
        <f>V507</f>
        <v/>
      </c>
      <c r="X581" s="189">
        <f>W507</f>
        <v/>
      </c>
      <c r="Y581" s="189">
        <f>X507</f>
        <v/>
      </c>
      <c r="Z581" s="189">
        <f>Y507</f>
        <v/>
      </c>
      <c r="AA581" s="189">
        <f>Z507</f>
        <v/>
      </c>
      <c r="AB581" s="189">
        <f>AA507</f>
        <v/>
      </c>
      <c r="AC581" s="189">
        <f>AB507</f>
        <v/>
      </c>
      <c r="AD581" s="189">
        <f>AC507</f>
        <v/>
      </c>
      <c r="AE581" s="189">
        <f>AD507</f>
        <v/>
      </c>
      <c r="AF581" s="189">
        <f>AE507</f>
        <v/>
      </c>
      <c r="AG581" s="189">
        <f>AF507</f>
        <v/>
      </c>
      <c r="AH581" s="8">
        <f>AG507</f>
        <v/>
      </c>
      <c r="AI581" s="189">
        <f>AH507</f>
        <v/>
      </c>
      <c r="AQ581" s="187">
        <f>K544</f>
        <v/>
      </c>
    </row>
    <row r="582">
      <c r="A582" s="189">
        <f>E545</f>
        <v/>
      </c>
      <c r="B582" s="118" t="inlineStr">
        <is>
          <t>=</t>
        </is>
      </c>
      <c r="C582" s="189">
        <f>B508</f>
        <v/>
      </c>
      <c r="D582" s="189">
        <f>C508</f>
        <v/>
      </c>
      <c r="E582" s="189">
        <f>D508</f>
        <v/>
      </c>
      <c r="F582" s="189">
        <f>E508</f>
        <v/>
      </c>
      <c r="G582" s="189">
        <f>F508</f>
        <v/>
      </c>
      <c r="H582" s="189">
        <f>G508</f>
        <v/>
      </c>
      <c r="I582" s="189">
        <f>H508</f>
        <v/>
      </c>
      <c r="J582" s="189">
        <f>I508</f>
        <v/>
      </c>
      <c r="K582" s="189">
        <f>J508</f>
        <v/>
      </c>
      <c r="L582" s="189">
        <f>K508</f>
        <v/>
      </c>
      <c r="M582" s="189">
        <f>L508</f>
        <v/>
      </c>
      <c r="N582" s="189">
        <f>M508</f>
        <v/>
      </c>
      <c r="O582" s="189">
        <f>N508</f>
        <v/>
      </c>
      <c r="P582" s="189">
        <f>O508</f>
        <v/>
      </c>
      <c r="Q582" s="189">
        <f>P508</f>
        <v/>
      </c>
      <c r="R582" s="189">
        <f>Q508</f>
        <v/>
      </c>
      <c r="S582" s="189">
        <f>R508</f>
        <v/>
      </c>
      <c r="T582" s="189">
        <f>S508</f>
        <v/>
      </c>
      <c r="U582" s="189">
        <f>T508</f>
        <v/>
      </c>
      <c r="V582" s="189">
        <f>U508</f>
        <v/>
      </c>
      <c r="W582" s="189">
        <f>V508</f>
        <v/>
      </c>
      <c r="X582" s="189">
        <f>W508</f>
        <v/>
      </c>
      <c r="Y582" s="189">
        <f>X508</f>
        <v/>
      </c>
      <c r="Z582" s="189">
        <f>Y508</f>
        <v/>
      </c>
      <c r="AA582" s="189">
        <f>Z508</f>
        <v/>
      </c>
      <c r="AB582" s="189">
        <f>AA508</f>
        <v/>
      </c>
      <c r="AC582" s="189">
        <f>AB508</f>
        <v/>
      </c>
      <c r="AD582" s="189">
        <f>AC508</f>
        <v/>
      </c>
      <c r="AE582" s="189">
        <f>AD508</f>
        <v/>
      </c>
      <c r="AF582" s="189">
        <f>AE508</f>
        <v/>
      </c>
      <c r="AG582" s="189">
        <f>AF508</f>
        <v/>
      </c>
      <c r="AH582" s="189">
        <f>AG508</f>
        <v/>
      </c>
      <c r="AI582" s="8">
        <f>AH508</f>
        <v/>
      </c>
      <c r="AQ582" s="187">
        <f>K545</f>
        <v/>
      </c>
    </row>
    <row r="585">
      <c r="B585" s="58" t="inlineStr">
        <is>
          <t>BLOQUE TÉCNICO DE RESOLUCIÓN AUTOMÁTICA [K_SOLVER] (INVERSIÓN POR PENALIZACIÓN/IDENTIDAD)</t>
        </is>
      </c>
      <c r="C585" s="190" t="n"/>
      <c r="D585" s="190" t="n"/>
      <c r="E585" s="190" t="n"/>
      <c r="F585" s="190" t="n"/>
      <c r="G585" s="190" t="n"/>
      <c r="H585" s="190" t="n"/>
      <c r="I585" s="190" t="n"/>
      <c r="J585" s="190" t="n"/>
      <c r="K585" s="190" t="n"/>
      <c r="L585" s="190" t="n"/>
      <c r="M585" s="190" t="n"/>
      <c r="N585" s="190" t="n"/>
      <c r="O585" s="190" t="n"/>
      <c r="P585" s="190" t="n"/>
      <c r="Q585" s="190" t="n"/>
      <c r="R585" s="190" t="n"/>
      <c r="S585" s="190" t="n"/>
      <c r="T585" s="190" t="n"/>
      <c r="U585" s="190" t="n"/>
      <c r="V585" s="190" t="n"/>
      <c r="W585" s="190" t="n"/>
      <c r="X585" s="190" t="n"/>
      <c r="Y585" s="190" t="n"/>
      <c r="Z585" s="190" t="n"/>
      <c r="AA585" s="190" t="n"/>
      <c r="AB585" s="190" t="n"/>
      <c r="AC585" s="190" t="n"/>
      <c r="AD585" s="190" t="n"/>
      <c r="AE585" s="190" t="n"/>
      <c r="AF585" s="190" t="n"/>
      <c r="AG585" s="190" t="n"/>
      <c r="AH585" s="191" t="n"/>
    </row>
    <row r="586">
      <c r="AL586" s="58" t="inlineStr">
        <is>
          <t>D_CALCULADO</t>
        </is>
      </c>
      <c r="AN586" s="58" t="inlineStr">
        <is>
          <t>REACCIONES_CALCULADAS</t>
        </is>
      </c>
    </row>
    <row r="587">
      <c r="B587" s="189">
        <f>IF($N513="RESTRINGIDO", 1, IF(OR($N513="", $C476=""), 1, B476))</f>
        <v/>
      </c>
      <c r="C587" s="189">
        <f>IF(OR($N513="RESTRINGIDO", $N514="RESTRINGIDO"), 0, C476)</f>
        <v/>
      </c>
      <c r="D587" s="189">
        <f>IF(OR($N513="RESTRINGIDO", $N515="RESTRINGIDO"), 0, D476)</f>
        <v/>
      </c>
      <c r="E587" s="189">
        <f>IF(OR($N513="RESTRINGIDO", $N516="RESTRINGIDO"), 0, E476)</f>
        <v/>
      </c>
      <c r="F587" s="189">
        <f>IF(OR($N513="RESTRINGIDO", $N517="RESTRINGIDO"), 0, F476)</f>
        <v/>
      </c>
      <c r="G587" s="189">
        <f>IF(OR($N513="RESTRINGIDO", $N518="RESTRINGIDO"), 0, G476)</f>
        <v/>
      </c>
      <c r="H587" s="189">
        <f>IF(OR($N513="RESTRINGIDO", $N519="RESTRINGIDO"), 0, H476)</f>
        <v/>
      </c>
      <c r="I587" s="189">
        <f>IF(OR($N513="RESTRINGIDO", $N520="RESTRINGIDO"), 0, I476)</f>
        <v/>
      </c>
      <c r="J587" s="189">
        <f>IF(OR($N513="RESTRINGIDO", $N521="RESTRINGIDO"), 0, J476)</f>
        <v/>
      </c>
      <c r="K587" s="189">
        <f>IF(OR($N513="RESTRINGIDO", $N522="RESTRINGIDO"), 0, K476)</f>
        <v/>
      </c>
      <c r="L587" s="189">
        <f>IF(OR($N513="RESTRINGIDO", $N523="RESTRINGIDO"), 0, L476)</f>
        <v/>
      </c>
      <c r="M587" s="189">
        <f>IF(OR($N513="RESTRINGIDO", $N524="RESTRINGIDO"), 0, M476)</f>
        <v/>
      </c>
      <c r="N587" s="189">
        <f>IF(OR($N513="RESTRINGIDO", $N525="RESTRINGIDO"), 0, N476)</f>
        <v/>
      </c>
      <c r="O587" s="189">
        <f>IF(OR($N513="RESTRINGIDO", $N526="RESTRINGIDO"), 0, O476)</f>
        <v/>
      </c>
      <c r="P587" s="189">
        <f>IF(OR($N513="RESTRINGIDO", $N527="RESTRINGIDO"), 0, P476)</f>
        <v/>
      </c>
      <c r="Q587" s="189">
        <f>IF(OR($N513="RESTRINGIDO", $N528="RESTRINGIDO"), 0, Q476)</f>
        <v/>
      </c>
      <c r="R587" s="189">
        <f>IF(OR($N513="RESTRINGIDO", $N529="RESTRINGIDO"), 0, R476)</f>
        <v/>
      </c>
      <c r="S587" s="189">
        <f>IF(OR($N513="RESTRINGIDO", $N530="RESTRINGIDO"), 0, S476)</f>
        <v/>
      </c>
      <c r="T587" s="189">
        <f>IF(OR($N513="RESTRINGIDO", $N531="RESTRINGIDO"), 0, T476)</f>
        <v/>
      </c>
      <c r="U587" s="189">
        <f>IF(OR($N513="RESTRINGIDO", $N532="RESTRINGIDO"), 0, U476)</f>
        <v/>
      </c>
      <c r="V587" s="189">
        <f>IF(OR($N513="RESTRINGIDO", $N533="RESTRINGIDO"), 0, V476)</f>
        <v/>
      </c>
      <c r="W587" s="189">
        <f>IF(OR($N513="RESTRINGIDO", $N534="RESTRINGIDO"), 0, W476)</f>
        <v/>
      </c>
      <c r="X587" s="189">
        <f>IF(OR($N513="RESTRINGIDO", $N535="RESTRINGIDO"), 0, X476)</f>
        <v/>
      </c>
      <c r="Y587" s="189">
        <f>IF(OR($N513="RESTRINGIDO", $N536="RESTRINGIDO"), 0, Y476)</f>
        <v/>
      </c>
      <c r="Z587" s="189">
        <f>IF(OR($N513="RESTRINGIDO", $N537="RESTRINGIDO"), 0, Z476)</f>
        <v/>
      </c>
      <c r="AA587" s="189">
        <f>IF(OR($N513="RESTRINGIDO", $N538="RESTRINGIDO"), 0, AA476)</f>
        <v/>
      </c>
      <c r="AB587" s="189">
        <f>IF(OR($N513="RESTRINGIDO", $N539="RESTRINGIDO"), 0, AB476)</f>
        <v/>
      </c>
      <c r="AC587" s="189">
        <f>IF(OR($N513="RESTRINGIDO", $N540="RESTRINGIDO"), 0, AC476)</f>
        <v/>
      </c>
      <c r="AD587" s="189">
        <f>IF(OR($N513="RESTRINGIDO", $N541="RESTRINGIDO"), 0, AD476)</f>
        <v/>
      </c>
      <c r="AE587" s="189">
        <f>IF(OR($N513="RESTRINGIDO", $N542="RESTRINGIDO"), 0, AE476)</f>
        <v/>
      </c>
      <c r="AF587" s="189">
        <f>IF(OR($N513="RESTRINGIDO", $N543="RESTRINGIDO"), 0, AF476)</f>
        <v/>
      </c>
      <c r="AG587" s="189">
        <f>IF(OR($N513="RESTRINGIDO", $N544="RESTRINGIDO"), 0, AG476)</f>
        <v/>
      </c>
      <c r="AH587" s="189">
        <f>IF(OR($N513="RESTRINGIDO", $N545="RESTRINGIDO"), 0, AH476)</f>
        <v/>
      </c>
      <c r="AJ587" s="189">
        <f>IF($N513="LIBRE", IF(ISNUMBER(E513), E513, 0), 0)</f>
        <v/>
      </c>
      <c r="AL587" s="188">
        <f t="array" ref="AL587:AL619">MMULT(MINVERSE(B587:AH619), AJ587:AJ619)</f>
        <v/>
      </c>
      <c r="AN587" s="188">
        <f t="array" ref="AN587:AN619">MMULT(B476:AH508, AL587:AL619) - IF(ISNUMBER(E513:E545), E513:E545, 0)</f>
        <v/>
      </c>
    </row>
    <row r="588">
      <c r="B588" s="189">
        <f>IF(OR($N514="RESTRINGIDO", $N513="RESTRINGIDO"), 0, B477)</f>
        <v/>
      </c>
      <c r="C588" s="189">
        <f>IF($N514="RESTRINGIDO", 1, IF(OR($N514="", $C477=""), 1, C477))</f>
        <v/>
      </c>
      <c r="D588" s="189">
        <f>IF(OR($N514="RESTRINGIDO", $N515="RESTRINGIDO"), 0, D477)</f>
        <v/>
      </c>
      <c r="E588" s="189">
        <f>IF(OR($N514="RESTRINGIDO", $N516="RESTRINGIDO"), 0, E477)</f>
        <v/>
      </c>
      <c r="F588" s="189">
        <f>IF(OR($N514="RESTRINGIDO", $N517="RESTRINGIDO"), 0, F477)</f>
        <v/>
      </c>
      <c r="G588" s="189">
        <f>IF(OR($N514="RESTRINGIDO", $N518="RESTRINGIDO"), 0, G477)</f>
        <v/>
      </c>
      <c r="H588" s="189">
        <f>IF(OR($N514="RESTRINGIDO", $N519="RESTRINGIDO"), 0, H477)</f>
        <v/>
      </c>
      <c r="I588" s="189">
        <f>IF(OR($N514="RESTRINGIDO", $N520="RESTRINGIDO"), 0, I477)</f>
        <v/>
      </c>
      <c r="J588" s="189">
        <f>IF(OR($N514="RESTRINGIDO", $N521="RESTRINGIDO"), 0, J477)</f>
        <v/>
      </c>
      <c r="K588" s="189">
        <f>IF(OR($N514="RESTRINGIDO", $N522="RESTRINGIDO"), 0, K477)</f>
        <v/>
      </c>
      <c r="L588" s="189">
        <f>IF(OR($N514="RESTRINGIDO", $N523="RESTRINGIDO"), 0, L477)</f>
        <v/>
      </c>
      <c r="M588" s="189">
        <f>IF(OR($N514="RESTRINGIDO", $N524="RESTRINGIDO"), 0, M477)</f>
        <v/>
      </c>
      <c r="N588" s="189">
        <f>IF(OR($N514="RESTRINGIDO", $N525="RESTRINGIDO"), 0, N477)</f>
        <v/>
      </c>
      <c r="O588" s="189">
        <f>IF(OR($N514="RESTRINGIDO", $N526="RESTRINGIDO"), 0, O477)</f>
        <v/>
      </c>
      <c r="P588" s="189">
        <f>IF(OR($N514="RESTRINGIDO", $N527="RESTRINGIDO"), 0, P477)</f>
        <v/>
      </c>
      <c r="Q588" s="189">
        <f>IF(OR($N514="RESTRINGIDO", $N528="RESTRINGIDO"), 0, Q477)</f>
        <v/>
      </c>
      <c r="R588" s="189">
        <f>IF(OR($N514="RESTRINGIDO", $N529="RESTRINGIDO"), 0, R477)</f>
        <v/>
      </c>
      <c r="S588" s="189">
        <f>IF(OR($N514="RESTRINGIDO", $N530="RESTRINGIDO"), 0, S477)</f>
        <v/>
      </c>
      <c r="T588" s="189">
        <f>IF(OR($N514="RESTRINGIDO", $N531="RESTRINGIDO"), 0, T477)</f>
        <v/>
      </c>
      <c r="U588" s="189">
        <f>IF(OR($N514="RESTRINGIDO", $N532="RESTRINGIDO"), 0, U477)</f>
        <v/>
      </c>
      <c r="V588" s="189">
        <f>IF(OR($N514="RESTRINGIDO", $N533="RESTRINGIDO"), 0, V477)</f>
        <v/>
      </c>
      <c r="W588" s="189">
        <f>IF(OR($N514="RESTRINGIDO", $N534="RESTRINGIDO"), 0, W477)</f>
        <v/>
      </c>
      <c r="X588" s="189">
        <f>IF(OR($N514="RESTRINGIDO", $N535="RESTRINGIDO"), 0, X477)</f>
        <v/>
      </c>
      <c r="Y588" s="189">
        <f>IF(OR($N514="RESTRINGIDO", $N536="RESTRINGIDO"), 0, Y477)</f>
        <v/>
      </c>
      <c r="Z588" s="189">
        <f>IF(OR($N514="RESTRINGIDO", $N537="RESTRINGIDO"), 0, Z477)</f>
        <v/>
      </c>
      <c r="AA588" s="189">
        <f>IF(OR($N514="RESTRINGIDO", $N538="RESTRINGIDO"), 0, AA477)</f>
        <v/>
      </c>
      <c r="AB588" s="189">
        <f>IF(OR($N514="RESTRINGIDO", $N539="RESTRINGIDO"), 0, AB477)</f>
        <v/>
      </c>
      <c r="AC588" s="189">
        <f>IF(OR($N514="RESTRINGIDO", $N540="RESTRINGIDO"), 0, AC477)</f>
        <v/>
      </c>
      <c r="AD588" s="189">
        <f>IF(OR($N514="RESTRINGIDO", $N541="RESTRINGIDO"), 0, AD477)</f>
        <v/>
      </c>
      <c r="AE588" s="189">
        <f>IF(OR($N514="RESTRINGIDO", $N542="RESTRINGIDO"), 0, AE477)</f>
        <v/>
      </c>
      <c r="AF588" s="189">
        <f>IF(OR($N514="RESTRINGIDO", $N543="RESTRINGIDO"), 0, AF477)</f>
        <v/>
      </c>
      <c r="AG588" s="189">
        <f>IF(OR($N514="RESTRINGIDO", $N544="RESTRINGIDO"), 0, AG477)</f>
        <v/>
      </c>
      <c r="AH588" s="189">
        <f>IF(OR($N514="RESTRINGIDO", $N545="RESTRINGIDO"), 0, AH477)</f>
        <v/>
      </c>
      <c r="AJ588" s="189">
        <f>IF($N514="LIBRE", IF(ISNUMBER(E514), E514, 0), 0)</f>
        <v/>
      </c>
      <c r="AL588" s="188" t="n">
        <v>0</v>
      </c>
      <c r="AN588" s="188" t="n">
        <v>1333.333333333333</v>
      </c>
    </row>
    <row r="589">
      <c r="B589" s="189">
        <f>IF(OR($N515="RESTRINGIDO", $N513="RESTRINGIDO"), 0, B478)</f>
        <v/>
      </c>
      <c r="C589" s="189">
        <f>IF(OR($N515="RESTRINGIDO", $N514="RESTRINGIDO"), 0, C478)</f>
        <v/>
      </c>
      <c r="D589" s="189">
        <f>IF($N515="RESTRINGIDO", 1, IF(OR($N515="", $C478=""), 1, D478))</f>
        <v/>
      </c>
      <c r="E589" s="189">
        <f>IF(OR($N515="RESTRINGIDO", $N516="RESTRINGIDO"), 0, E478)</f>
        <v/>
      </c>
      <c r="F589" s="189">
        <f>IF(OR($N515="RESTRINGIDO", $N517="RESTRINGIDO"), 0, F478)</f>
        <v/>
      </c>
      <c r="G589" s="189">
        <f>IF(OR($N515="RESTRINGIDO", $N518="RESTRINGIDO"), 0, G478)</f>
        <v/>
      </c>
      <c r="H589" s="189">
        <f>IF(OR($N515="RESTRINGIDO", $N519="RESTRINGIDO"), 0, H478)</f>
        <v/>
      </c>
      <c r="I589" s="189">
        <f>IF(OR($N515="RESTRINGIDO", $N520="RESTRINGIDO"), 0, I478)</f>
        <v/>
      </c>
      <c r="J589" s="189">
        <f>IF(OR($N515="RESTRINGIDO", $N521="RESTRINGIDO"), 0, J478)</f>
        <v/>
      </c>
      <c r="K589" s="189">
        <f>IF(OR($N515="RESTRINGIDO", $N522="RESTRINGIDO"), 0, K478)</f>
        <v/>
      </c>
      <c r="L589" s="189">
        <f>IF(OR($N515="RESTRINGIDO", $N523="RESTRINGIDO"), 0, L478)</f>
        <v/>
      </c>
      <c r="M589" s="189">
        <f>IF(OR($N515="RESTRINGIDO", $N524="RESTRINGIDO"), 0, M478)</f>
        <v/>
      </c>
      <c r="N589" s="189">
        <f>IF(OR($N515="RESTRINGIDO", $N525="RESTRINGIDO"), 0, N478)</f>
        <v/>
      </c>
      <c r="O589" s="189">
        <f>IF(OR($N515="RESTRINGIDO", $N526="RESTRINGIDO"), 0, O478)</f>
        <v/>
      </c>
      <c r="P589" s="189">
        <f>IF(OR($N515="RESTRINGIDO", $N527="RESTRINGIDO"), 0, P478)</f>
        <v/>
      </c>
      <c r="Q589" s="189">
        <f>IF(OR($N515="RESTRINGIDO", $N528="RESTRINGIDO"), 0, Q478)</f>
        <v/>
      </c>
      <c r="R589" s="189">
        <f>IF(OR($N515="RESTRINGIDO", $N529="RESTRINGIDO"), 0, R478)</f>
        <v/>
      </c>
      <c r="S589" s="189">
        <f>IF(OR($N515="RESTRINGIDO", $N530="RESTRINGIDO"), 0, S478)</f>
        <v/>
      </c>
      <c r="T589" s="189">
        <f>IF(OR($N515="RESTRINGIDO", $N531="RESTRINGIDO"), 0, T478)</f>
        <v/>
      </c>
      <c r="U589" s="189">
        <f>IF(OR($N515="RESTRINGIDO", $N532="RESTRINGIDO"), 0, U478)</f>
        <v/>
      </c>
      <c r="V589" s="189">
        <f>IF(OR($N515="RESTRINGIDO", $N533="RESTRINGIDO"), 0, V478)</f>
        <v/>
      </c>
      <c r="W589" s="189">
        <f>IF(OR($N515="RESTRINGIDO", $N534="RESTRINGIDO"), 0, W478)</f>
        <v/>
      </c>
      <c r="X589" s="189">
        <f>IF(OR($N515="RESTRINGIDO", $N535="RESTRINGIDO"), 0, X478)</f>
        <v/>
      </c>
      <c r="Y589" s="189">
        <f>IF(OR($N515="RESTRINGIDO", $N536="RESTRINGIDO"), 0, Y478)</f>
        <v/>
      </c>
      <c r="Z589" s="189">
        <f>IF(OR($N515="RESTRINGIDO", $N537="RESTRINGIDO"), 0, Z478)</f>
        <v/>
      </c>
      <c r="AA589" s="189">
        <f>IF(OR($N515="RESTRINGIDO", $N538="RESTRINGIDO"), 0, AA478)</f>
        <v/>
      </c>
      <c r="AB589" s="189">
        <f>IF(OR($N515="RESTRINGIDO", $N539="RESTRINGIDO"), 0, AB478)</f>
        <v/>
      </c>
      <c r="AC589" s="189">
        <f>IF(OR($N515="RESTRINGIDO", $N540="RESTRINGIDO"), 0, AC478)</f>
        <v/>
      </c>
      <c r="AD589" s="189">
        <f>IF(OR($N515="RESTRINGIDO", $N541="RESTRINGIDO"), 0, AD478)</f>
        <v/>
      </c>
      <c r="AE589" s="189">
        <f>IF(OR($N515="RESTRINGIDO", $N542="RESTRINGIDO"), 0, AE478)</f>
        <v/>
      </c>
      <c r="AF589" s="189">
        <f>IF(OR($N515="RESTRINGIDO", $N543="RESTRINGIDO"), 0, AF478)</f>
        <v/>
      </c>
      <c r="AG589" s="189">
        <f>IF(OR($N515="RESTRINGIDO", $N544="RESTRINGIDO"), 0, AG478)</f>
        <v/>
      </c>
      <c r="AH589" s="189">
        <f>IF(OR($N515="RESTRINGIDO", $N545="RESTRINGIDO"), 0, AH478)</f>
        <v/>
      </c>
      <c r="AJ589" s="189">
        <f>IF($N515="LIBRE", IF(ISNUMBER(E515), E515, 0), 0)</f>
        <v/>
      </c>
      <c r="AL589" s="188" t="n">
        <v>-0.1777777777777777</v>
      </c>
      <c r="AN589" s="188" t="n">
        <v>4.365574568510056e-11</v>
      </c>
    </row>
    <row r="590">
      <c r="B590" s="189">
        <f>IF(OR($N516="RESTRINGIDO", $N513="RESTRINGIDO"), 0, B479)</f>
        <v/>
      </c>
      <c r="C590" s="189">
        <f>IF(OR($N516="RESTRINGIDO", $N514="RESTRINGIDO"), 0, C479)</f>
        <v/>
      </c>
      <c r="D590" s="189">
        <f>IF(OR($N516="RESTRINGIDO", $N515="RESTRINGIDO"), 0, D479)</f>
        <v/>
      </c>
      <c r="E590" s="189">
        <f>IF($N516="RESTRINGIDO", 1, IF(OR($N516="", $C479=""), 1, E479))</f>
        <v/>
      </c>
      <c r="F590" s="189">
        <f>IF(OR($N516="RESTRINGIDO", $N517="RESTRINGIDO"), 0, F479)</f>
        <v/>
      </c>
      <c r="G590" s="189">
        <f>IF(OR($N516="RESTRINGIDO", $N518="RESTRINGIDO"), 0, G479)</f>
        <v/>
      </c>
      <c r="H590" s="189">
        <f>IF(OR($N516="RESTRINGIDO", $N519="RESTRINGIDO"), 0, H479)</f>
        <v/>
      </c>
      <c r="I590" s="189">
        <f>IF(OR($N516="RESTRINGIDO", $N520="RESTRINGIDO"), 0, I479)</f>
        <v/>
      </c>
      <c r="J590" s="189">
        <f>IF(OR($N516="RESTRINGIDO", $N521="RESTRINGIDO"), 0, J479)</f>
        <v/>
      </c>
      <c r="K590" s="189">
        <f>IF(OR($N516="RESTRINGIDO", $N522="RESTRINGIDO"), 0, K479)</f>
        <v/>
      </c>
      <c r="L590" s="189">
        <f>IF(OR($N516="RESTRINGIDO", $N523="RESTRINGIDO"), 0, L479)</f>
        <v/>
      </c>
      <c r="M590" s="189">
        <f>IF(OR($N516="RESTRINGIDO", $N524="RESTRINGIDO"), 0, M479)</f>
        <v/>
      </c>
      <c r="N590" s="189">
        <f>IF(OR($N516="RESTRINGIDO", $N525="RESTRINGIDO"), 0, N479)</f>
        <v/>
      </c>
      <c r="O590" s="189">
        <f>IF(OR($N516="RESTRINGIDO", $N526="RESTRINGIDO"), 0, O479)</f>
        <v/>
      </c>
      <c r="P590" s="189">
        <f>IF(OR($N516="RESTRINGIDO", $N527="RESTRINGIDO"), 0, P479)</f>
        <v/>
      </c>
      <c r="Q590" s="189">
        <f>IF(OR($N516="RESTRINGIDO", $N528="RESTRINGIDO"), 0, Q479)</f>
        <v/>
      </c>
      <c r="R590" s="189">
        <f>IF(OR($N516="RESTRINGIDO", $N529="RESTRINGIDO"), 0, R479)</f>
        <v/>
      </c>
      <c r="S590" s="189">
        <f>IF(OR($N516="RESTRINGIDO", $N530="RESTRINGIDO"), 0, S479)</f>
        <v/>
      </c>
      <c r="T590" s="189">
        <f>IF(OR($N516="RESTRINGIDO", $N531="RESTRINGIDO"), 0, T479)</f>
        <v/>
      </c>
      <c r="U590" s="189">
        <f>IF(OR($N516="RESTRINGIDO", $N532="RESTRINGIDO"), 0, U479)</f>
        <v/>
      </c>
      <c r="V590" s="189">
        <f>IF(OR($N516="RESTRINGIDO", $N533="RESTRINGIDO"), 0, V479)</f>
        <v/>
      </c>
      <c r="W590" s="189">
        <f>IF(OR($N516="RESTRINGIDO", $N534="RESTRINGIDO"), 0, W479)</f>
        <v/>
      </c>
      <c r="X590" s="189">
        <f>IF(OR($N516="RESTRINGIDO", $N535="RESTRINGIDO"), 0, X479)</f>
        <v/>
      </c>
      <c r="Y590" s="189">
        <f>IF(OR($N516="RESTRINGIDO", $N536="RESTRINGIDO"), 0, Y479)</f>
        <v/>
      </c>
      <c r="Z590" s="189">
        <f>IF(OR($N516="RESTRINGIDO", $N537="RESTRINGIDO"), 0, Z479)</f>
        <v/>
      </c>
      <c r="AA590" s="189">
        <f>IF(OR($N516="RESTRINGIDO", $N538="RESTRINGIDO"), 0, AA479)</f>
        <v/>
      </c>
      <c r="AB590" s="189">
        <f>IF(OR($N516="RESTRINGIDO", $N539="RESTRINGIDO"), 0, AB479)</f>
        <v/>
      </c>
      <c r="AC590" s="189">
        <f>IF(OR($N516="RESTRINGIDO", $N540="RESTRINGIDO"), 0, AC479)</f>
        <v/>
      </c>
      <c r="AD590" s="189">
        <f>IF(OR($N516="RESTRINGIDO", $N541="RESTRINGIDO"), 0, AD479)</f>
        <v/>
      </c>
      <c r="AE590" s="189">
        <f>IF(OR($N516="RESTRINGIDO", $N542="RESTRINGIDO"), 0, AE479)</f>
        <v/>
      </c>
      <c r="AF590" s="189">
        <f>IF(OR($N516="RESTRINGIDO", $N543="RESTRINGIDO"), 0, AF479)</f>
        <v/>
      </c>
      <c r="AG590" s="189">
        <f>IF(OR($N516="RESTRINGIDO", $N544="RESTRINGIDO"), 0, AG479)</f>
        <v/>
      </c>
      <c r="AH590" s="189">
        <f>IF(OR($N516="RESTRINGIDO", $N545="RESTRINGIDO"), 0, AH479)</f>
        <v/>
      </c>
      <c r="AJ590" s="189">
        <f>IF($N516="LIBRE", IF(ISNUMBER(E516), E516, 0), 0)</f>
        <v/>
      </c>
      <c r="AL590" s="188" t="n">
        <v>0</v>
      </c>
      <c r="AN590" s="188" t="n">
        <v>0</v>
      </c>
    </row>
    <row r="591">
      <c r="B591" s="189">
        <f>IF(OR($N517="RESTRINGIDO", $N513="RESTRINGIDO"), 0, B480)</f>
        <v/>
      </c>
      <c r="C591" s="189">
        <f>IF(OR($N517="RESTRINGIDO", $N514="RESTRINGIDO"), 0, C480)</f>
        <v/>
      </c>
      <c r="D591" s="189">
        <f>IF(OR($N517="RESTRINGIDO", $N515="RESTRINGIDO"), 0, D480)</f>
        <v/>
      </c>
      <c r="E591" s="189">
        <f>IF(OR($N517="RESTRINGIDO", $N516="RESTRINGIDO"), 0, E480)</f>
        <v/>
      </c>
      <c r="F591" s="189">
        <f>IF($N517="RESTRINGIDO", 1, IF(OR($N517="", $C480=""), 1, F480))</f>
        <v/>
      </c>
      <c r="G591" s="189">
        <f>IF(OR($N517="RESTRINGIDO", $N518="RESTRINGIDO"), 0, G480)</f>
        <v/>
      </c>
      <c r="H591" s="189">
        <f>IF(OR($N517="RESTRINGIDO", $N519="RESTRINGIDO"), 0, H480)</f>
        <v/>
      </c>
      <c r="I591" s="189">
        <f>IF(OR($N517="RESTRINGIDO", $N520="RESTRINGIDO"), 0, I480)</f>
        <v/>
      </c>
      <c r="J591" s="189">
        <f>IF(OR($N517="RESTRINGIDO", $N521="RESTRINGIDO"), 0, J480)</f>
        <v/>
      </c>
      <c r="K591" s="189">
        <f>IF(OR($N517="RESTRINGIDO", $N522="RESTRINGIDO"), 0, K480)</f>
        <v/>
      </c>
      <c r="L591" s="189">
        <f>IF(OR($N517="RESTRINGIDO", $N523="RESTRINGIDO"), 0, L480)</f>
        <v/>
      </c>
      <c r="M591" s="189">
        <f>IF(OR($N517="RESTRINGIDO", $N524="RESTRINGIDO"), 0, M480)</f>
        <v/>
      </c>
      <c r="N591" s="189">
        <f>IF(OR($N517="RESTRINGIDO", $N525="RESTRINGIDO"), 0, N480)</f>
        <v/>
      </c>
      <c r="O591" s="189">
        <f>IF(OR($N517="RESTRINGIDO", $N526="RESTRINGIDO"), 0, O480)</f>
        <v/>
      </c>
      <c r="P591" s="189">
        <f>IF(OR($N517="RESTRINGIDO", $N527="RESTRINGIDO"), 0, P480)</f>
        <v/>
      </c>
      <c r="Q591" s="189">
        <f>IF(OR($N517="RESTRINGIDO", $N528="RESTRINGIDO"), 0, Q480)</f>
        <v/>
      </c>
      <c r="R591" s="189">
        <f>IF(OR($N517="RESTRINGIDO", $N529="RESTRINGIDO"), 0, R480)</f>
        <v/>
      </c>
      <c r="S591" s="189">
        <f>IF(OR($N517="RESTRINGIDO", $N530="RESTRINGIDO"), 0, S480)</f>
        <v/>
      </c>
      <c r="T591" s="189">
        <f>IF(OR($N517="RESTRINGIDO", $N531="RESTRINGIDO"), 0, T480)</f>
        <v/>
      </c>
      <c r="U591" s="189">
        <f>IF(OR($N517="RESTRINGIDO", $N532="RESTRINGIDO"), 0, U480)</f>
        <v/>
      </c>
      <c r="V591" s="189">
        <f>IF(OR($N517="RESTRINGIDO", $N533="RESTRINGIDO"), 0, V480)</f>
        <v/>
      </c>
      <c r="W591" s="189">
        <f>IF(OR($N517="RESTRINGIDO", $N534="RESTRINGIDO"), 0, W480)</f>
        <v/>
      </c>
      <c r="X591" s="189">
        <f>IF(OR($N517="RESTRINGIDO", $N535="RESTRINGIDO"), 0, X480)</f>
        <v/>
      </c>
      <c r="Y591" s="189">
        <f>IF(OR($N517="RESTRINGIDO", $N536="RESTRINGIDO"), 0, Y480)</f>
        <v/>
      </c>
      <c r="Z591" s="189">
        <f>IF(OR($N517="RESTRINGIDO", $N537="RESTRINGIDO"), 0, Z480)</f>
        <v/>
      </c>
      <c r="AA591" s="189">
        <f>IF(OR($N517="RESTRINGIDO", $N538="RESTRINGIDO"), 0, AA480)</f>
        <v/>
      </c>
      <c r="AB591" s="189">
        <f>IF(OR($N517="RESTRINGIDO", $N539="RESTRINGIDO"), 0, AB480)</f>
        <v/>
      </c>
      <c r="AC591" s="189">
        <f>IF(OR($N517="RESTRINGIDO", $N540="RESTRINGIDO"), 0, AC480)</f>
        <v/>
      </c>
      <c r="AD591" s="189">
        <f>IF(OR($N517="RESTRINGIDO", $N541="RESTRINGIDO"), 0, AD480)</f>
        <v/>
      </c>
      <c r="AE591" s="189">
        <f>IF(OR($N517="RESTRINGIDO", $N542="RESTRINGIDO"), 0, AE480)</f>
        <v/>
      </c>
      <c r="AF591" s="189">
        <f>IF(OR($N517="RESTRINGIDO", $N543="RESTRINGIDO"), 0, AF480)</f>
        <v/>
      </c>
      <c r="AG591" s="189">
        <f>IF(OR($N517="RESTRINGIDO", $N544="RESTRINGIDO"), 0, AG480)</f>
        <v/>
      </c>
      <c r="AH591" s="189">
        <f>IF(OR($N517="RESTRINGIDO", $N545="RESTRINGIDO"), 0, AH480)</f>
        <v/>
      </c>
      <c r="AJ591" s="189">
        <f>IF($N517="LIBRE", IF(ISNUMBER(E517), E517, 0), 0)</f>
        <v/>
      </c>
      <c r="AL591" s="188" t="n">
        <v>-14.22222222222222</v>
      </c>
      <c r="AN591" s="188" t="n">
        <v>0</v>
      </c>
    </row>
    <row r="592">
      <c r="B592" s="189">
        <f>IF(OR($N518="RESTRINGIDO", $N513="RESTRINGIDO"), 0, B481)</f>
        <v/>
      </c>
      <c r="C592" s="189">
        <f>IF(OR($N518="RESTRINGIDO", $N514="RESTRINGIDO"), 0, C481)</f>
        <v/>
      </c>
      <c r="D592" s="189">
        <f>IF(OR($N518="RESTRINGIDO", $N515="RESTRINGIDO"), 0, D481)</f>
        <v/>
      </c>
      <c r="E592" s="189">
        <f>IF(OR($N518="RESTRINGIDO", $N516="RESTRINGIDO"), 0, E481)</f>
        <v/>
      </c>
      <c r="F592" s="189">
        <f>IF(OR($N518="RESTRINGIDO", $N517="RESTRINGIDO"), 0, F481)</f>
        <v/>
      </c>
      <c r="G592" s="189">
        <f>IF($N518="RESTRINGIDO", 1, IF(OR($N518="", $C481=""), 1, G481))</f>
        <v/>
      </c>
      <c r="H592" s="189">
        <f>IF(OR($N518="RESTRINGIDO", $N519="RESTRINGIDO"), 0, H481)</f>
        <v/>
      </c>
      <c r="I592" s="189">
        <f>IF(OR($N518="RESTRINGIDO", $N520="RESTRINGIDO"), 0, I481)</f>
        <v/>
      </c>
      <c r="J592" s="189">
        <f>IF(OR($N518="RESTRINGIDO", $N521="RESTRINGIDO"), 0, J481)</f>
        <v/>
      </c>
      <c r="K592" s="189">
        <f>IF(OR($N518="RESTRINGIDO", $N522="RESTRINGIDO"), 0, K481)</f>
        <v/>
      </c>
      <c r="L592" s="189">
        <f>IF(OR($N518="RESTRINGIDO", $N523="RESTRINGIDO"), 0, L481)</f>
        <v/>
      </c>
      <c r="M592" s="189">
        <f>IF(OR($N518="RESTRINGIDO", $N524="RESTRINGIDO"), 0, M481)</f>
        <v/>
      </c>
      <c r="N592" s="189">
        <f>IF(OR($N518="RESTRINGIDO", $N525="RESTRINGIDO"), 0, N481)</f>
        <v/>
      </c>
      <c r="O592" s="189">
        <f>IF(OR($N518="RESTRINGIDO", $N526="RESTRINGIDO"), 0, O481)</f>
        <v/>
      </c>
      <c r="P592" s="189">
        <f>IF(OR($N518="RESTRINGIDO", $N527="RESTRINGIDO"), 0, P481)</f>
        <v/>
      </c>
      <c r="Q592" s="189">
        <f>IF(OR($N518="RESTRINGIDO", $N528="RESTRINGIDO"), 0, Q481)</f>
        <v/>
      </c>
      <c r="R592" s="189">
        <f>IF(OR($N518="RESTRINGIDO", $N529="RESTRINGIDO"), 0, R481)</f>
        <v/>
      </c>
      <c r="S592" s="189">
        <f>IF(OR($N518="RESTRINGIDO", $N530="RESTRINGIDO"), 0, S481)</f>
        <v/>
      </c>
      <c r="T592" s="189">
        <f>IF(OR($N518="RESTRINGIDO", $N531="RESTRINGIDO"), 0, T481)</f>
        <v/>
      </c>
      <c r="U592" s="189">
        <f>IF(OR($N518="RESTRINGIDO", $N532="RESTRINGIDO"), 0, U481)</f>
        <v/>
      </c>
      <c r="V592" s="189">
        <f>IF(OR($N518="RESTRINGIDO", $N533="RESTRINGIDO"), 0, V481)</f>
        <v/>
      </c>
      <c r="W592" s="189">
        <f>IF(OR($N518="RESTRINGIDO", $N534="RESTRINGIDO"), 0, W481)</f>
        <v/>
      </c>
      <c r="X592" s="189">
        <f>IF(OR($N518="RESTRINGIDO", $N535="RESTRINGIDO"), 0, X481)</f>
        <v/>
      </c>
      <c r="Y592" s="189">
        <f>IF(OR($N518="RESTRINGIDO", $N536="RESTRINGIDO"), 0, Y481)</f>
        <v/>
      </c>
      <c r="Z592" s="189">
        <f>IF(OR($N518="RESTRINGIDO", $N537="RESTRINGIDO"), 0, Z481)</f>
        <v/>
      </c>
      <c r="AA592" s="189">
        <f>IF(OR($N518="RESTRINGIDO", $N538="RESTRINGIDO"), 0, AA481)</f>
        <v/>
      </c>
      <c r="AB592" s="189">
        <f>IF(OR($N518="RESTRINGIDO", $N539="RESTRINGIDO"), 0, AB481)</f>
        <v/>
      </c>
      <c r="AC592" s="189">
        <f>IF(OR($N518="RESTRINGIDO", $N540="RESTRINGIDO"), 0, AC481)</f>
        <v/>
      </c>
      <c r="AD592" s="189">
        <f>IF(OR($N518="RESTRINGIDO", $N541="RESTRINGIDO"), 0, AD481)</f>
        <v/>
      </c>
      <c r="AE592" s="189">
        <f>IF(OR($N518="RESTRINGIDO", $N542="RESTRINGIDO"), 0, AE481)</f>
        <v/>
      </c>
      <c r="AF592" s="189">
        <f>IF(OR($N518="RESTRINGIDO", $N543="RESTRINGIDO"), 0, AF481)</f>
        <v/>
      </c>
      <c r="AG592" s="189">
        <f>IF(OR($N518="RESTRINGIDO", $N544="RESTRINGIDO"), 0, AG481)</f>
        <v/>
      </c>
      <c r="AH592" s="189">
        <f>IF(OR($N518="RESTRINGIDO", $N545="RESTRINGIDO"), 0, AH481)</f>
        <v/>
      </c>
      <c r="AJ592" s="189">
        <f>IF($N518="LIBRE", IF(ISNUMBER(E518), E518, 0), 0)</f>
        <v/>
      </c>
      <c r="AL592" s="188" t="n">
        <v>-0.07111111111111111</v>
      </c>
      <c r="AN592" s="188" t="n">
        <v>-1.455191522836685e-11</v>
      </c>
    </row>
    <row r="593">
      <c r="B593" s="189">
        <f>IF(OR($N519="RESTRINGIDO", $N513="RESTRINGIDO"), 0, B482)</f>
        <v/>
      </c>
      <c r="C593" s="189">
        <f>IF(OR($N519="RESTRINGIDO", $N514="RESTRINGIDO"), 0, C482)</f>
        <v/>
      </c>
      <c r="D593" s="189">
        <f>IF(OR($N519="RESTRINGIDO", $N515="RESTRINGIDO"), 0, D482)</f>
        <v/>
      </c>
      <c r="E593" s="189">
        <f>IF(OR($N519="RESTRINGIDO", $N516="RESTRINGIDO"), 0, E482)</f>
        <v/>
      </c>
      <c r="F593" s="189">
        <f>IF(OR($N519="RESTRINGIDO", $N517="RESTRINGIDO"), 0, F482)</f>
        <v/>
      </c>
      <c r="G593" s="189">
        <f>IF(OR($N519="RESTRINGIDO", $N518="RESTRINGIDO"), 0, G482)</f>
        <v/>
      </c>
      <c r="H593" s="189">
        <f>IF($N519="RESTRINGIDO", 1, IF(OR($N519="", $C482=""), 1, H482))</f>
        <v/>
      </c>
      <c r="I593" s="189">
        <f>IF(OR($N519="RESTRINGIDO", $N520="RESTRINGIDO"), 0, I482)</f>
        <v/>
      </c>
      <c r="J593" s="189">
        <f>IF(OR($N519="RESTRINGIDO", $N521="RESTRINGIDO"), 0, J482)</f>
        <v/>
      </c>
      <c r="K593" s="189">
        <f>IF(OR($N519="RESTRINGIDO", $N522="RESTRINGIDO"), 0, K482)</f>
        <v/>
      </c>
      <c r="L593" s="189">
        <f>IF(OR($N519="RESTRINGIDO", $N523="RESTRINGIDO"), 0, L482)</f>
        <v/>
      </c>
      <c r="M593" s="189">
        <f>IF(OR($N519="RESTRINGIDO", $N524="RESTRINGIDO"), 0, M482)</f>
        <v/>
      </c>
      <c r="N593" s="189">
        <f>IF(OR($N519="RESTRINGIDO", $N525="RESTRINGIDO"), 0, N482)</f>
        <v/>
      </c>
      <c r="O593" s="189">
        <f>IF(OR($N519="RESTRINGIDO", $N526="RESTRINGIDO"), 0, O482)</f>
        <v/>
      </c>
      <c r="P593" s="189">
        <f>IF(OR($N519="RESTRINGIDO", $N527="RESTRINGIDO"), 0, P482)</f>
        <v/>
      </c>
      <c r="Q593" s="189">
        <f>IF(OR($N519="RESTRINGIDO", $N528="RESTRINGIDO"), 0, Q482)</f>
        <v/>
      </c>
      <c r="R593" s="189">
        <f>IF(OR($N519="RESTRINGIDO", $N529="RESTRINGIDO"), 0, R482)</f>
        <v/>
      </c>
      <c r="S593" s="189">
        <f>IF(OR($N519="RESTRINGIDO", $N530="RESTRINGIDO"), 0, S482)</f>
        <v/>
      </c>
      <c r="T593" s="189">
        <f>IF(OR($N519="RESTRINGIDO", $N531="RESTRINGIDO"), 0, T482)</f>
        <v/>
      </c>
      <c r="U593" s="189">
        <f>IF(OR($N519="RESTRINGIDO", $N532="RESTRINGIDO"), 0, U482)</f>
        <v/>
      </c>
      <c r="V593" s="189">
        <f>IF(OR($N519="RESTRINGIDO", $N533="RESTRINGIDO"), 0, V482)</f>
        <v/>
      </c>
      <c r="W593" s="189">
        <f>IF(OR($N519="RESTRINGIDO", $N534="RESTRINGIDO"), 0, W482)</f>
        <v/>
      </c>
      <c r="X593" s="189">
        <f>IF(OR($N519="RESTRINGIDO", $N535="RESTRINGIDO"), 0, X482)</f>
        <v/>
      </c>
      <c r="Y593" s="189">
        <f>IF(OR($N519="RESTRINGIDO", $N536="RESTRINGIDO"), 0, Y482)</f>
        <v/>
      </c>
      <c r="Z593" s="189">
        <f>IF(OR($N519="RESTRINGIDO", $N537="RESTRINGIDO"), 0, Z482)</f>
        <v/>
      </c>
      <c r="AA593" s="189">
        <f>IF(OR($N519="RESTRINGIDO", $N538="RESTRINGIDO"), 0, AA482)</f>
        <v/>
      </c>
      <c r="AB593" s="189">
        <f>IF(OR($N519="RESTRINGIDO", $N539="RESTRINGIDO"), 0, AB482)</f>
        <v/>
      </c>
      <c r="AC593" s="189">
        <f>IF(OR($N519="RESTRINGIDO", $N540="RESTRINGIDO"), 0, AC482)</f>
        <v/>
      </c>
      <c r="AD593" s="189">
        <f>IF(OR($N519="RESTRINGIDO", $N541="RESTRINGIDO"), 0, AD482)</f>
        <v/>
      </c>
      <c r="AE593" s="189">
        <f>IF(OR($N519="RESTRINGIDO", $N542="RESTRINGIDO"), 0, AE482)</f>
        <v/>
      </c>
      <c r="AF593" s="189">
        <f>IF(OR($N519="RESTRINGIDO", $N543="RESTRINGIDO"), 0, AF482)</f>
        <v/>
      </c>
      <c r="AG593" s="189">
        <f>IF(OR($N519="RESTRINGIDO", $N544="RESTRINGIDO"), 0, AG482)</f>
        <v/>
      </c>
      <c r="AH593" s="189">
        <f>IF(OR($N519="RESTRINGIDO", $N545="RESTRINGIDO"), 0, AH482)</f>
        <v/>
      </c>
      <c r="AJ593" s="189">
        <f>IF($N519="LIBRE", IF(ISNUMBER(E519), E519, 0), 0)</f>
        <v/>
      </c>
      <c r="AL593" s="188" t="n">
        <v>0</v>
      </c>
      <c r="AN593" s="188" t="n">
        <v>0</v>
      </c>
    </row>
    <row r="594">
      <c r="B594" s="189">
        <f>IF(OR($N520="RESTRINGIDO", $N513="RESTRINGIDO"), 0, B483)</f>
        <v/>
      </c>
      <c r="C594" s="189">
        <f>IF(OR($N520="RESTRINGIDO", $N514="RESTRINGIDO"), 0, C483)</f>
        <v/>
      </c>
      <c r="D594" s="189">
        <f>IF(OR($N520="RESTRINGIDO", $N515="RESTRINGIDO"), 0, D483)</f>
        <v/>
      </c>
      <c r="E594" s="189">
        <f>IF(OR($N520="RESTRINGIDO", $N516="RESTRINGIDO"), 0, E483)</f>
        <v/>
      </c>
      <c r="F594" s="189">
        <f>IF(OR($N520="RESTRINGIDO", $N517="RESTRINGIDO"), 0, F483)</f>
        <v/>
      </c>
      <c r="G594" s="189">
        <f>IF(OR($N520="RESTRINGIDO", $N518="RESTRINGIDO"), 0, G483)</f>
        <v/>
      </c>
      <c r="H594" s="189">
        <f>IF(OR($N520="RESTRINGIDO", $N519="RESTRINGIDO"), 0, H483)</f>
        <v/>
      </c>
      <c r="I594" s="189">
        <f>IF($N520="RESTRINGIDO", 1, IF(OR($N520="", $C483=""), 1, I483))</f>
        <v/>
      </c>
      <c r="J594" s="189">
        <f>IF(OR($N520="RESTRINGIDO", $N521="RESTRINGIDO"), 0, J483)</f>
        <v/>
      </c>
      <c r="K594" s="189">
        <f>IF(OR($N520="RESTRINGIDO", $N522="RESTRINGIDO"), 0, K483)</f>
        <v/>
      </c>
      <c r="L594" s="189">
        <f>IF(OR($N520="RESTRINGIDO", $N523="RESTRINGIDO"), 0, L483)</f>
        <v/>
      </c>
      <c r="M594" s="189">
        <f>IF(OR($N520="RESTRINGIDO", $N524="RESTRINGIDO"), 0, M483)</f>
        <v/>
      </c>
      <c r="N594" s="189">
        <f>IF(OR($N520="RESTRINGIDO", $N525="RESTRINGIDO"), 0, N483)</f>
        <v/>
      </c>
      <c r="O594" s="189">
        <f>IF(OR($N520="RESTRINGIDO", $N526="RESTRINGIDO"), 0, O483)</f>
        <v/>
      </c>
      <c r="P594" s="189">
        <f>IF(OR($N520="RESTRINGIDO", $N527="RESTRINGIDO"), 0, P483)</f>
        <v/>
      </c>
      <c r="Q594" s="189">
        <f>IF(OR($N520="RESTRINGIDO", $N528="RESTRINGIDO"), 0, Q483)</f>
        <v/>
      </c>
      <c r="R594" s="189">
        <f>IF(OR($N520="RESTRINGIDO", $N529="RESTRINGIDO"), 0, R483)</f>
        <v/>
      </c>
      <c r="S594" s="189">
        <f>IF(OR($N520="RESTRINGIDO", $N530="RESTRINGIDO"), 0, S483)</f>
        <v/>
      </c>
      <c r="T594" s="189">
        <f>IF(OR($N520="RESTRINGIDO", $N531="RESTRINGIDO"), 0, T483)</f>
        <v/>
      </c>
      <c r="U594" s="189">
        <f>IF(OR($N520="RESTRINGIDO", $N532="RESTRINGIDO"), 0, U483)</f>
        <v/>
      </c>
      <c r="V594" s="189">
        <f>IF(OR($N520="RESTRINGIDO", $N533="RESTRINGIDO"), 0, V483)</f>
        <v/>
      </c>
      <c r="W594" s="189">
        <f>IF(OR($N520="RESTRINGIDO", $N534="RESTRINGIDO"), 0, W483)</f>
        <v/>
      </c>
      <c r="X594" s="189">
        <f>IF(OR($N520="RESTRINGIDO", $N535="RESTRINGIDO"), 0, X483)</f>
        <v/>
      </c>
      <c r="Y594" s="189">
        <f>IF(OR($N520="RESTRINGIDO", $N536="RESTRINGIDO"), 0, Y483)</f>
        <v/>
      </c>
      <c r="Z594" s="189">
        <f>IF(OR($N520="RESTRINGIDO", $N537="RESTRINGIDO"), 0, Z483)</f>
        <v/>
      </c>
      <c r="AA594" s="189">
        <f>IF(OR($N520="RESTRINGIDO", $N538="RESTRINGIDO"), 0, AA483)</f>
        <v/>
      </c>
      <c r="AB594" s="189">
        <f>IF(OR($N520="RESTRINGIDO", $N539="RESTRINGIDO"), 0, AB483)</f>
        <v/>
      </c>
      <c r="AC594" s="189">
        <f>IF(OR($N520="RESTRINGIDO", $N540="RESTRINGIDO"), 0, AC483)</f>
        <v/>
      </c>
      <c r="AD594" s="189">
        <f>IF(OR($N520="RESTRINGIDO", $N541="RESTRINGIDO"), 0, AD483)</f>
        <v/>
      </c>
      <c r="AE594" s="189">
        <f>IF(OR($N520="RESTRINGIDO", $N542="RESTRINGIDO"), 0, AE483)</f>
        <v/>
      </c>
      <c r="AF594" s="189">
        <f>IF(OR($N520="RESTRINGIDO", $N543="RESTRINGIDO"), 0, AF483)</f>
        <v/>
      </c>
      <c r="AG594" s="189">
        <f>IF(OR($N520="RESTRINGIDO", $N544="RESTRINGIDO"), 0, AG483)</f>
        <v/>
      </c>
      <c r="AH594" s="189">
        <f>IF(OR($N520="RESTRINGIDO", $N545="RESTRINGIDO"), 0, AH483)</f>
        <v/>
      </c>
      <c r="AJ594" s="189">
        <f>IF($N520="LIBRE", IF(ISNUMBER(E520), E520, 0), 0)</f>
        <v/>
      </c>
      <c r="AL594" s="188" t="n">
        <v>0</v>
      </c>
      <c r="AN594" s="188" t="n">
        <v>666.6666666666663</v>
      </c>
    </row>
    <row r="595">
      <c r="B595" s="189">
        <f>IF(OR($N521="RESTRINGIDO", $N513="RESTRINGIDO"), 0, B484)</f>
        <v/>
      </c>
      <c r="C595" s="189">
        <f>IF(OR($N521="RESTRINGIDO", $N514="RESTRINGIDO"), 0, C484)</f>
        <v/>
      </c>
      <c r="D595" s="189">
        <f>IF(OR($N521="RESTRINGIDO", $N515="RESTRINGIDO"), 0, D484)</f>
        <v/>
      </c>
      <c r="E595" s="189">
        <f>IF(OR($N521="RESTRINGIDO", $N516="RESTRINGIDO"), 0, E484)</f>
        <v/>
      </c>
      <c r="F595" s="189">
        <f>IF(OR($N521="RESTRINGIDO", $N517="RESTRINGIDO"), 0, F484)</f>
        <v/>
      </c>
      <c r="G595" s="189">
        <f>IF(OR($N521="RESTRINGIDO", $N518="RESTRINGIDO"), 0, G484)</f>
        <v/>
      </c>
      <c r="H595" s="189">
        <f>IF(OR($N521="RESTRINGIDO", $N519="RESTRINGIDO"), 0, H484)</f>
        <v/>
      </c>
      <c r="I595" s="189">
        <f>IF(OR($N521="RESTRINGIDO", $N520="RESTRINGIDO"), 0, I484)</f>
        <v/>
      </c>
      <c r="J595" s="189">
        <f>IF($N521="RESTRINGIDO", 1, IF(OR($N521="", $C484=""), 1, J484))</f>
        <v/>
      </c>
      <c r="K595" s="189">
        <f>IF(OR($N521="RESTRINGIDO", $N522="RESTRINGIDO"), 0, K484)</f>
        <v/>
      </c>
      <c r="L595" s="189">
        <f>IF(OR($N521="RESTRINGIDO", $N523="RESTRINGIDO"), 0, L484)</f>
        <v/>
      </c>
      <c r="M595" s="189">
        <f>IF(OR($N521="RESTRINGIDO", $N524="RESTRINGIDO"), 0, M484)</f>
        <v/>
      </c>
      <c r="N595" s="189">
        <f>IF(OR($N521="RESTRINGIDO", $N525="RESTRINGIDO"), 0, N484)</f>
        <v/>
      </c>
      <c r="O595" s="189">
        <f>IF(OR($N521="RESTRINGIDO", $N526="RESTRINGIDO"), 0, O484)</f>
        <v/>
      </c>
      <c r="P595" s="189">
        <f>IF(OR($N521="RESTRINGIDO", $N527="RESTRINGIDO"), 0, P484)</f>
        <v/>
      </c>
      <c r="Q595" s="189">
        <f>IF(OR($N521="RESTRINGIDO", $N528="RESTRINGIDO"), 0, Q484)</f>
        <v/>
      </c>
      <c r="R595" s="189">
        <f>IF(OR($N521="RESTRINGIDO", $N529="RESTRINGIDO"), 0, R484)</f>
        <v/>
      </c>
      <c r="S595" s="189">
        <f>IF(OR($N521="RESTRINGIDO", $N530="RESTRINGIDO"), 0, S484)</f>
        <v/>
      </c>
      <c r="T595" s="189">
        <f>IF(OR($N521="RESTRINGIDO", $N531="RESTRINGIDO"), 0, T484)</f>
        <v/>
      </c>
      <c r="U595" s="189">
        <f>IF(OR($N521="RESTRINGIDO", $N532="RESTRINGIDO"), 0, U484)</f>
        <v/>
      </c>
      <c r="V595" s="189">
        <f>IF(OR($N521="RESTRINGIDO", $N533="RESTRINGIDO"), 0, V484)</f>
        <v/>
      </c>
      <c r="W595" s="189">
        <f>IF(OR($N521="RESTRINGIDO", $N534="RESTRINGIDO"), 0, W484)</f>
        <v/>
      </c>
      <c r="X595" s="189">
        <f>IF(OR($N521="RESTRINGIDO", $N535="RESTRINGIDO"), 0, X484)</f>
        <v/>
      </c>
      <c r="Y595" s="189">
        <f>IF(OR($N521="RESTRINGIDO", $N536="RESTRINGIDO"), 0, Y484)</f>
        <v/>
      </c>
      <c r="Z595" s="189">
        <f>IF(OR($N521="RESTRINGIDO", $N537="RESTRINGIDO"), 0, Z484)</f>
        <v/>
      </c>
      <c r="AA595" s="189">
        <f>IF(OR($N521="RESTRINGIDO", $N538="RESTRINGIDO"), 0, AA484)</f>
        <v/>
      </c>
      <c r="AB595" s="189">
        <f>IF(OR($N521="RESTRINGIDO", $N539="RESTRINGIDO"), 0, AB484)</f>
        <v/>
      </c>
      <c r="AC595" s="189">
        <f>IF(OR($N521="RESTRINGIDO", $N540="RESTRINGIDO"), 0, AC484)</f>
        <v/>
      </c>
      <c r="AD595" s="189">
        <f>IF(OR($N521="RESTRINGIDO", $N541="RESTRINGIDO"), 0, AD484)</f>
        <v/>
      </c>
      <c r="AE595" s="189">
        <f>IF(OR($N521="RESTRINGIDO", $N542="RESTRINGIDO"), 0, AE484)</f>
        <v/>
      </c>
      <c r="AF595" s="189">
        <f>IF(OR($N521="RESTRINGIDO", $N543="RESTRINGIDO"), 0, AF484)</f>
        <v/>
      </c>
      <c r="AG595" s="189">
        <f>IF(OR($N521="RESTRINGIDO", $N544="RESTRINGIDO"), 0, AG484)</f>
        <v/>
      </c>
      <c r="AH595" s="189">
        <f>IF(OR($N521="RESTRINGIDO", $N545="RESTRINGIDO"), 0, AH484)</f>
        <v/>
      </c>
      <c r="AJ595" s="189">
        <f>IF($N521="LIBRE", IF(ISNUMBER(E521), E521, 0), 0)</f>
        <v/>
      </c>
      <c r="AL595" s="188" t="n">
        <v>0.1422222222222222</v>
      </c>
      <c r="AN595" s="188" t="n">
        <v>2.91038304567337e-11</v>
      </c>
    </row>
    <row r="596">
      <c r="B596" s="189">
        <f>IF(OR($N522="RESTRINGIDO", $N513="RESTRINGIDO"), 0, B485)</f>
        <v/>
      </c>
      <c r="C596" s="189">
        <f>IF(OR($N522="RESTRINGIDO", $N514="RESTRINGIDO"), 0, C485)</f>
        <v/>
      </c>
      <c r="D596" s="189">
        <f>IF(OR($N522="RESTRINGIDO", $N515="RESTRINGIDO"), 0, D485)</f>
        <v/>
      </c>
      <c r="E596" s="189">
        <f>IF(OR($N522="RESTRINGIDO", $N516="RESTRINGIDO"), 0, E485)</f>
        <v/>
      </c>
      <c r="F596" s="189">
        <f>IF(OR($N522="RESTRINGIDO", $N517="RESTRINGIDO"), 0, F485)</f>
        <v/>
      </c>
      <c r="G596" s="189">
        <f>IF(OR($N522="RESTRINGIDO", $N518="RESTRINGIDO"), 0, G485)</f>
        <v/>
      </c>
      <c r="H596" s="189">
        <f>IF(OR($N522="RESTRINGIDO", $N519="RESTRINGIDO"), 0, H485)</f>
        <v/>
      </c>
      <c r="I596" s="189">
        <f>IF(OR($N522="RESTRINGIDO", $N520="RESTRINGIDO"), 0, I485)</f>
        <v/>
      </c>
      <c r="J596" s="189">
        <f>IF(OR($N522="RESTRINGIDO", $N521="RESTRINGIDO"), 0, J485)</f>
        <v/>
      </c>
      <c r="K596" s="189">
        <f>IF($N522="RESTRINGIDO", 1, IF(OR($N522="", $C485=""), 1, K485))</f>
        <v/>
      </c>
      <c r="L596" s="189">
        <f>IF(OR($N522="RESTRINGIDO", $N523="RESTRINGIDO"), 0, L485)</f>
        <v/>
      </c>
      <c r="M596" s="189">
        <f>IF(OR($N522="RESTRINGIDO", $N524="RESTRINGIDO"), 0, M485)</f>
        <v/>
      </c>
      <c r="N596" s="189">
        <f>IF(OR($N522="RESTRINGIDO", $N525="RESTRINGIDO"), 0, N485)</f>
        <v/>
      </c>
      <c r="O596" s="189">
        <f>IF(OR($N522="RESTRINGIDO", $N526="RESTRINGIDO"), 0, O485)</f>
        <v/>
      </c>
      <c r="P596" s="189">
        <f>IF(OR($N522="RESTRINGIDO", $N527="RESTRINGIDO"), 0, P485)</f>
        <v/>
      </c>
      <c r="Q596" s="189">
        <f>IF(OR($N522="RESTRINGIDO", $N528="RESTRINGIDO"), 0, Q485)</f>
        <v/>
      </c>
      <c r="R596" s="189">
        <f>IF(OR($N522="RESTRINGIDO", $N529="RESTRINGIDO"), 0, R485)</f>
        <v/>
      </c>
      <c r="S596" s="189">
        <f>IF(OR($N522="RESTRINGIDO", $N530="RESTRINGIDO"), 0, S485)</f>
        <v/>
      </c>
      <c r="T596" s="189">
        <f>IF(OR($N522="RESTRINGIDO", $N531="RESTRINGIDO"), 0, T485)</f>
        <v/>
      </c>
      <c r="U596" s="189">
        <f>IF(OR($N522="RESTRINGIDO", $N532="RESTRINGIDO"), 0, U485)</f>
        <v/>
      </c>
      <c r="V596" s="189">
        <f>IF(OR($N522="RESTRINGIDO", $N533="RESTRINGIDO"), 0, V485)</f>
        <v/>
      </c>
      <c r="W596" s="189">
        <f>IF(OR($N522="RESTRINGIDO", $N534="RESTRINGIDO"), 0, W485)</f>
        <v/>
      </c>
      <c r="X596" s="189">
        <f>IF(OR($N522="RESTRINGIDO", $N535="RESTRINGIDO"), 0, X485)</f>
        <v/>
      </c>
      <c r="Y596" s="189">
        <f>IF(OR($N522="RESTRINGIDO", $N536="RESTRINGIDO"), 0, Y485)</f>
        <v/>
      </c>
      <c r="Z596" s="189">
        <f>IF(OR($N522="RESTRINGIDO", $N537="RESTRINGIDO"), 0, Z485)</f>
        <v/>
      </c>
      <c r="AA596" s="189">
        <f>IF(OR($N522="RESTRINGIDO", $N538="RESTRINGIDO"), 0, AA485)</f>
        <v/>
      </c>
      <c r="AB596" s="189">
        <f>IF(OR($N522="RESTRINGIDO", $N539="RESTRINGIDO"), 0, AB485)</f>
        <v/>
      </c>
      <c r="AC596" s="189">
        <f>IF(OR($N522="RESTRINGIDO", $N540="RESTRINGIDO"), 0, AC485)</f>
        <v/>
      </c>
      <c r="AD596" s="189">
        <f>IF(OR($N522="RESTRINGIDO", $N541="RESTRINGIDO"), 0, AD485)</f>
        <v/>
      </c>
      <c r="AE596" s="189">
        <f>IF(OR($N522="RESTRINGIDO", $N542="RESTRINGIDO"), 0, AE485)</f>
        <v/>
      </c>
      <c r="AF596" s="189">
        <f>IF(OR($N522="RESTRINGIDO", $N543="RESTRINGIDO"), 0, AF485)</f>
        <v/>
      </c>
      <c r="AG596" s="189">
        <f>IF(OR($N522="RESTRINGIDO", $N544="RESTRINGIDO"), 0, AG485)</f>
        <v/>
      </c>
      <c r="AH596" s="189">
        <f>IF(OR($N522="RESTRINGIDO", $N545="RESTRINGIDO"), 0, AH485)</f>
        <v/>
      </c>
      <c r="AJ596" s="189">
        <f>IF($N522="LIBRE", IF(ISNUMBER(E522), E522, 0), 0)</f>
        <v/>
      </c>
      <c r="AL596" s="188" t="n">
        <v>0</v>
      </c>
      <c r="AN596" s="188" t="n">
        <v>0</v>
      </c>
    </row>
    <row r="597">
      <c r="B597" s="189">
        <f>IF(OR($N523="RESTRINGIDO", $N513="RESTRINGIDO"), 0, B486)</f>
        <v/>
      </c>
      <c r="C597" s="189">
        <f>IF(OR($N523="RESTRINGIDO", $N514="RESTRINGIDO"), 0, C486)</f>
        <v/>
      </c>
      <c r="D597" s="189">
        <f>IF(OR($N523="RESTRINGIDO", $N515="RESTRINGIDO"), 0, D486)</f>
        <v/>
      </c>
      <c r="E597" s="189">
        <f>IF(OR($N523="RESTRINGIDO", $N516="RESTRINGIDO"), 0, E486)</f>
        <v/>
      </c>
      <c r="F597" s="189">
        <f>IF(OR($N523="RESTRINGIDO", $N517="RESTRINGIDO"), 0, F486)</f>
        <v/>
      </c>
      <c r="G597" s="189">
        <f>IF(OR($N523="RESTRINGIDO", $N518="RESTRINGIDO"), 0, G486)</f>
        <v/>
      </c>
      <c r="H597" s="189">
        <f>IF(OR($N523="RESTRINGIDO", $N519="RESTRINGIDO"), 0, H486)</f>
        <v/>
      </c>
      <c r="I597" s="189">
        <f>IF(OR($N523="RESTRINGIDO", $N520="RESTRINGIDO"), 0, I486)</f>
        <v/>
      </c>
      <c r="J597" s="189">
        <f>IF(OR($N523="RESTRINGIDO", $N521="RESTRINGIDO"), 0, J486)</f>
        <v/>
      </c>
      <c r="K597" s="189">
        <f>IF(OR($N523="RESTRINGIDO", $N522="RESTRINGIDO"), 0, K486)</f>
        <v/>
      </c>
      <c r="L597" s="189">
        <f>IF($N523="RESTRINGIDO", 1, IF(OR($N523="", $C486=""), 1, L486))</f>
        <v/>
      </c>
      <c r="M597" s="189">
        <f>IF(OR($N523="RESTRINGIDO", $N524="RESTRINGIDO"), 0, M486)</f>
        <v/>
      </c>
      <c r="N597" s="189">
        <f>IF(OR($N523="RESTRINGIDO", $N525="RESTRINGIDO"), 0, N486)</f>
        <v/>
      </c>
      <c r="O597" s="189">
        <f>IF(OR($N523="RESTRINGIDO", $N526="RESTRINGIDO"), 0, O486)</f>
        <v/>
      </c>
      <c r="P597" s="189">
        <f>IF(OR($N523="RESTRINGIDO", $N527="RESTRINGIDO"), 0, P486)</f>
        <v/>
      </c>
      <c r="Q597" s="189">
        <f>IF(OR($N523="RESTRINGIDO", $N528="RESTRINGIDO"), 0, Q486)</f>
        <v/>
      </c>
      <c r="R597" s="189">
        <f>IF(OR($N523="RESTRINGIDO", $N529="RESTRINGIDO"), 0, R486)</f>
        <v/>
      </c>
      <c r="S597" s="189">
        <f>IF(OR($N523="RESTRINGIDO", $N530="RESTRINGIDO"), 0, S486)</f>
        <v/>
      </c>
      <c r="T597" s="189">
        <f>IF(OR($N523="RESTRINGIDO", $N531="RESTRINGIDO"), 0, T486)</f>
        <v/>
      </c>
      <c r="U597" s="189">
        <f>IF(OR($N523="RESTRINGIDO", $N532="RESTRINGIDO"), 0, U486)</f>
        <v/>
      </c>
      <c r="V597" s="189">
        <f>IF(OR($N523="RESTRINGIDO", $N533="RESTRINGIDO"), 0, V486)</f>
        <v/>
      </c>
      <c r="W597" s="189">
        <f>IF(OR($N523="RESTRINGIDO", $N534="RESTRINGIDO"), 0, W486)</f>
        <v/>
      </c>
      <c r="X597" s="189">
        <f>IF(OR($N523="RESTRINGIDO", $N535="RESTRINGIDO"), 0, X486)</f>
        <v/>
      </c>
      <c r="Y597" s="189">
        <f>IF(OR($N523="RESTRINGIDO", $N536="RESTRINGIDO"), 0, Y486)</f>
        <v/>
      </c>
      <c r="Z597" s="189">
        <f>IF(OR($N523="RESTRINGIDO", $N537="RESTRINGIDO"), 0, Z486)</f>
        <v/>
      </c>
      <c r="AA597" s="189">
        <f>IF(OR($N523="RESTRINGIDO", $N538="RESTRINGIDO"), 0, AA486)</f>
        <v/>
      </c>
      <c r="AB597" s="189">
        <f>IF(OR($N523="RESTRINGIDO", $N539="RESTRINGIDO"), 0, AB486)</f>
        <v/>
      </c>
      <c r="AC597" s="189">
        <f>IF(OR($N523="RESTRINGIDO", $N540="RESTRINGIDO"), 0, AC486)</f>
        <v/>
      </c>
      <c r="AD597" s="189">
        <f>IF(OR($N523="RESTRINGIDO", $N541="RESTRINGIDO"), 0, AD486)</f>
        <v/>
      </c>
      <c r="AE597" s="189">
        <f>IF(OR($N523="RESTRINGIDO", $N542="RESTRINGIDO"), 0, AE486)</f>
        <v/>
      </c>
      <c r="AF597" s="189">
        <f>IF(OR($N523="RESTRINGIDO", $N543="RESTRINGIDO"), 0, AF486)</f>
        <v/>
      </c>
      <c r="AG597" s="189">
        <f>IF(OR($N523="RESTRINGIDO", $N544="RESTRINGIDO"), 0, AG486)</f>
        <v/>
      </c>
      <c r="AH597" s="189">
        <f>IF(OR($N523="RESTRINGIDO", $N545="RESTRINGIDO"), 0, AH486)</f>
        <v/>
      </c>
      <c r="AJ597" s="189">
        <f>IF($N523="LIBRE", IF(ISNUMBER(E523), E523, 0), 0)</f>
        <v/>
      </c>
      <c r="AL597" s="188" t="n">
        <v>0</v>
      </c>
      <c r="AN597" s="188" t="n">
        <v>0</v>
      </c>
    </row>
    <row r="598">
      <c r="B598" s="189">
        <f>IF(OR($N524="RESTRINGIDO", $N513="RESTRINGIDO"), 0, B487)</f>
        <v/>
      </c>
      <c r="C598" s="189">
        <f>IF(OR($N524="RESTRINGIDO", $N514="RESTRINGIDO"), 0, C487)</f>
        <v/>
      </c>
      <c r="D598" s="189">
        <f>IF(OR($N524="RESTRINGIDO", $N515="RESTRINGIDO"), 0, D487)</f>
        <v/>
      </c>
      <c r="E598" s="189">
        <f>IF(OR($N524="RESTRINGIDO", $N516="RESTRINGIDO"), 0, E487)</f>
        <v/>
      </c>
      <c r="F598" s="189">
        <f>IF(OR($N524="RESTRINGIDO", $N517="RESTRINGIDO"), 0, F487)</f>
        <v/>
      </c>
      <c r="G598" s="189">
        <f>IF(OR($N524="RESTRINGIDO", $N518="RESTRINGIDO"), 0, G487)</f>
        <v/>
      </c>
      <c r="H598" s="189">
        <f>IF(OR($N524="RESTRINGIDO", $N519="RESTRINGIDO"), 0, H487)</f>
        <v/>
      </c>
      <c r="I598" s="189">
        <f>IF(OR($N524="RESTRINGIDO", $N520="RESTRINGIDO"), 0, I487)</f>
        <v/>
      </c>
      <c r="J598" s="189">
        <f>IF(OR($N524="RESTRINGIDO", $N521="RESTRINGIDO"), 0, J487)</f>
        <v/>
      </c>
      <c r="K598" s="189">
        <f>IF(OR($N524="RESTRINGIDO", $N522="RESTRINGIDO"), 0, K487)</f>
        <v/>
      </c>
      <c r="L598" s="189">
        <f>IF(OR($N524="RESTRINGIDO", $N523="RESTRINGIDO"), 0, L487)</f>
        <v/>
      </c>
      <c r="M598" s="189">
        <f>IF($N524="RESTRINGIDO", 1, IF(OR($N524="", $C487=""), 1, M487))</f>
        <v/>
      </c>
      <c r="N598" s="189">
        <f>IF(OR($N524="RESTRINGIDO", $N525="RESTRINGIDO"), 0, N487)</f>
        <v/>
      </c>
      <c r="O598" s="189">
        <f>IF(OR($N524="RESTRINGIDO", $N526="RESTRINGIDO"), 0, O487)</f>
        <v/>
      </c>
      <c r="P598" s="189">
        <f>IF(OR($N524="RESTRINGIDO", $N527="RESTRINGIDO"), 0, P487)</f>
        <v/>
      </c>
      <c r="Q598" s="189">
        <f>IF(OR($N524="RESTRINGIDO", $N528="RESTRINGIDO"), 0, Q487)</f>
        <v/>
      </c>
      <c r="R598" s="189">
        <f>IF(OR($N524="RESTRINGIDO", $N529="RESTRINGIDO"), 0, R487)</f>
        <v/>
      </c>
      <c r="S598" s="189">
        <f>IF(OR($N524="RESTRINGIDO", $N530="RESTRINGIDO"), 0, S487)</f>
        <v/>
      </c>
      <c r="T598" s="189">
        <f>IF(OR($N524="RESTRINGIDO", $N531="RESTRINGIDO"), 0, T487)</f>
        <v/>
      </c>
      <c r="U598" s="189">
        <f>IF(OR($N524="RESTRINGIDO", $N532="RESTRINGIDO"), 0, U487)</f>
        <v/>
      </c>
      <c r="V598" s="189">
        <f>IF(OR($N524="RESTRINGIDO", $N533="RESTRINGIDO"), 0, V487)</f>
        <v/>
      </c>
      <c r="W598" s="189">
        <f>IF(OR($N524="RESTRINGIDO", $N534="RESTRINGIDO"), 0, W487)</f>
        <v/>
      </c>
      <c r="X598" s="189">
        <f>IF(OR($N524="RESTRINGIDO", $N535="RESTRINGIDO"), 0, X487)</f>
        <v/>
      </c>
      <c r="Y598" s="189">
        <f>IF(OR($N524="RESTRINGIDO", $N536="RESTRINGIDO"), 0, Y487)</f>
        <v/>
      </c>
      <c r="Z598" s="189">
        <f>IF(OR($N524="RESTRINGIDO", $N537="RESTRINGIDO"), 0, Z487)</f>
        <v/>
      </c>
      <c r="AA598" s="189">
        <f>IF(OR($N524="RESTRINGIDO", $N538="RESTRINGIDO"), 0, AA487)</f>
        <v/>
      </c>
      <c r="AB598" s="189">
        <f>IF(OR($N524="RESTRINGIDO", $N539="RESTRINGIDO"), 0, AB487)</f>
        <v/>
      </c>
      <c r="AC598" s="189">
        <f>IF(OR($N524="RESTRINGIDO", $N540="RESTRINGIDO"), 0, AC487)</f>
        <v/>
      </c>
      <c r="AD598" s="189">
        <f>IF(OR($N524="RESTRINGIDO", $N541="RESTRINGIDO"), 0, AD487)</f>
        <v/>
      </c>
      <c r="AE598" s="189">
        <f>IF(OR($N524="RESTRINGIDO", $N542="RESTRINGIDO"), 0, AE487)</f>
        <v/>
      </c>
      <c r="AF598" s="189">
        <f>IF(OR($N524="RESTRINGIDO", $N543="RESTRINGIDO"), 0, AF487)</f>
        <v/>
      </c>
      <c r="AG598" s="189">
        <f>IF(OR($N524="RESTRINGIDO", $N544="RESTRINGIDO"), 0, AG487)</f>
        <v/>
      </c>
      <c r="AH598" s="189">
        <f>IF(OR($N524="RESTRINGIDO", $N545="RESTRINGIDO"), 0, AH487)</f>
        <v/>
      </c>
      <c r="AJ598" s="189">
        <f>IF($N524="LIBRE", IF(ISNUMBER(E524), E524, 0), 0)</f>
        <v/>
      </c>
      <c r="AL598" s="188" t="n">
        <v>0</v>
      </c>
      <c r="AN598" s="188" t="n">
        <v>0</v>
      </c>
    </row>
    <row r="599">
      <c r="B599" s="189">
        <f>IF(OR($N525="RESTRINGIDO", $N513="RESTRINGIDO"), 0, B488)</f>
        <v/>
      </c>
      <c r="C599" s="189">
        <f>IF(OR($N525="RESTRINGIDO", $N514="RESTRINGIDO"), 0, C488)</f>
        <v/>
      </c>
      <c r="D599" s="189">
        <f>IF(OR($N525="RESTRINGIDO", $N515="RESTRINGIDO"), 0, D488)</f>
        <v/>
      </c>
      <c r="E599" s="189">
        <f>IF(OR($N525="RESTRINGIDO", $N516="RESTRINGIDO"), 0, E488)</f>
        <v/>
      </c>
      <c r="F599" s="189">
        <f>IF(OR($N525="RESTRINGIDO", $N517="RESTRINGIDO"), 0, F488)</f>
        <v/>
      </c>
      <c r="G599" s="189">
        <f>IF(OR($N525="RESTRINGIDO", $N518="RESTRINGIDO"), 0, G488)</f>
        <v/>
      </c>
      <c r="H599" s="189">
        <f>IF(OR($N525="RESTRINGIDO", $N519="RESTRINGIDO"), 0, H488)</f>
        <v/>
      </c>
      <c r="I599" s="189">
        <f>IF(OR($N525="RESTRINGIDO", $N520="RESTRINGIDO"), 0, I488)</f>
        <v/>
      </c>
      <c r="J599" s="189">
        <f>IF(OR($N525="RESTRINGIDO", $N521="RESTRINGIDO"), 0, J488)</f>
        <v/>
      </c>
      <c r="K599" s="189">
        <f>IF(OR($N525="RESTRINGIDO", $N522="RESTRINGIDO"), 0, K488)</f>
        <v/>
      </c>
      <c r="L599" s="189">
        <f>IF(OR($N525="RESTRINGIDO", $N523="RESTRINGIDO"), 0, L488)</f>
        <v/>
      </c>
      <c r="M599" s="189">
        <f>IF(OR($N525="RESTRINGIDO", $N524="RESTRINGIDO"), 0, M488)</f>
        <v/>
      </c>
      <c r="N599" s="189">
        <f>IF($N525="RESTRINGIDO", 1, IF(OR($N525="", $C488=""), 1, N488))</f>
        <v/>
      </c>
      <c r="O599" s="189">
        <f>IF(OR($N525="RESTRINGIDO", $N526="RESTRINGIDO"), 0, O488)</f>
        <v/>
      </c>
      <c r="P599" s="189">
        <f>IF(OR($N525="RESTRINGIDO", $N527="RESTRINGIDO"), 0, P488)</f>
        <v/>
      </c>
      <c r="Q599" s="189">
        <f>IF(OR($N525="RESTRINGIDO", $N528="RESTRINGIDO"), 0, Q488)</f>
        <v/>
      </c>
      <c r="R599" s="189">
        <f>IF(OR($N525="RESTRINGIDO", $N529="RESTRINGIDO"), 0, R488)</f>
        <v/>
      </c>
      <c r="S599" s="189">
        <f>IF(OR($N525="RESTRINGIDO", $N530="RESTRINGIDO"), 0, S488)</f>
        <v/>
      </c>
      <c r="T599" s="189">
        <f>IF(OR($N525="RESTRINGIDO", $N531="RESTRINGIDO"), 0, T488)</f>
        <v/>
      </c>
      <c r="U599" s="189">
        <f>IF(OR($N525="RESTRINGIDO", $N532="RESTRINGIDO"), 0, U488)</f>
        <v/>
      </c>
      <c r="V599" s="189">
        <f>IF(OR($N525="RESTRINGIDO", $N533="RESTRINGIDO"), 0, V488)</f>
        <v/>
      </c>
      <c r="W599" s="189">
        <f>IF(OR($N525="RESTRINGIDO", $N534="RESTRINGIDO"), 0, W488)</f>
        <v/>
      </c>
      <c r="X599" s="189">
        <f>IF(OR($N525="RESTRINGIDO", $N535="RESTRINGIDO"), 0, X488)</f>
        <v/>
      </c>
      <c r="Y599" s="189">
        <f>IF(OR($N525="RESTRINGIDO", $N536="RESTRINGIDO"), 0, Y488)</f>
        <v/>
      </c>
      <c r="Z599" s="189">
        <f>IF(OR($N525="RESTRINGIDO", $N537="RESTRINGIDO"), 0, Z488)</f>
        <v/>
      </c>
      <c r="AA599" s="189">
        <f>IF(OR($N525="RESTRINGIDO", $N538="RESTRINGIDO"), 0, AA488)</f>
        <v/>
      </c>
      <c r="AB599" s="189">
        <f>IF(OR($N525="RESTRINGIDO", $N539="RESTRINGIDO"), 0, AB488)</f>
        <v/>
      </c>
      <c r="AC599" s="189">
        <f>IF(OR($N525="RESTRINGIDO", $N540="RESTRINGIDO"), 0, AC488)</f>
        <v/>
      </c>
      <c r="AD599" s="189">
        <f>IF(OR($N525="RESTRINGIDO", $N541="RESTRINGIDO"), 0, AD488)</f>
        <v/>
      </c>
      <c r="AE599" s="189">
        <f>IF(OR($N525="RESTRINGIDO", $N542="RESTRINGIDO"), 0, AE488)</f>
        <v/>
      </c>
      <c r="AF599" s="189">
        <f>IF(OR($N525="RESTRINGIDO", $N543="RESTRINGIDO"), 0, AF488)</f>
        <v/>
      </c>
      <c r="AG599" s="189">
        <f>IF(OR($N525="RESTRINGIDO", $N544="RESTRINGIDO"), 0, AG488)</f>
        <v/>
      </c>
      <c r="AH599" s="189">
        <f>IF(OR($N525="RESTRINGIDO", $N545="RESTRINGIDO"), 0, AH488)</f>
        <v/>
      </c>
      <c r="AJ599" s="189">
        <f>IF($N525="LIBRE", IF(ISNUMBER(E525), E525, 0), 0)</f>
        <v/>
      </c>
      <c r="AL599" s="188" t="n">
        <v>0</v>
      </c>
      <c r="AN599" s="188" t="n">
        <v>0</v>
      </c>
    </row>
    <row r="600">
      <c r="B600" s="189">
        <f>IF(OR($N526="RESTRINGIDO", $N513="RESTRINGIDO"), 0, B489)</f>
        <v/>
      </c>
      <c r="C600" s="189">
        <f>IF(OR($N526="RESTRINGIDO", $N514="RESTRINGIDO"), 0, C489)</f>
        <v/>
      </c>
      <c r="D600" s="189">
        <f>IF(OR($N526="RESTRINGIDO", $N515="RESTRINGIDO"), 0, D489)</f>
        <v/>
      </c>
      <c r="E600" s="189">
        <f>IF(OR($N526="RESTRINGIDO", $N516="RESTRINGIDO"), 0, E489)</f>
        <v/>
      </c>
      <c r="F600" s="189">
        <f>IF(OR($N526="RESTRINGIDO", $N517="RESTRINGIDO"), 0, F489)</f>
        <v/>
      </c>
      <c r="G600" s="189">
        <f>IF(OR($N526="RESTRINGIDO", $N518="RESTRINGIDO"), 0, G489)</f>
        <v/>
      </c>
      <c r="H600" s="189">
        <f>IF(OR($N526="RESTRINGIDO", $N519="RESTRINGIDO"), 0, H489)</f>
        <v/>
      </c>
      <c r="I600" s="189">
        <f>IF(OR($N526="RESTRINGIDO", $N520="RESTRINGIDO"), 0, I489)</f>
        <v/>
      </c>
      <c r="J600" s="189">
        <f>IF(OR($N526="RESTRINGIDO", $N521="RESTRINGIDO"), 0, J489)</f>
        <v/>
      </c>
      <c r="K600" s="189">
        <f>IF(OR($N526="RESTRINGIDO", $N522="RESTRINGIDO"), 0, K489)</f>
        <v/>
      </c>
      <c r="L600" s="189">
        <f>IF(OR($N526="RESTRINGIDO", $N523="RESTRINGIDO"), 0, L489)</f>
        <v/>
      </c>
      <c r="M600" s="189">
        <f>IF(OR($N526="RESTRINGIDO", $N524="RESTRINGIDO"), 0, M489)</f>
        <v/>
      </c>
      <c r="N600" s="189">
        <f>IF(OR($N526="RESTRINGIDO", $N525="RESTRINGIDO"), 0, N489)</f>
        <v/>
      </c>
      <c r="O600" s="189">
        <f>IF($N526="RESTRINGIDO", 1, IF(OR($N526="", $C489=""), 1, O489))</f>
        <v/>
      </c>
      <c r="P600" s="189">
        <f>IF(OR($N526="RESTRINGIDO", $N527="RESTRINGIDO"), 0, P489)</f>
        <v/>
      </c>
      <c r="Q600" s="189">
        <f>IF(OR($N526="RESTRINGIDO", $N528="RESTRINGIDO"), 0, Q489)</f>
        <v/>
      </c>
      <c r="R600" s="189">
        <f>IF(OR($N526="RESTRINGIDO", $N529="RESTRINGIDO"), 0, R489)</f>
        <v/>
      </c>
      <c r="S600" s="189">
        <f>IF(OR($N526="RESTRINGIDO", $N530="RESTRINGIDO"), 0, S489)</f>
        <v/>
      </c>
      <c r="T600" s="189">
        <f>IF(OR($N526="RESTRINGIDO", $N531="RESTRINGIDO"), 0, T489)</f>
        <v/>
      </c>
      <c r="U600" s="189">
        <f>IF(OR($N526="RESTRINGIDO", $N532="RESTRINGIDO"), 0, U489)</f>
        <v/>
      </c>
      <c r="V600" s="189">
        <f>IF(OR($N526="RESTRINGIDO", $N533="RESTRINGIDO"), 0, V489)</f>
        <v/>
      </c>
      <c r="W600" s="189">
        <f>IF(OR($N526="RESTRINGIDO", $N534="RESTRINGIDO"), 0, W489)</f>
        <v/>
      </c>
      <c r="X600" s="189">
        <f>IF(OR($N526="RESTRINGIDO", $N535="RESTRINGIDO"), 0, X489)</f>
        <v/>
      </c>
      <c r="Y600" s="189">
        <f>IF(OR($N526="RESTRINGIDO", $N536="RESTRINGIDO"), 0, Y489)</f>
        <v/>
      </c>
      <c r="Z600" s="189">
        <f>IF(OR($N526="RESTRINGIDO", $N537="RESTRINGIDO"), 0, Z489)</f>
        <v/>
      </c>
      <c r="AA600" s="189">
        <f>IF(OR($N526="RESTRINGIDO", $N538="RESTRINGIDO"), 0, AA489)</f>
        <v/>
      </c>
      <c r="AB600" s="189">
        <f>IF(OR($N526="RESTRINGIDO", $N539="RESTRINGIDO"), 0, AB489)</f>
        <v/>
      </c>
      <c r="AC600" s="189">
        <f>IF(OR($N526="RESTRINGIDO", $N540="RESTRINGIDO"), 0, AC489)</f>
        <v/>
      </c>
      <c r="AD600" s="189">
        <f>IF(OR($N526="RESTRINGIDO", $N541="RESTRINGIDO"), 0, AD489)</f>
        <v/>
      </c>
      <c r="AE600" s="189">
        <f>IF(OR($N526="RESTRINGIDO", $N542="RESTRINGIDO"), 0, AE489)</f>
        <v/>
      </c>
      <c r="AF600" s="189">
        <f>IF(OR($N526="RESTRINGIDO", $N543="RESTRINGIDO"), 0, AF489)</f>
        <v/>
      </c>
      <c r="AG600" s="189">
        <f>IF(OR($N526="RESTRINGIDO", $N544="RESTRINGIDO"), 0, AG489)</f>
        <v/>
      </c>
      <c r="AH600" s="189">
        <f>IF(OR($N526="RESTRINGIDO", $N545="RESTRINGIDO"), 0, AH489)</f>
        <v/>
      </c>
      <c r="AJ600" s="189">
        <f>IF($N526="LIBRE", IF(ISNUMBER(E526), E526, 0), 0)</f>
        <v/>
      </c>
      <c r="AL600" s="188" t="n">
        <v>0</v>
      </c>
      <c r="AN600" s="188" t="n">
        <v>0</v>
      </c>
    </row>
    <row r="601">
      <c r="B601" s="189">
        <f>IF(OR($N527="RESTRINGIDO", $N513="RESTRINGIDO"), 0, B490)</f>
        <v/>
      </c>
      <c r="C601" s="189">
        <f>IF(OR($N527="RESTRINGIDO", $N514="RESTRINGIDO"), 0, C490)</f>
        <v/>
      </c>
      <c r="D601" s="189">
        <f>IF(OR($N527="RESTRINGIDO", $N515="RESTRINGIDO"), 0, D490)</f>
        <v/>
      </c>
      <c r="E601" s="189">
        <f>IF(OR($N527="RESTRINGIDO", $N516="RESTRINGIDO"), 0, E490)</f>
        <v/>
      </c>
      <c r="F601" s="189">
        <f>IF(OR($N527="RESTRINGIDO", $N517="RESTRINGIDO"), 0, F490)</f>
        <v/>
      </c>
      <c r="G601" s="189">
        <f>IF(OR($N527="RESTRINGIDO", $N518="RESTRINGIDO"), 0, G490)</f>
        <v/>
      </c>
      <c r="H601" s="189">
        <f>IF(OR($N527="RESTRINGIDO", $N519="RESTRINGIDO"), 0, H490)</f>
        <v/>
      </c>
      <c r="I601" s="189">
        <f>IF(OR($N527="RESTRINGIDO", $N520="RESTRINGIDO"), 0, I490)</f>
        <v/>
      </c>
      <c r="J601" s="189">
        <f>IF(OR($N527="RESTRINGIDO", $N521="RESTRINGIDO"), 0, J490)</f>
        <v/>
      </c>
      <c r="K601" s="189">
        <f>IF(OR($N527="RESTRINGIDO", $N522="RESTRINGIDO"), 0, K490)</f>
        <v/>
      </c>
      <c r="L601" s="189">
        <f>IF(OR($N527="RESTRINGIDO", $N523="RESTRINGIDO"), 0, L490)</f>
        <v/>
      </c>
      <c r="M601" s="189">
        <f>IF(OR($N527="RESTRINGIDO", $N524="RESTRINGIDO"), 0, M490)</f>
        <v/>
      </c>
      <c r="N601" s="189">
        <f>IF(OR($N527="RESTRINGIDO", $N525="RESTRINGIDO"), 0, N490)</f>
        <v/>
      </c>
      <c r="O601" s="189">
        <f>IF(OR($N527="RESTRINGIDO", $N526="RESTRINGIDO"), 0, O490)</f>
        <v/>
      </c>
      <c r="P601" s="189">
        <f>IF($N527="RESTRINGIDO", 1, IF(OR($N527="", $C490=""), 1, P490))</f>
        <v/>
      </c>
      <c r="Q601" s="189">
        <f>IF(OR($N527="RESTRINGIDO", $N528="RESTRINGIDO"), 0, Q490)</f>
        <v/>
      </c>
      <c r="R601" s="189">
        <f>IF(OR($N527="RESTRINGIDO", $N529="RESTRINGIDO"), 0, R490)</f>
        <v/>
      </c>
      <c r="S601" s="189">
        <f>IF(OR($N527="RESTRINGIDO", $N530="RESTRINGIDO"), 0, S490)</f>
        <v/>
      </c>
      <c r="T601" s="189">
        <f>IF(OR($N527="RESTRINGIDO", $N531="RESTRINGIDO"), 0, T490)</f>
        <v/>
      </c>
      <c r="U601" s="189">
        <f>IF(OR($N527="RESTRINGIDO", $N532="RESTRINGIDO"), 0, U490)</f>
        <v/>
      </c>
      <c r="V601" s="189">
        <f>IF(OR($N527="RESTRINGIDO", $N533="RESTRINGIDO"), 0, V490)</f>
        <v/>
      </c>
      <c r="W601" s="189">
        <f>IF(OR($N527="RESTRINGIDO", $N534="RESTRINGIDO"), 0, W490)</f>
        <v/>
      </c>
      <c r="X601" s="189">
        <f>IF(OR($N527="RESTRINGIDO", $N535="RESTRINGIDO"), 0, X490)</f>
        <v/>
      </c>
      <c r="Y601" s="189">
        <f>IF(OR($N527="RESTRINGIDO", $N536="RESTRINGIDO"), 0, Y490)</f>
        <v/>
      </c>
      <c r="Z601" s="189">
        <f>IF(OR($N527="RESTRINGIDO", $N537="RESTRINGIDO"), 0, Z490)</f>
        <v/>
      </c>
      <c r="AA601" s="189">
        <f>IF(OR($N527="RESTRINGIDO", $N538="RESTRINGIDO"), 0, AA490)</f>
        <v/>
      </c>
      <c r="AB601" s="189">
        <f>IF(OR($N527="RESTRINGIDO", $N539="RESTRINGIDO"), 0, AB490)</f>
        <v/>
      </c>
      <c r="AC601" s="189">
        <f>IF(OR($N527="RESTRINGIDO", $N540="RESTRINGIDO"), 0, AC490)</f>
        <v/>
      </c>
      <c r="AD601" s="189">
        <f>IF(OR($N527="RESTRINGIDO", $N541="RESTRINGIDO"), 0, AD490)</f>
        <v/>
      </c>
      <c r="AE601" s="189">
        <f>IF(OR($N527="RESTRINGIDO", $N542="RESTRINGIDO"), 0, AE490)</f>
        <v/>
      </c>
      <c r="AF601" s="189">
        <f>IF(OR($N527="RESTRINGIDO", $N543="RESTRINGIDO"), 0, AF490)</f>
        <v/>
      </c>
      <c r="AG601" s="189">
        <f>IF(OR($N527="RESTRINGIDO", $N544="RESTRINGIDO"), 0, AG490)</f>
        <v/>
      </c>
      <c r="AH601" s="189">
        <f>IF(OR($N527="RESTRINGIDO", $N545="RESTRINGIDO"), 0, AH490)</f>
        <v/>
      </c>
      <c r="AJ601" s="189">
        <f>IF($N527="LIBRE", IF(ISNUMBER(E527), E527, 0), 0)</f>
        <v/>
      </c>
      <c r="AL601" s="188" t="n">
        <v>0</v>
      </c>
      <c r="AN601" s="188" t="n">
        <v>0</v>
      </c>
    </row>
    <row r="602">
      <c r="B602" s="189">
        <f>IF(OR($N528="RESTRINGIDO", $N513="RESTRINGIDO"), 0, B491)</f>
        <v/>
      </c>
      <c r="C602" s="189">
        <f>IF(OR($N528="RESTRINGIDO", $N514="RESTRINGIDO"), 0, C491)</f>
        <v/>
      </c>
      <c r="D602" s="189">
        <f>IF(OR($N528="RESTRINGIDO", $N515="RESTRINGIDO"), 0, D491)</f>
        <v/>
      </c>
      <c r="E602" s="189">
        <f>IF(OR($N528="RESTRINGIDO", $N516="RESTRINGIDO"), 0, E491)</f>
        <v/>
      </c>
      <c r="F602" s="189">
        <f>IF(OR($N528="RESTRINGIDO", $N517="RESTRINGIDO"), 0, F491)</f>
        <v/>
      </c>
      <c r="G602" s="189">
        <f>IF(OR($N528="RESTRINGIDO", $N518="RESTRINGIDO"), 0, G491)</f>
        <v/>
      </c>
      <c r="H602" s="189">
        <f>IF(OR($N528="RESTRINGIDO", $N519="RESTRINGIDO"), 0, H491)</f>
        <v/>
      </c>
      <c r="I602" s="189">
        <f>IF(OR($N528="RESTRINGIDO", $N520="RESTRINGIDO"), 0, I491)</f>
        <v/>
      </c>
      <c r="J602" s="189">
        <f>IF(OR($N528="RESTRINGIDO", $N521="RESTRINGIDO"), 0, J491)</f>
        <v/>
      </c>
      <c r="K602" s="189">
        <f>IF(OR($N528="RESTRINGIDO", $N522="RESTRINGIDO"), 0, K491)</f>
        <v/>
      </c>
      <c r="L602" s="189">
        <f>IF(OR($N528="RESTRINGIDO", $N523="RESTRINGIDO"), 0, L491)</f>
        <v/>
      </c>
      <c r="M602" s="189">
        <f>IF(OR($N528="RESTRINGIDO", $N524="RESTRINGIDO"), 0, M491)</f>
        <v/>
      </c>
      <c r="N602" s="189">
        <f>IF(OR($N528="RESTRINGIDO", $N525="RESTRINGIDO"), 0, N491)</f>
        <v/>
      </c>
      <c r="O602" s="189">
        <f>IF(OR($N528="RESTRINGIDO", $N526="RESTRINGIDO"), 0, O491)</f>
        <v/>
      </c>
      <c r="P602" s="189">
        <f>IF(OR($N528="RESTRINGIDO", $N527="RESTRINGIDO"), 0, P491)</f>
        <v/>
      </c>
      <c r="Q602" s="189">
        <f>IF($N528="RESTRINGIDO", 1, IF(OR($N528="", $C491=""), 1, Q491))</f>
        <v/>
      </c>
      <c r="R602" s="189">
        <f>IF(OR($N528="RESTRINGIDO", $N529="RESTRINGIDO"), 0, R491)</f>
        <v/>
      </c>
      <c r="S602" s="189">
        <f>IF(OR($N528="RESTRINGIDO", $N530="RESTRINGIDO"), 0, S491)</f>
        <v/>
      </c>
      <c r="T602" s="189">
        <f>IF(OR($N528="RESTRINGIDO", $N531="RESTRINGIDO"), 0, T491)</f>
        <v/>
      </c>
      <c r="U602" s="189">
        <f>IF(OR($N528="RESTRINGIDO", $N532="RESTRINGIDO"), 0, U491)</f>
        <v/>
      </c>
      <c r="V602" s="189">
        <f>IF(OR($N528="RESTRINGIDO", $N533="RESTRINGIDO"), 0, V491)</f>
        <v/>
      </c>
      <c r="W602" s="189">
        <f>IF(OR($N528="RESTRINGIDO", $N534="RESTRINGIDO"), 0, W491)</f>
        <v/>
      </c>
      <c r="X602" s="189">
        <f>IF(OR($N528="RESTRINGIDO", $N535="RESTRINGIDO"), 0, X491)</f>
        <v/>
      </c>
      <c r="Y602" s="189">
        <f>IF(OR($N528="RESTRINGIDO", $N536="RESTRINGIDO"), 0, Y491)</f>
        <v/>
      </c>
      <c r="Z602" s="189">
        <f>IF(OR($N528="RESTRINGIDO", $N537="RESTRINGIDO"), 0, Z491)</f>
        <v/>
      </c>
      <c r="AA602" s="189">
        <f>IF(OR($N528="RESTRINGIDO", $N538="RESTRINGIDO"), 0, AA491)</f>
        <v/>
      </c>
      <c r="AB602" s="189">
        <f>IF(OR($N528="RESTRINGIDO", $N539="RESTRINGIDO"), 0, AB491)</f>
        <v/>
      </c>
      <c r="AC602" s="189">
        <f>IF(OR($N528="RESTRINGIDO", $N540="RESTRINGIDO"), 0, AC491)</f>
        <v/>
      </c>
      <c r="AD602" s="189">
        <f>IF(OR($N528="RESTRINGIDO", $N541="RESTRINGIDO"), 0, AD491)</f>
        <v/>
      </c>
      <c r="AE602" s="189">
        <f>IF(OR($N528="RESTRINGIDO", $N542="RESTRINGIDO"), 0, AE491)</f>
        <v/>
      </c>
      <c r="AF602" s="189">
        <f>IF(OR($N528="RESTRINGIDO", $N543="RESTRINGIDO"), 0, AF491)</f>
        <v/>
      </c>
      <c r="AG602" s="189">
        <f>IF(OR($N528="RESTRINGIDO", $N544="RESTRINGIDO"), 0, AG491)</f>
        <v/>
      </c>
      <c r="AH602" s="189">
        <f>IF(OR($N528="RESTRINGIDO", $N545="RESTRINGIDO"), 0, AH491)</f>
        <v/>
      </c>
      <c r="AJ602" s="189">
        <f>IF($N528="LIBRE", IF(ISNUMBER(E528), E528, 0), 0)</f>
        <v/>
      </c>
      <c r="AL602" s="188" t="n">
        <v>0</v>
      </c>
      <c r="AN602" s="188" t="n">
        <v>0</v>
      </c>
    </row>
    <row r="603">
      <c r="B603" s="189">
        <f>IF(OR($N529="RESTRINGIDO", $N513="RESTRINGIDO"), 0, B492)</f>
        <v/>
      </c>
      <c r="C603" s="189">
        <f>IF(OR($N529="RESTRINGIDO", $N514="RESTRINGIDO"), 0, C492)</f>
        <v/>
      </c>
      <c r="D603" s="189">
        <f>IF(OR($N529="RESTRINGIDO", $N515="RESTRINGIDO"), 0, D492)</f>
        <v/>
      </c>
      <c r="E603" s="189">
        <f>IF(OR($N529="RESTRINGIDO", $N516="RESTRINGIDO"), 0, E492)</f>
        <v/>
      </c>
      <c r="F603" s="189">
        <f>IF(OR($N529="RESTRINGIDO", $N517="RESTRINGIDO"), 0, F492)</f>
        <v/>
      </c>
      <c r="G603" s="189">
        <f>IF(OR($N529="RESTRINGIDO", $N518="RESTRINGIDO"), 0, G492)</f>
        <v/>
      </c>
      <c r="H603" s="189">
        <f>IF(OR($N529="RESTRINGIDO", $N519="RESTRINGIDO"), 0, H492)</f>
        <v/>
      </c>
      <c r="I603" s="189">
        <f>IF(OR($N529="RESTRINGIDO", $N520="RESTRINGIDO"), 0, I492)</f>
        <v/>
      </c>
      <c r="J603" s="189">
        <f>IF(OR($N529="RESTRINGIDO", $N521="RESTRINGIDO"), 0, J492)</f>
        <v/>
      </c>
      <c r="K603" s="189">
        <f>IF(OR($N529="RESTRINGIDO", $N522="RESTRINGIDO"), 0, K492)</f>
        <v/>
      </c>
      <c r="L603" s="189">
        <f>IF(OR($N529="RESTRINGIDO", $N523="RESTRINGIDO"), 0, L492)</f>
        <v/>
      </c>
      <c r="M603" s="189">
        <f>IF(OR($N529="RESTRINGIDO", $N524="RESTRINGIDO"), 0, M492)</f>
        <v/>
      </c>
      <c r="N603" s="189">
        <f>IF(OR($N529="RESTRINGIDO", $N525="RESTRINGIDO"), 0, N492)</f>
        <v/>
      </c>
      <c r="O603" s="189">
        <f>IF(OR($N529="RESTRINGIDO", $N526="RESTRINGIDO"), 0, O492)</f>
        <v/>
      </c>
      <c r="P603" s="189">
        <f>IF(OR($N529="RESTRINGIDO", $N527="RESTRINGIDO"), 0, P492)</f>
        <v/>
      </c>
      <c r="Q603" s="189">
        <f>IF(OR($N529="RESTRINGIDO", $N528="RESTRINGIDO"), 0, Q492)</f>
        <v/>
      </c>
      <c r="R603" s="189">
        <f>IF($N529="RESTRINGIDO", 1, IF(OR($N529="", $C492=""), 1, R492))</f>
        <v/>
      </c>
      <c r="S603" s="189">
        <f>IF(OR($N529="RESTRINGIDO", $N530="RESTRINGIDO"), 0, S492)</f>
        <v/>
      </c>
      <c r="T603" s="189">
        <f>IF(OR($N529="RESTRINGIDO", $N531="RESTRINGIDO"), 0, T492)</f>
        <v/>
      </c>
      <c r="U603" s="189">
        <f>IF(OR($N529="RESTRINGIDO", $N532="RESTRINGIDO"), 0, U492)</f>
        <v/>
      </c>
      <c r="V603" s="189">
        <f>IF(OR($N529="RESTRINGIDO", $N533="RESTRINGIDO"), 0, V492)</f>
        <v/>
      </c>
      <c r="W603" s="189">
        <f>IF(OR($N529="RESTRINGIDO", $N534="RESTRINGIDO"), 0, W492)</f>
        <v/>
      </c>
      <c r="X603" s="189">
        <f>IF(OR($N529="RESTRINGIDO", $N535="RESTRINGIDO"), 0, X492)</f>
        <v/>
      </c>
      <c r="Y603" s="189">
        <f>IF(OR($N529="RESTRINGIDO", $N536="RESTRINGIDO"), 0, Y492)</f>
        <v/>
      </c>
      <c r="Z603" s="189">
        <f>IF(OR($N529="RESTRINGIDO", $N537="RESTRINGIDO"), 0, Z492)</f>
        <v/>
      </c>
      <c r="AA603" s="189">
        <f>IF(OR($N529="RESTRINGIDO", $N538="RESTRINGIDO"), 0, AA492)</f>
        <v/>
      </c>
      <c r="AB603" s="189">
        <f>IF(OR($N529="RESTRINGIDO", $N539="RESTRINGIDO"), 0, AB492)</f>
        <v/>
      </c>
      <c r="AC603" s="189">
        <f>IF(OR($N529="RESTRINGIDO", $N540="RESTRINGIDO"), 0, AC492)</f>
        <v/>
      </c>
      <c r="AD603" s="189">
        <f>IF(OR($N529="RESTRINGIDO", $N541="RESTRINGIDO"), 0, AD492)</f>
        <v/>
      </c>
      <c r="AE603" s="189">
        <f>IF(OR($N529="RESTRINGIDO", $N542="RESTRINGIDO"), 0, AE492)</f>
        <v/>
      </c>
      <c r="AF603" s="189">
        <f>IF(OR($N529="RESTRINGIDO", $N543="RESTRINGIDO"), 0, AF492)</f>
        <v/>
      </c>
      <c r="AG603" s="189">
        <f>IF(OR($N529="RESTRINGIDO", $N544="RESTRINGIDO"), 0, AG492)</f>
        <v/>
      </c>
      <c r="AH603" s="189">
        <f>IF(OR($N529="RESTRINGIDO", $N545="RESTRINGIDO"), 0, AH492)</f>
        <v/>
      </c>
      <c r="AJ603" s="189">
        <f>IF($N529="LIBRE", IF(ISNUMBER(E529), E529, 0), 0)</f>
        <v/>
      </c>
      <c r="AL603" s="188" t="n">
        <v>0</v>
      </c>
      <c r="AN603" s="188" t="n">
        <v>0</v>
      </c>
    </row>
    <row r="604">
      <c r="B604" s="189">
        <f>IF(OR($N530="RESTRINGIDO", $N513="RESTRINGIDO"), 0, B493)</f>
        <v/>
      </c>
      <c r="C604" s="189">
        <f>IF(OR($N530="RESTRINGIDO", $N514="RESTRINGIDO"), 0, C493)</f>
        <v/>
      </c>
      <c r="D604" s="189">
        <f>IF(OR($N530="RESTRINGIDO", $N515="RESTRINGIDO"), 0, D493)</f>
        <v/>
      </c>
      <c r="E604" s="189">
        <f>IF(OR($N530="RESTRINGIDO", $N516="RESTRINGIDO"), 0, E493)</f>
        <v/>
      </c>
      <c r="F604" s="189">
        <f>IF(OR($N530="RESTRINGIDO", $N517="RESTRINGIDO"), 0, F493)</f>
        <v/>
      </c>
      <c r="G604" s="189">
        <f>IF(OR($N530="RESTRINGIDO", $N518="RESTRINGIDO"), 0, G493)</f>
        <v/>
      </c>
      <c r="H604" s="189">
        <f>IF(OR($N530="RESTRINGIDO", $N519="RESTRINGIDO"), 0, H493)</f>
        <v/>
      </c>
      <c r="I604" s="189">
        <f>IF(OR($N530="RESTRINGIDO", $N520="RESTRINGIDO"), 0, I493)</f>
        <v/>
      </c>
      <c r="J604" s="189">
        <f>IF(OR($N530="RESTRINGIDO", $N521="RESTRINGIDO"), 0, J493)</f>
        <v/>
      </c>
      <c r="K604" s="189">
        <f>IF(OR($N530="RESTRINGIDO", $N522="RESTRINGIDO"), 0, K493)</f>
        <v/>
      </c>
      <c r="L604" s="189">
        <f>IF(OR($N530="RESTRINGIDO", $N523="RESTRINGIDO"), 0, L493)</f>
        <v/>
      </c>
      <c r="M604" s="189">
        <f>IF(OR($N530="RESTRINGIDO", $N524="RESTRINGIDO"), 0, M493)</f>
        <v/>
      </c>
      <c r="N604" s="189">
        <f>IF(OR($N530="RESTRINGIDO", $N525="RESTRINGIDO"), 0, N493)</f>
        <v/>
      </c>
      <c r="O604" s="189">
        <f>IF(OR($N530="RESTRINGIDO", $N526="RESTRINGIDO"), 0, O493)</f>
        <v/>
      </c>
      <c r="P604" s="189">
        <f>IF(OR($N530="RESTRINGIDO", $N527="RESTRINGIDO"), 0, P493)</f>
        <v/>
      </c>
      <c r="Q604" s="189">
        <f>IF(OR($N530="RESTRINGIDO", $N528="RESTRINGIDO"), 0, Q493)</f>
        <v/>
      </c>
      <c r="R604" s="189">
        <f>IF(OR($N530="RESTRINGIDO", $N529="RESTRINGIDO"), 0, R493)</f>
        <v/>
      </c>
      <c r="S604" s="189">
        <f>IF($N530="RESTRINGIDO", 1, IF(OR($N530="", $C493=""), 1, S493))</f>
        <v/>
      </c>
      <c r="T604" s="189">
        <f>IF(OR($N530="RESTRINGIDO", $N531="RESTRINGIDO"), 0, T493)</f>
        <v/>
      </c>
      <c r="U604" s="189">
        <f>IF(OR($N530="RESTRINGIDO", $N532="RESTRINGIDO"), 0, U493)</f>
        <v/>
      </c>
      <c r="V604" s="189">
        <f>IF(OR($N530="RESTRINGIDO", $N533="RESTRINGIDO"), 0, V493)</f>
        <v/>
      </c>
      <c r="W604" s="189">
        <f>IF(OR($N530="RESTRINGIDO", $N534="RESTRINGIDO"), 0, W493)</f>
        <v/>
      </c>
      <c r="X604" s="189">
        <f>IF(OR($N530="RESTRINGIDO", $N535="RESTRINGIDO"), 0, X493)</f>
        <v/>
      </c>
      <c r="Y604" s="189">
        <f>IF(OR($N530="RESTRINGIDO", $N536="RESTRINGIDO"), 0, Y493)</f>
        <v/>
      </c>
      <c r="Z604" s="189">
        <f>IF(OR($N530="RESTRINGIDO", $N537="RESTRINGIDO"), 0, Z493)</f>
        <v/>
      </c>
      <c r="AA604" s="189">
        <f>IF(OR($N530="RESTRINGIDO", $N538="RESTRINGIDO"), 0, AA493)</f>
        <v/>
      </c>
      <c r="AB604" s="189">
        <f>IF(OR($N530="RESTRINGIDO", $N539="RESTRINGIDO"), 0, AB493)</f>
        <v/>
      </c>
      <c r="AC604" s="189">
        <f>IF(OR($N530="RESTRINGIDO", $N540="RESTRINGIDO"), 0, AC493)</f>
        <v/>
      </c>
      <c r="AD604" s="189">
        <f>IF(OR($N530="RESTRINGIDO", $N541="RESTRINGIDO"), 0, AD493)</f>
        <v/>
      </c>
      <c r="AE604" s="189">
        <f>IF(OR($N530="RESTRINGIDO", $N542="RESTRINGIDO"), 0, AE493)</f>
        <v/>
      </c>
      <c r="AF604" s="189">
        <f>IF(OR($N530="RESTRINGIDO", $N543="RESTRINGIDO"), 0, AF493)</f>
        <v/>
      </c>
      <c r="AG604" s="189">
        <f>IF(OR($N530="RESTRINGIDO", $N544="RESTRINGIDO"), 0, AG493)</f>
        <v/>
      </c>
      <c r="AH604" s="189">
        <f>IF(OR($N530="RESTRINGIDO", $N545="RESTRINGIDO"), 0, AH493)</f>
        <v/>
      </c>
      <c r="AJ604" s="189">
        <f>IF($N530="LIBRE", IF(ISNUMBER(E530), E530, 0), 0)</f>
        <v/>
      </c>
      <c r="AL604" s="188" t="n">
        <v>0</v>
      </c>
      <c r="AN604" s="188" t="n">
        <v>0</v>
      </c>
    </row>
    <row r="605">
      <c r="B605" s="189">
        <f>IF(OR($N531="RESTRINGIDO", $N513="RESTRINGIDO"), 0, B494)</f>
        <v/>
      </c>
      <c r="C605" s="189">
        <f>IF(OR($N531="RESTRINGIDO", $N514="RESTRINGIDO"), 0, C494)</f>
        <v/>
      </c>
      <c r="D605" s="189">
        <f>IF(OR($N531="RESTRINGIDO", $N515="RESTRINGIDO"), 0, D494)</f>
        <v/>
      </c>
      <c r="E605" s="189">
        <f>IF(OR($N531="RESTRINGIDO", $N516="RESTRINGIDO"), 0, E494)</f>
        <v/>
      </c>
      <c r="F605" s="189">
        <f>IF(OR($N531="RESTRINGIDO", $N517="RESTRINGIDO"), 0, F494)</f>
        <v/>
      </c>
      <c r="G605" s="189">
        <f>IF(OR($N531="RESTRINGIDO", $N518="RESTRINGIDO"), 0, G494)</f>
        <v/>
      </c>
      <c r="H605" s="189">
        <f>IF(OR($N531="RESTRINGIDO", $N519="RESTRINGIDO"), 0, H494)</f>
        <v/>
      </c>
      <c r="I605" s="189">
        <f>IF(OR($N531="RESTRINGIDO", $N520="RESTRINGIDO"), 0, I494)</f>
        <v/>
      </c>
      <c r="J605" s="189">
        <f>IF(OR($N531="RESTRINGIDO", $N521="RESTRINGIDO"), 0, J494)</f>
        <v/>
      </c>
      <c r="K605" s="189">
        <f>IF(OR($N531="RESTRINGIDO", $N522="RESTRINGIDO"), 0, K494)</f>
        <v/>
      </c>
      <c r="L605" s="189">
        <f>IF(OR($N531="RESTRINGIDO", $N523="RESTRINGIDO"), 0, L494)</f>
        <v/>
      </c>
      <c r="M605" s="189">
        <f>IF(OR($N531="RESTRINGIDO", $N524="RESTRINGIDO"), 0, M494)</f>
        <v/>
      </c>
      <c r="N605" s="189">
        <f>IF(OR($N531="RESTRINGIDO", $N525="RESTRINGIDO"), 0, N494)</f>
        <v/>
      </c>
      <c r="O605" s="189">
        <f>IF(OR($N531="RESTRINGIDO", $N526="RESTRINGIDO"), 0, O494)</f>
        <v/>
      </c>
      <c r="P605" s="189">
        <f>IF(OR($N531="RESTRINGIDO", $N527="RESTRINGIDO"), 0, P494)</f>
        <v/>
      </c>
      <c r="Q605" s="189">
        <f>IF(OR($N531="RESTRINGIDO", $N528="RESTRINGIDO"), 0, Q494)</f>
        <v/>
      </c>
      <c r="R605" s="189">
        <f>IF(OR($N531="RESTRINGIDO", $N529="RESTRINGIDO"), 0, R494)</f>
        <v/>
      </c>
      <c r="S605" s="189">
        <f>IF(OR($N531="RESTRINGIDO", $N530="RESTRINGIDO"), 0, S494)</f>
        <v/>
      </c>
      <c r="T605" s="189">
        <f>IF($N531="RESTRINGIDO", 1, IF(OR($N531="", $C494=""), 1, T494))</f>
        <v/>
      </c>
      <c r="U605" s="189">
        <f>IF(OR($N531="RESTRINGIDO", $N532="RESTRINGIDO"), 0, U494)</f>
        <v/>
      </c>
      <c r="V605" s="189">
        <f>IF(OR($N531="RESTRINGIDO", $N533="RESTRINGIDO"), 0, V494)</f>
        <v/>
      </c>
      <c r="W605" s="189">
        <f>IF(OR($N531="RESTRINGIDO", $N534="RESTRINGIDO"), 0, W494)</f>
        <v/>
      </c>
      <c r="X605" s="189">
        <f>IF(OR($N531="RESTRINGIDO", $N535="RESTRINGIDO"), 0, X494)</f>
        <v/>
      </c>
      <c r="Y605" s="189">
        <f>IF(OR($N531="RESTRINGIDO", $N536="RESTRINGIDO"), 0, Y494)</f>
        <v/>
      </c>
      <c r="Z605" s="189">
        <f>IF(OR($N531="RESTRINGIDO", $N537="RESTRINGIDO"), 0, Z494)</f>
        <v/>
      </c>
      <c r="AA605" s="189">
        <f>IF(OR($N531="RESTRINGIDO", $N538="RESTRINGIDO"), 0, AA494)</f>
        <v/>
      </c>
      <c r="AB605" s="189">
        <f>IF(OR($N531="RESTRINGIDO", $N539="RESTRINGIDO"), 0, AB494)</f>
        <v/>
      </c>
      <c r="AC605" s="189">
        <f>IF(OR($N531="RESTRINGIDO", $N540="RESTRINGIDO"), 0, AC494)</f>
        <v/>
      </c>
      <c r="AD605" s="189">
        <f>IF(OR($N531="RESTRINGIDO", $N541="RESTRINGIDO"), 0, AD494)</f>
        <v/>
      </c>
      <c r="AE605" s="189">
        <f>IF(OR($N531="RESTRINGIDO", $N542="RESTRINGIDO"), 0, AE494)</f>
        <v/>
      </c>
      <c r="AF605" s="189">
        <f>IF(OR($N531="RESTRINGIDO", $N543="RESTRINGIDO"), 0, AF494)</f>
        <v/>
      </c>
      <c r="AG605" s="189">
        <f>IF(OR($N531="RESTRINGIDO", $N544="RESTRINGIDO"), 0, AG494)</f>
        <v/>
      </c>
      <c r="AH605" s="189">
        <f>IF(OR($N531="RESTRINGIDO", $N545="RESTRINGIDO"), 0, AH494)</f>
        <v/>
      </c>
      <c r="AJ605" s="189">
        <f>IF($N531="LIBRE", IF(ISNUMBER(E531), E531, 0), 0)</f>
        <v/>
      </c>
      <c r="AL605" s="188" t="n">
        <v>0</v>
      </c>
      <c r="AN605" s="188" t="n">
        <v>0</v>
      </c>
    </row>
    <row r="606">
      <c r="B606" s="189">
        <f>IF(OR($N532="RESTRINGIDO", $N513="RESTRINGIDO"), 0, B495)</f>
        <v/>
      </c>
      <c r="C606" s="189">
        <f>IF(OR($N532="RESTRINGIDO", $N514="RESTRINGIDO"), 0, C495)</f>
        <v/>
      </c>
      <c r="D606" s="189">
        <f>IF(OR($N532="RESTRINGIDO", $N515="RESTRINGIDO"), 0, D495)</f>
        <v/>
      </c>
      <c r="E606" s="189">
        <f>IF(OR($N532="RESTRINGIDO", $N516="RESTRINGIDO"), 0, E495)</f>
        <v/>
      </c>
      <c r="F606" s="189">
        <f>IF(OR($N532="RESTRINGIDO", $N517="RESTRINGIDO"), 0, F495)</f>
        <v/>
      </c>
      <c r="G606" s="189">
        <f>IF(OR($N532="RESTRINGIDO", $N518="RESTRINGIDO"), 0, G495)</f>
        <v/>
      </c>
      <c r="H606" s="189">
        <f>IF(OR($N532="RESTRINGIDO", $N519="RESTRINGIDO"), 0, H495)</f>
        <v/>
      </c>
      <c r="I606" s="189">
        <f>IF(OR($N532="RESTRINGIDO", $N520="RESTRINGIDO"), 0, I495)</f>
        <v/>
      </c>
      <c r="J606" s="189">
        <f>IF(OR($N532="RESTRINGIDO", $N521="RESTRINGIDO"), 0, J495)</f>
        <v/>
      </c>
      <c r="K606" s="189">
        <f>IF(OR($N532="RESTRINGIDO", $N522="RESTRINGIDO"), 0, K495)</f>
        <v/>
      </c>
      <c r="L606" s="189">
        <f>IF(OR($N532="RESTRINGIDO", $N523="RESTRINGIDO"), 0, L495)</f>
        <v/>
      </c>
      <c r="M606" s="189">
        <f>IF(OR($N532="RESTRINGIDO", $N524="RESTRINGIDO"), 0, M495)</f>
        <v/>
      </c>
      <c r="N606" s="189">
        <f>IF(OR($N532="RESTRINGIDO", $N525="RESTRINGIDO"), 0, N495)</f>
        <v/>
      </c>
      <c r="O606" s="189">
        <f>IF(OR($N532="RESTRINGIDO", $N526="RESTRINGIDO"), 0, O495)</f>
        <v/>
      </c>
      <c r="P606" s="189">
        <f>IF(OR($N532="RESTRINGIDO", $N527="RESTRINGIDO"), 0, P495)</f>
        <v/>
      </c>
      <c r="Q606" s="189">
        <f>IF(OR($N532="RESTRINGIDO", $N528="RESTRINGIDO"), 0, Q495)</f>
        <v/>
      </c>
      <c r="R606" s="189">
        <f>IF(OR($N532="RESTRINGIDO", $N529="RESTRINGIDO"), 0, R495)</f>
        <v/>
      </c>
      <c r="S606" s="189">
        <f>IF(OR($N532="RESTRINGIDO", $N530="RESTRINGIDO"), 0, S495)</f>
        <v/>
      </c>
      <c r="T606" s="189">
        <f>IF(OR($N532="RESTRINGIDO", $N531="RESTRINGIDO"), 0, T495)</f>
        <v/>
      </c>
      <c r="U606" s="189">
        <f>IF($N532="RESTRINGIDO", 1, IF(OR($N532="", $C495=""), 1, U495))</f>
        <v/>
      </c>
      <c r="V606" s="189">
        <f>IF(OR($N532="RESTRINGIDO", $N533="RESTRINGIDO"), 0, V495)</f>
        <v/>
      </c>
      <c r="W606" s="189">
        <f>IF(OR($N532="RESTRINGIDO", $N534="RESTRINGIDO"), 0, W495)</f>
        <v/>
      </c>
      <c r="X606" s="189">
        <f>IF(OR($N532="RESTRINGIDO", $N535="RESTRINGIDO"), 0, X495)</f>
        <v/>
      </c>
      <c r="Y606" s="189">
        <f>IF(OR($N532="RESTRINGIDO", $N536="RESTRINGIDO"), 0, Y495)</f>
        <v/>
      </c>
      <c r="Z606" s="189">
        <f>IF(OR($N532="RESTRINGIDO", $N537="RESTRINGIDO"), 0, Z495)</f>
        <v/>
      </c>
      <c r="AA606" s="189">
        <f>IF(OR($N532="RESTRINGIDO", $N538="RESTRINGIDO"), 0, AA495)</f>
        <v/>
      </c>
      <c r="AB606" s="189">
        <f>IF(OR($N532="RESTRINGIDO", $N539="RESTRINGIDO"), 0, AB495)</f>
        <v/>
      </c>
      <c r="AC606" s="189">
        <f>IF(OR($N532="RESTRINGIDO", $N540="RESTRINGIDO"), 0, AC495)</f>
        <v/>
      </c>
      <c r="AD606" s="189">
        <f>IF(OR($N532="RESTRINGIDO", $N541="RESTRINGIDO"), 0, AD495)</f>
        <v/>
      </c>
      <c r="AE606" s="189">
        <f>IF(OR($N532="RESTRINGIDO", $N542="RESTRINGIDO"), 0, AE495)</f>
        <v/>
      </c>
      <c r="AF606" s="189">
        <f>IF(OR($N532="RESTRINGIDO", $N543="RESTRINGIDO"), 0, AF495)</f>
        <v/>
      </c>
      <c r="AG606" s="189">
        <f>IF(OR($N532="RESTRINGIDO", $N544="RESTRINGIDO"), 0, AG495)</f>
        <v/>
      </c>
      <c r="AH606" s="189">
        <f>IF(OR($N532="RESTRINGIDO", $N545="RESTRINGIDO"), 0, AH495)</f>
        <v/>
      </c>
      <c r="AJ606" s="189">
        <f>IF($N532="LIBRE", IF(ISNUMBER(E532), E532, 0), 0)</f>
        <v/>
      </c>
      <c r="AL606" s="188" t="n">
        <v>0</v>
      </c>
      <c r="AN606" s="188" t="n">
        <v>0</v>
      </c>
    </row>
    <row r="607">
      <c r="B607" s="189">
        <f>IF(OR($N533="RESTRINGIDO", $N513="RESTRINGIDO"), 0, B496)</f>
        <v/>
      </c>
      <c r="C607" s="189">
        <f>IF(OR($N533="RESTRINGIDO", $N514="RESTRINGIDO"), 0, C496)</f>
        <v/>
      </c>
      <c r="D607" s="189">
        <f>IF(OR($N533="RESTRINGIDO", $N515="RESTRINGIDO"), 0, D496)</f>
        <v/>
      </c>
      <c r="E607" s="189">
        <f>IF(OR($N533="RESTRINGIDO", $N516="RESTRINGIDO"), 0, E496)</f>
        <v/>
      </c>
      <c r="F607" s="189">
        <f>IF(OR($N533="RESTRINGIDO", $N517="RESTRINGIDO"), 0, F496)</f>
        <v/>
      </c>
      <c r="G607" s="189">
        <f>IF(OR($N533="RESTRINGIDO", $N518="RESTRINGIDO"), 0, G496)</f>
        <v/>
      </c>
      <c r="H607" s="189">
        <f>IF(OR($N533="RESTRINGIDO", $N519="RESTRINGIDO"), 0, H496)</f>
        <v/>
      </c>
      <c r="I607" s="189">
        <f>IF(OR($N533="RESTRINGIDO", $N520="RESTRINGIDO"), 0, I496)</f>
        <v/>
      </c>
      <c r="J607" s="189">
        <f>IF(OR($N533="RESTRINGIDO", $N521="RESTRINGIDO"), 0, J496)</f>
        <v/>
      </c>
      <c r="K607" s="189">
        <f>IF(OR($N533="RESTRINGIDO", $N522="RESTRINGIDO"), 0, K496)</f>
        <v/>
      </c>
      <c r="L607" s="189">
        <f>IF(OR($N533="RESTRINGIDO", $N523="RESTRINGIDO"), 0, L496)</f>
        <v/>
      </c>
      <c r="M607" s="189">
        <f>IF(OR($N533="RESTRINGIDO", $N524="RESTRINGIDO"), 0, M496)</f>
        <v/>
      </c>
      <c r="N607" s="189">
        <f>IF(OR($N533="RESTRINGIDO", $N525="RESTRINGIDO"), 0, N496)</f>
        <v/>
      </c>
      <c r="O607" s="189">
        <f>IF(OR($N533="RESTRINGIDO", $N526="RESTRINGIDO"), 0, O496)</f>
        <v/>
      </c>
      <c r="P607" s="189">
        <f>IF(OR($N533="RESTRINGIDO", $N527="RESTRINGIDO"), 0, P496)</f>
        <v/>
      </c>
      <c r="Q607" s="189">
        <f>IF(OR($N533="RESTRINGIDO", $N528="RESTRINGIDO"), 0, Q496)</f>
        <v/>
      </c>
      <c r="R607" s="189">
        <f>IF(OR($N533="RESTRINGIDO", $N529="RESTRINGIDO"), 0, R496)</f>
        <v/>
      </c>
      <c r="S607" s="189">
        <f>IF(OR($N533="RESTRINGIDO", $N530="RESTRINGIDO"), 0, S496)</f>
        <v/>
      </c>
      <c r="T607" s="189">
        <f>IF(OR($N533="RESTRINGIDO", $N531="RESTRINGIDO"), 0, T496)</f>
        <v/>
      </c>
      <c r="U607" s="189">
        <f>IF(OR($N533="RESTRINGIDO", $N532="RESTRINGIDO"), 0, U496)</f>
        <v/>
      </c>
      <c r="V607" s="189">
        <f>IF($N533="RESTRINGIDO", 1, IF(OR($N533="", $C496=""), 1, V496))</f>
        <v/>
      </c>
      <c r="W607" s="189">
        <f>IF(OR($N533="RESTRINGIDO", $N534="RESTRINGIDO"), 0, W496)</f>
        <v/>
      </c>
      <c r="X607" s="189">
        <f>IF(OR($N533="RESTRINGIDO", $N535="RESTRINGIDO"), 0, X496)</f>
        <v/>
      </c>
      <c r="Y607" s="189">
        <f>IF(OR($N533="RESTRINGIDO", $N536="RESTRINGIDO"), 0, Y496)</f>
        <v/>
      </c>
      <c r="Z607" s="189">
        <f>IF(OR($N533="RESTRINGIDO", $N537="RESTRINGIDO"), 0, Z496)</f>
        <v/>
      </c>
      <c r="AA607" s="189">
        <f>IF(OR($N533="RESTRINGIDO", $N538="RESTRINGIDO"), 0, AA496)</f>
        <v/>
      </c>
      <c r="AB607" s="189">
        <f>IF(OR($N533="RESTRINGIDO", $N539="RESTRINGIDO"), 0, AB496)</f>
        <v/>
      </c>
      <c r="AC607" s="189">
        <f>IF(OR($N533="RESTRINGIDO", $N540="RESTRINGIDO"), 0, AC496)</f>
        <v/>
      </c>
      <c r="AD607" s="189">
        <f>IF(OR($N533="RESTRINGIDO", $N541="RESTRINGIDO"), 0, AD496)</f>
        <v/>
      </c>
      <c r="AE607" s="189">
        <f>IF(OR($N533="RESTRINGIDO", $N542="RESTRINGIDO"), 0, AE496)</f>
        <v/>
      </c>
      <c r="AF607" s="189">
        <f>IF(OR($N533="RESTRINGIDO", $N543="RESTRINGIDO"), 0, AF496)</f>
        <v/>
      </c>
      <c r="AG607" s="189">
        <f>IF(OR($N533="RESTRINGIDO", $N544="RESTRINGIDO"), 0, AG496)</f>
        <v/>
      </c>
      <c r="AH607" s="189">
        <f>IF(OR($N533="RESTRINGIDO", $N545="RESTRINGIDO"), 0, AH496)</f>
        <v/>
      </c>
      <c r="AJ607" s="189">
        <f>IF($N533="LIBRE", IF(ISNUMBER(E533), E533, 0), 0)</f>
        <v/>
      </c>
      <c r="AL607" s="188" t="n">
        <v>0</v>
      </c>
      <c r="AN607" s="188" t="n">
        <v>0</v>
      </c>
    </row>
    <row r="608">
      <c r="B608" s="189">
        <f>IF(OR($N534="RESTRINGIDO", $N513="RESTRINGIDO"), 0, B497)</f>
        <v/>
      </c>
      <c r="C608" s="189">
        <f>IF(OR($N534="RESTRINGIDO", $N514="RESTRINGIDO"), 0, C497)</f>
        <v/>
      </c>
      <c r="D608" s="189">
        <f>IF(OR($N534="RESTRINGIDO", $N515="RESTRINGIDO"), 0, D497)</f>
        <v/>
      </c>
      <c r="E608" s="189">
        <f>IF(OR($N534="RESTRINGIDO", $N516="RESTRINGIDO"), 0, E497)</f>
        <v/>
      </c>
      <c r="F608" s="189">
        <f>IF(OR($N534="RESTRINGIDO", $N517="RESTRINGIDO"), 0, F497)</f>
        <v/>
      </c>
      <c r="G608" s="189">
        <f>IF(OR($N534="RESTRINGIDO", $N518="RESTRINGIDO"), 0, G497)</f>
        <v/>
      </c>
      <c r="H608" s="189">
        <f>IF(OR($N534="RESTRINGIDO", $N519="RESTRINGIDO"), 0, H497)</f>
        <v/>
      </c>
      <c r="I608" s="189">
        <f>IF(OR($N534="RESTRINGIDO", $N520="RESTRINGIDO"), 0, I497)</f>
        <v/>
      </c>
      <c r="J608" s="189">
        <f>IF(OR($N534="RESTRINGIDO", $N521="RESTRINGIDO"), 0, J497)</f>
        <v/>
      </c>
      <c r="K608" s="189">
        <f>IF(OR($N534="RESTRINGIDO", $N522="RESTRINGIDO"), 0, K497)</f>
        <v/>
      </c>
      <c r="L608" s="189">
        <f>IF(OR($N534="RESTRINGIDO", $N523="RESTRINGIDO"), 0, L497)</f>
        <v/>
      </c>
      <c r="M608" s="189">
        <f>IF(OR($N534="RESTRINGIDO", $N524="RESTRINGIDO"), 0, M497)</f>
        <v/>
      </c>
      <c r="N608" s="189">
        <f>IF(OR($N534="RESTRINGIDO", $N525="RESTRINGIDO"), 0, N497)</f>
        <v/>
      </c>
      <c r="O608" s="189">
        <f>IF(OR($N534="RESTRINGIDO", $N526="RESTRINGIDO"), 0, O497)</f>
        <v/>
      </c>
      <c r="P608" s="189">
        <f>IF(OR($N534="RESTRINGIDO", $N527="RESTRINGIDO"), 0, P497)</f>
        <v/>
      </c>
      <c r="Q608" s="189">
        <f>IF(OR($N534="RESTRINGIDO", $N528="RESTRINGIDO"), 0, Q497)</f>
        <v/>
      </c>
      <c r="R608" s="189">
        <f>IF(OR($N534="RESTRINGIDO", $N529="RESTRINGIDO"), 0, R497)</f>
        <v/>
      </c>
      <c r="S608" s="189">
        <f>IF(OR($N534="RESTRINGIDO", $N530="RESTRINGIDO"), 0, S497)</f>
        <v/>
      </c>
      <c r="T608" s="189">
        <f>IF(OR($N534="RESTRINGIDO", $N531="RESTRINGIDO"), 0, T497)</f>
        <v/>
      </c>
      <c r="U608" s="189">
        <f>IF(OR($N534="RESTRINGIDO", $N532="RESTRINGIDO"), 0, U497)</f>
        <v/>
      </c>
      <c r="V608" s="189">
        <f>IF(OR($N534="RESTRINGIDO", $N533="RESTRINGIDO"), 0, V497)</f>
        <v/>
      </c>
      <c r="W608" s="189">
        <f>IF($N534="RESTRINGIDO", 1, IF(OR($N534="", $C497=""), 1, W497))</f>
        <v/>
      </c>
      <c r="X608" s="189">
        <f>IF(OR($N534="RESTRINGIDO", $N535="RESTRINGIDO"), 0, X497)</f>
        <v/>
      </c>
      <c r="Y608" s="189">
        <f>IF(OR($N534="RESTRINGIDO", $N536="RESTRINGIDO"), 0, Y497)</f>
        <v/>
      </c>
      <c r="Z608" s="189">
        <f>IF(OR($N534="RESTRINGIDO", $N537="RESTRINGIDO"), 0, Z497)</f>
        <v/>
      </c>
      <c r="AA608" s="189">
        <f>IF(OR($N534="RESTRINGIDO", $N538="RESTRINGIDO"), 0, AA497)</f>
        <v/>
      </c>
      <c r="AB608" s="189">
        <f>IF(OR($N534="RESTRINGIDO", $N539="RESTRINGIDO"), 0, AB497)</f>
        <v/>
      </c>
      <c r="AC608" s="189">
        <f>IF(OR($N534="RESTRINGIDO", $N540="RESTRINGIDO"), 0, AC497)</f>
        <v/>
      </c>
      <c r="AD608" s="189">
        <f>IF(OR($N534="RESTRINGIDO", $N541="RESTRINGIDO"), 0, AD497)</f>
        <v/>
      </c>
      <c r="AE608" s="189">
        <f>IF(OR($N534="RESTRINGIDO", $N542="RESTRINGIDO"), 0, AE497)</f>
        <v/>
      </c>
      <c r="AF608" s="189">
        <f>IF(OR($N534="RESTRINGIDO", $N543="RESTRINGIDO"), 0, AF497)</f>
        <v/>
      </c>
      <c r="AG608" s="189">
        <f>IF(OR($N534="RESTRINGIDO", $N544="RESTRINGIDO"), 0, AG497)</f>
        <v/>
      </c>
      <c r="AH608" s="189">
        <f>IF(OR($N534="RESTRINGIDO", $N545="RESTRINGIDO"), 0, AH497)</f>
        <v/>
      </c>
      <c r="AJ608" s="189">
        <f>IF($N534="LIBRE", IF(ISNUMBER(E534), E534, 0), 0)</f>
        <v/>
      </c>
      <c r="AL608" s="188" t="n">
        <v>0</v>
      </c>
      <c r="AN608" s="188" t="n">
        <v>0</v>
      </c>
    </row>
    <row r="609">
      <c r="B609" s="189">
        <f>IF(OR($N535="RESTRINGIDO", $N513="RESTRINGIDO"), 0, B498)</f>
        <v/>
      </c>
      <c r="C609" s="189">
        <f>IF(OR($N535="RESTRINGIDO", $N514="RESTRINGIDO"), 0, C498)</f>
        <v/>
      </c>
      <c r="D609" s="189">
        <f>IF(OR($N535="RESTRINGIDO", $N515="RESTRINGIDO"), 0, D498)</f>
        <v/>
      </c>
      <c r="E609" s="189">
        <f>IF(OR($N535="RESTRINGIDO", $N516="RESTRINGIDO"), 0, E498)</f>
        <v/>
      </c>
      <c r="F609" s="189">
        <f>IF(OR($N535="RESTRINGIDO", $N517="RESTRINGIDO"), 0, F498)</f>
        <v/>
      </c>
      <c r="G609" s="189">
        <f>IF(OR($N535="RESTRINGIDO", $N518="RESTRINGIDO"), 0, G498)</f>
        <v/>
      </c>
      <c r="H609" s="189">
        <f>IF(OR($N535="RESTRINGIDO", $N519="RESTRINGIDO"), 0, H498)</f>
        <v/>
      </c>
      <c r="I609" s="189">
        <f>IF(OR($N535="RESTRINGIDO", $N520="RESTRINGIDO"), 0, I498)</f>
        <v/>
      </c>
      <c r="J609" s="189">
        <f>IF(OR($N535="RESTRINGIDO", $N521="RESTRINGIDO"), 0, J498)</f>
        <v/>
      </c>
      <c r="K609" s="189">
        <f>IF(OR($N535="RESTRINGIDO", $N522="RESTRINGIDO"), 0, K498)</f>
        <v/>
      </c>
      <c r="L609" s="189">
        <f>IF(OR($N535="RESTRINGIDO", $N523="RESTRINGIDO"), 0, L498)</f>
        <v/>
      </c>
      <c r="M609" s="189">
        <f>IF(OR($N535="RESTRINGIDO", $N524="RESTRINGIDO"), 0, M498)</f>
        <v/>
      </c>
      <c r="N609" s="189">
        <f>IF(OR($N535="RESTRINGIDO", $N525="RESTRINGIDO"), 0, N498)</f>
        <v/>
      </c>
      <c r="O609" s="189">
        <f>IF(OR($N535="RESTRINGIDO", $N526="RESTRINGIDO"), 0, O498)</f>
        <v/>
      </c>
      <c r="P609" s="189">
        <f>IF(OR($N535="RESTRINGIDO", $N527="RESTRINGIDO"), 0, P498)</f>
        <v/>
      </c>
      <c r="Q609" s="189">
        <f>IF(OR($N535="RESTRINGIDO", $N528="RESTRINGIDO"), 0, Q498)</f>
        <v/>
      </c>
      <c r="R609" s="189">
        <f>IF(OR($N535="RESTRINGIDO", $N529="RESTRINGIDO"), 0, R498)</f>
        <v/>
      </c>
      <c r="S609" s="189">
        <f>IF(OR($N535="RESTRINGIDO", $N530="RESTRINGIDO"), 0, S498)</f>
        <v/>
      </c>
      <c r="T609" s="189">
        <f>IF(OR($N535="RESTRINGIDO", $N531="RESTRINGIDO"), 0, T498)</f>
        <v/>
      </c>
      <c r="U609" s="189">
        <f>IF(OR($N535="RESTRINGIDO", $N532="RESTRINGIDO"), 0, U498)</f>
        <v/>
      </c>
      <c r="V609" s="189">
        <f>IF(OR($N535="RESTRINGIDO", $N533="RESTRINGIDO"), 0, V498)</f>
        <v/>
      </c>
      <c r="W609" s="189">
        <f>IF(OR($N535="RESTRINGIDO", $N534="RESTRINGIDO"), 0, W498)</f>
        <v/>
      </c>
      <c r="X609" s="189">
        <f>IF($N535="RESTRINGIDO", 1, IF(OR($N535="", $C498=""), 1, X498))</f>
        <v/>
      </c>
      <c r="Y609" s="189">
        <f>IF(OR($N535="RESTRINGIDO", $N536="RESTRINGIDO"), 0, Y498)</f>
        <v/>
      </c>
      <c r="Z609" s="189">
        <f>IF(OR($N535="RESTRINGIDO", $N537="RESTRINGIDO"), 0, Z498)</f>
        <v/>
      </c>
      <c r="AA609" s="189">
        <f>IF(OR($N535="RESTRINGIDO", $N538="RESTRINGIDO"), 0, AA498)</f>
        <v/>
      </c>
      <c r="AB609" s="189">
        <f>IF(OR($N535="RESTRINGIDO", $N539="RESTRINGIDO"), 0, AB498)</f>
        <v/>
      </c>
      <c r="AC609" s="189">
        <f>IF(OR($N535="RESTRINGIDO", $N540="RESTRINGIDO"), 0, AC498)</f>
        <v/>
      </c>
      <c r="AD609" s="189">
        <f>IF(OR($N535="RESTRINGIDO", $N541="RESTRINGIDO"), 0, AD498)</f>
        <v/>
      </c>
      <c r="AE609" s="189">
        <f>IF(OR($N535="RESTRINGIDO", $N542="RESTRINGIDO"), 0, AE498)</f>
        <v/>
      </c>
      <c r="AF609" s="189">
        <f>IF(OR($N535="RESTRINGIDO", $N543="RESTRINGIDO"), 0, AF498)</f>
        <v/>
      </c>
      <c r="AG609" s="189">
        <f>IF(OR($N535="RESTRINGIDO", $N544="RESTRINGIDO"), 0, AG498)</f>
        <v/>
      </c>
      <c r="AH609" s="189">
        <f>IF(OR($N535="RESTRINGIDO", $N545="RESTRINGIDO"), 0, AH498)</f>
        <v/>
      </c>
      <c r="AJ609" s="189">
        <f>IF($N535="LIBRE", IF(ISNUMBER(E535), E535, 0), 0)</f>
        <v/>
      </c>
      <c r="AL609" s="188" t="n">
        <v>0</v>
      </c>
      <c r="AN609" s="188" t="n">
        <v>0</v>
      </c>
    </row>
    <row r="610">
      <c r="B610" s="189">
        <f>IF(OR($N536="RESTRINGIDO", $N513="RESTRINGIDO"), 0, B499)</f>
        <v/>
      </c>
      <c r="C610" s="189">
        <f>IF(OR($N536="RESTRINGIDO", $N514="RESTRINGIDO"), 0, C499)</f>
        <v/>
      </c>
      <c r="D610" s="189">
        <f>IF(OR($N536="RESTRINGIDO", $N515="RESTRINGIDO"), 0, D499)</f>
        <v/>
      </c>
      <c r="E610" s="189">
        <f>IF(OR($N536="RESTRINGIDO", $N516="RESTRINGIDO"), 0, E499)</f>
        <v/>
      </c>
      <c r="F610" s="189">
        <f>IF(OR($N536="RESTRINGIDO", $N517="RESTRINGIDO"), 0, F499)</f>
        <v/>
      </c>
      <c r="G610" s="189">
        <f>IF(OR($N536="RESTRINGIDO", $N518="RESTRINGIDO"), 0, G499)</f>
        <v/>
      </c>
      <c r="H610" s="189">
        <f>IF(OR($N536="RESTRINGIDO", $N519="RESTRINGIDO"), 0, H499)</f>
        <v/>
      </c>
      <c r="I610" s="189">
        <f>IF(OR($N536="RESTRINGIDO", $N520="RESTRINGIDO"), 0, I499)</f>
        <v/>
      </c>
      <c r="J610" s="189">
        <f>IF(OR($N536="RESTRINGIDO", $N521="RESTRINGIDO"), 0, J499)</f>
        <v/>
      </c>
      <c r="K610" s="189">
        <f>IF(OR($N536="RESTRINGIDO", $N522="RESTRINGIDO"), 0, K499)</f>
        <v/>
      </c>
      <c r="L610" s="189">
        <f>IF(OR($N536="RESTRINGIDO", $N523="RESTRINGIDO"), 0, L499)</f>
        <v/>
      </c>
      <c r="M610" s="189">
        <f>IF(OR($N536="RESTRINGIDO", $N524="RESTRINGIDO"), 0, M499)</f>
        <v/>
      </c>
      <c r="N610" s="189">
        <f>IF(OR($N536="RESTRINGIDO", $N525="RESTRINGIDO"), 0, N499)</f>
        <v/>
      </c>
      <c r="O610" s="189">
        <f>IF(OR($N536="RESTRINGIDO", $N526="RESTRINGIDO"), 0, O499)</f>
        <v/>
      </c>
      <c r="P610" s="189">
        <f>IF(OR($N536="RESTRINGIDO", $N527="RESTRINGIDO"), 0, P499)</f>
        <v/>
      </c>
      <c r="Q610" s="189">
        <f>IF(OR($N536="RESTRINGIDO", $N528="RESTRINGIDO"), 0, Q499)</f>
        <v/>
      </c>
      <c r="R610" s="189">
        <f>IF(OR($N536="RESTRINGIDO", $N529="RESTRINGIDO"), 0, R499)</f>
        <v/>
      </c>
      <c r="S610" s="189">
        <f>IF(OR($N536="RESTRINGIDO", $N530="RESTRINGIDO"), 0, S499)</f>
        <v/>
      </c>
      <c r="T610" s="189">
        <f>IF(OR($N536="RESTRINGIDO", $N531="RESTRINGIDO"), 0, T499)</f>
        <v/>
      </c>
      <c r="U610" s="189">
        <f>IF(OR($N536="RESTRINGIDO", $N532="RESTRINGIDO"), 0, U499)</f>
        <v/>
      </c>
      <c r="V610" s="189">
        <f>IF(OR($N536="RESTRINGIDO", $N533="RESTRINGIDO"), 0, V499)</f>
        <v/>
      </c>
      <c r="W610" s="189">
        <f>IF(OR($N536="RESTRINGIDO", $N534="RESTRINGIDO"), 0, W499)</f>
        <v/>
      </c>
      <c r="X610" s="189">
        <f>IF(OR($N536="RESTRINGIDO", $N535="RESTRINGIDO"), 0, X499)</f>
        <v/>
      </c>
      <c r="Y610" s="189">
        <f>IF($N536="RESTRINGIDO", 1, IF(OR($N536="", $C499=""), 1, Y499))</f>
        <v/>
      </c>
      <c r="Z610" s="189">
        <f>IF(OR($N536="RESTRINGIDO", $N537="RESTRINGIDO"), 0, Z499)</f>
        <v/>
      </c>
      <c r="AA610" s="189">
        <f>IF(OR($N536="RESTRINGIDO", $N538="RESTRINGIDO"), 0, AA499)</f>
        <v/>
      </c>
      <c r="AB610" s="189">
        <f>IF(OR($N536="RESTRINGIDO", $N539="RESTRINGIDO"), 0, AB499)</f>
        <v/>
      </c>
      <c r="AC610" s="189">
        <f>IF(OR($N536="RESTRINGIDO", $N540="RESTRINGIDO"), 0, AC499)</f>
        <v/>
      </c>
      <c r="AD610" s="189">
        <f>IF(OR($N536="RESTRINGIDO", $N541="RESTRINGIDO"), 0, AD499)</f>
        <v/>
      </c>
      <c r="AE610" s="189">
        <f>IF(OR($N536="RESTRINGIDO", $N542="RESTRINGIDO"), 0, AE499)</f>
        <v/>
      </c>
      <c r="AF610" s="189">
        <f>IF(OR($N536="RESTRINGIDO", $N543="RESTRINGIDO"), 0, AF499)</f>
        <v/>
      </c>
      <c r="AG610" s="189">
        <f>IF(OR($N536="RESTRINGIDO", $N544="RESTRINGIDO"), 0, AG499)</f>
        <v/>
      </c>
      <c r="AH610" s="189">
        <f>IF(OR($N536="RESTRINGIDO", $N545="RESTRINGIDO"), 0, AH499)</f>
        <v/>
      </c>
      <c r="AJ610" s="189">
        <f>IF($N536="LIBRE", IF(ISNUMBER(E536), E536, 0), 0)</f>
        <v/>
      </c>
      <c r="AL610" s="188" t="n">
        <v>0</v>
      </c>
      <c r="AN610" s="188" t="n">
        <v>0</v>
      </c>
    </row>
    <row r="611">
      <c r="B611" s="189">
        <f>IF(OR($N537="RESTRINGIDO", $N513="RESTRINGIDO"), 0, B500)</f>
        <v/>
      </c>
      <c r="C611" s="189">
        <f>IF(OR($N537="RESTRINGIDO", $N514="RESTRINGIDO"), 0, C500)</f>
        <v/>
      </c>
      <c r="D611" s="189">
        <f>IF(OR($N537="RESTRINGIDO", $N515="RESTRINGIDO"), 0, D500)</f>
        <v/>
      </c>
      <c r="E611" s="189">
        <f>IF(OR($N537="RESTRINGIDO", $N516="RESTRINGIDO"), 0, E500)</f>
        <v/>
      </c>
      <c r="F611" s="189">
        <f>IF(OR($N537="RESTRINGIDO", $N517="RESTRINGIDO"), 0, F500)</f>
        <v/>
      </c>
      <c r="G611" s="189">
        <f>IF(OR($N537="RESTRINGIDO", $N518="RESTRINGIDO"), 0, G500)</f>
        <v/>
      </c>
      <c r="H611" s="189">
        <f>IF(OR($N537="RESTRINGIDO", $N519="RESTRINGIDO"), 0, H500)</f>
        <v/>
      </c>
      <c r="I611" s="189">
        <f>IF(OR($N537="RESTRINGIDO", $N520="RESTRINGIDO"), 0, I500)</f>
        <v/>
      </c>
      <c r="J611" s="189">
        <f>IF(OR($N537="RESTRINGIDO", $N521="RESTRINGIDO"), 0, J500)</f>
        <v/>
      </c>
      <c r="K611" s="189">
        <f>IF(OR($N537="RESTRINGIDO", $N522="RESTRINGIDO"), 0, K500)</f>
        <v/>
      </c>
      <c r="L611" s="189">
        <f>IF(OR($N537="RESTRINGIDO", $N523="RESTRINGIDO"), 0, L500)</f>
        <v/>
      </c>
      <c r="M611" s="189">
        <f>IF(OR($N537="RESTRINGIDO", $N524="RESTRINGIDO"), 0, M500)</f>
        <v/>
      </c>
      <c r="N611" s="189">
        <f>IF(OR($N537="RESTRINGIDO", $N525="RESTRINGIDO"), 0, N500)</f>
        <v/>
      </c>
      <c r="O611" s="189">
        <f>IF(OR($N537="RESTRINGIDO", $N526="RESTRINGIDO"), 0, O500)</f>
        <v/>
      </c>
      <c r="P611" s="189">
        <f>IF(OR($N537="RESTRINGIDO", $N527="RESTRINGIDO"), 0, P500)</f>
        <v/>
      </c>
      <c r="Q611" s="189">
        <f>IF(OR($N537="RESTRINGIDO", $N528="RESTRINGIDO"), 0, Q500)</f>
        <v/>
      </c>
      <c r="R611" s="189">
        <f>IF(OR($N537="RESTRINGIDO", $N529="RESTRINGIDO"), 0, R500)</f>
        <v/>
      </c>
      <c r="S611" s="189">
        <f>IF(OR($N537="RESTRINGIDO", $N530="RESTRINGIDO"), 0, S500)</f>
        <v/>
      </c>
      <c r="T611" s="189">
        <f>IF(OR($N537="RESTRINGIDO", $N531="RESTRINGIDO"), 0, T500)</f>
        <v/>
      </c>
      <c r="U611" s="189">
        <f>IF(OR($N537="RESTRINGIDO", $N532="RESTRINGIDO"), 0, U500)</f>
        <v/>
      </c>
      <c r="V611" s="189">
        <f>IF(OR($N537="RESTRINGIDO", $N533="RESTRINGIDO"), 0, V500)</f>
        <v/>
      </c>
      <c r="W611" s="189">
        <f>IF(OR($N537="RESTRINGIDO", $N534="RESTRINGIDO"), 0, W500)</f>
        <v/>
      </c>
      <c r="X611" s="189">
        <f>IF(OR($N537="RESTRINGIDO", $N535="RESTRINGIDO"), 0, X500)</f>
        <v/>
      </c>
      <c r="Y611" s="189">
        <f>IF(OR($N537="RESTRINGIDO", $N536="RESTRINGIDO"), 0, Y500)</f>
        <v/>
      </c>
      <c r="Z611" s="189">
        <f>IF($N537="RESTRINGIDO", 1, IF(OR($N537="", $C500=""), 1, Z500))</f>
        <v/>
      </c>
      <c r="AA611" s="189">
        <f>IF(OR($N537="RESTRINGIDO", $N538="RESTRINGIDO"), 0, AA500)</f>
        <v/>
      </c>
      <c r="AB611" s="189">
        <f>IF(OR($N537="RESTRINGIDO", $N539="RESTRINGIDO"), 0, AB500)</f>
        <v/>
      </c>
      <c r="AC611" s="189">
        <f>IF(OR($N537="RESTRINGIDO", $N540="RESTRINGIDO"), 0, AC500)</f>
        <v/>
      </c>
      <c r="AD611" s="189">
        <f>IF(OR($N537="RESTRINGIDO", $N541="RESTRINGIDO"), 0, AD500)</f>
        <v/>
      </c>
      <c r="AE611" s="189">
        <f>IF(OR($N537="RESTRINGIDO", $N542="RESTRINGIDO"), 0, AE500)</f>
        <v/>
      </c>
      <c r="AF611" s="189">
        <f>IF(OR($N537="RESTRINGIDO", $N543="RESTRINGIDO"), 0, AF500)</f>
        <v/>
      </c>
      <c r="AG611" s="189">
        <f>IF(OR($N537="RESTRINGIDO", $N544="RESTRINGIDO"), 0, AG500)</f>
        <v/>
      </c>
      <c r="AH611" s="189">
        <f>IF(OR($N537="RESTRINGIDO", $N545="RESTRINGIDO"), 0, AH500)</f>
        <v/>
      </c>
      <c r="AJ611" s="189">
        <f>IF($N537="LIBRE", IF(ISNUMBER(E537), E537, 0), 0)</f>
        <v/>
      </c>
      <c r="AL611" s="188" t="n">
        <v>0</v>
      </c>
      <c r="AN611" s="188" t="n">
        <v>0</v>
      </c>
    </row>
    <row r="612">
      <c r="B612" s="189">
        <f>IF(OR($N538="RESTRINGIDO", $N513="RESTRINGIDO"), 0, B501)</f>
        <v/>
      </c>
      <c r="C612" s="189">
        <f>IF(OR($N538="RESTRINGIDO", $N514="RESTRINGIDO"), 0, C501)</f>
        <v/>
      </c>
      <c r="D612" s="189">
        <f>IF(OR($N538="RESTRINGIDO", $N515="RESTRINGIDO"), 0, D501)</f>
        <v/>
      </c>
      <c r="E612" s="189">
        <f>IF(OR($N538="RESTRINGIDO", $N516="RESTRINGIDO"), 0, E501)</f>
        <v/>
      </c>
      <c r="F612" s="189">
        <f>IF(OR($N538="RESTRINGIDO", $N517="RESTRINGIDO"), 0, F501)</f>
        <v/>
      </c>
      <c r="G612" s="189">
        <f>IF(OR($N538="RESTRINGIDO", $N518="RESTRINGIDO"), 0, G501)</f>
        <v/>
      </c>
      <c r="H612" s="189">
        <f>IF(OR($N538="RESTRINGIDO", $N519="RESTRINGIDO"), 0, H501)</f>
        <v/>
      </c>
      <c r="I612" s="189">
        <f>IF(OR($N538="RESTRINGIDO", $N520="RESTRINGIDO"), 0, I501)</f>
        <v/>
      </c>
      <c r="J612" s="189">
        <f>IF(OR($N538="RESTRINGIDO", $N521="RESTRINGIDO"), 0, J501)</f>
        <v/>
      </c>
      <c r="K612" s="189">
        <f>IF(OR($N538="RESTRINGIDO", $N522="RESTRINGIDO"), 0, K501)</f>
        <v/>
      </c>
      <c r="L612" s="189">
        <f>IF(OR($N538="RESTRINGIDO", $N523="RESTRINGIDO"), 0, L501)</f>
        <v/>
      </c>
      <c r="M612" s="189">
        <f>IF(OR($N538="RESTRINGIDO", $N524="RESTRINGIDO"), 0, M501)</f>
        <v/>
      </c>
      <c r="N612" s="189">
        <f>IF(OR($N538="RESTRINGIDO", $N525="RESTRINGIDO"), 0, N501)</f>
        <v/>
      </c>
      <c r="O612" s="189">
        <f>IF(OR($N538="RESTRINGIDO", $N526="RESTRINGIDO"), 0, O501)</f>
        <v/>
      </c>
      <c r="P612" s="189">
        <f>IF(OR($N538="RESTRINGIDO", $N527="RESTRINGIDO"), 0, P501)</f>
        <v/>
      </c>
      <c r="Q612" s="189">
        <f>IF(OR($N538="RESTRINGIDO", $N528="RESTRINGIDO"), 0, Q501)</f>
        <v/>
      </c>
      <c r="R612" s="189">
        <f>IF(OR($N538="RESTRINGIDO", $N529="RESTRINGIDO"), 0, R501)</f>
        <v/>
      </c>
      <c r="S612" s="189">
        <f>IF(OR($N538="RESTRINGIDO", $N530="RESTRINGIDO"), 0, S501)</f>
        <v/>
      </c>
      <c r="T612" s="189">
        <f>IF(OR($N538="RESTRINGIDO", $N531="RESTRINGIDO"), 0, T501)</f>
        <v/>
      </c>
      <c r="U612" s="189">
        <f>IF(OR($N538="RESTRINGIDO", $N532="RESTRINGIDO"), 0, U501)</f>
        <v/>
      </c>
      <c r="V612" s="189">
        <f>IF(OR($N538="RESTRINGIDO", $N533="RESTRINGIDO"), 0, V501)</f>
        <v/>
      </c>
      <c r="W612" s="189">
        <f>IF(OR($N538="RESTRINGIDO", $N534="RESTRINGIDO"), 0, W501)</f>
        <v/>
      </c>
      <c r="X612" s="189">
        <f>IF(OR($N538="RESTRINGIDO", $N535="RESTRINGIDO"), 0, X501)</f>
        <v/>
      </c>
      <c r="Y612" s="189">
        <f>IF(OR($N538="RESTRINGIDO", $N536="RESTRINGIDO"), 0, Y501)</f>
        <v/>
      </c>
      <c r="Z612" s="189">
        <f>IF(OR($N538="RESTRINGIDO", $N537="RESTRINGIDO"), 0, Z501)</f>
        <v/>
      </c>
      <c r="AA612" s="189">
        <f>IF($N538="RESTRINGIDO", 1, IF(OR($N538="", $C501=""), 1, AA501))</f>
        <v/>
      </c>
      <c r="AB612" s="189">
        <f>IF(OR($N538="RESTRINGIDO", $N539="RESTRINGIDO"), 0, AB501)</f>
        <v/>
      </c>
      <c r="AC612" s="189">
        <f>IF(OR($N538="RESTRINGIDO", $N540="RESTRINGIDO"), 0, AC501)</f>
        <v/>
      </c>
      <c r="AD612" s="189">
        <f>IF(OR($N538="RESTRINGIDO", $N541="RESTRINGIDO"), 0, AD501)</f>
        <v/>
      </c>
      <c r="AE612" s="189">
        <f>IF(OR($N538="RESTRINGIDO", $N542="RESTRINGIDO"), 0, AE501)</f>
        <v/>
      </c>
      <c r="AF612" s="189">
        <f>IF(OR($N538="RESTRINGIDO", $N543="RESTRINGIDO"), 0, AF501)</f>
        <v/>
      </c>
      <c r="AG612" s="189">
        <f>IF(OR($N538="RESTRINGIDO", $N544="RESTRINGIDO"), 0, AG501)</f>
        <v/>
      </c>
      <c r="AH612" s="189">
        <f>IF(OR($N538="RESTRINGIDO", $N545="RESTRINGIDO"), 0, AH501)</f>
        <v/>
      </c>
      <c r="AJ612" s="189">
        <f>IF($N538="LIBRE", IF(ISNUMBER(E538), E538, 0), 0)</f>
        <v/>
      </c>
      <c r="AL612" s="188" t="n">
        <v>0</v>
      </c>
      <c r="AN612" s="188" t="n">
        <v>0</v>
      </c>
    </row>
    <row r="613">
      <c r="B613" s="189">
        <f>IF(OR($N539="RESTRINGIDO", $N513="RESTRINGIDO"), 0, B502)</f>
        <v/>
      </c>
      <c r="C613" s="189">
        <f>IF(OR($N539="RESTRINGIDO", $N514="RESTRINGIDO"), 0, C502)</f>
        <v/>
      </c>
      <c r="D613" s="189">
        <f>IF(OR($N539="RESTRINGIDO", $N515="RESTRINGIDO"), 0, D502)</f>
        <v/>
      </c>
      <c r="E613" s="189">
        <f>IF(OR($N539="RESTRINGIDO", $N516="RESTRINGIDO"), 0, E502)</f>
        <v/>
      </c>
      <c r="F613" s="189">
        <f>IF(OR($N539="RESTRINGIDO", $N517="RESTRINGIDO"), 0, F502)</f>
        <v/>
      </c>
      <c r="G613" s="189">
        <f>IF(OR($N539="RESTRINGIDO", $N518="RESTRINGIDO"), 0, G502)</f>
        <v/>
      </c>
      <c r="H613" s="189">
        <f>IF(OR($N539="RESTRINGIDO", $N519="RESTRINGIDO"), 0, H502)</f>
        <v/>
      </c>
      <c r="I613" s="189">
        <f>IF(OR($N539="RESTRINGIDO", $N520="RESTRINGIDO"), 0, I502)</f>
        <v/>
      </c>
      <c r="J613" s="189">
        <f>IF(OR($N539="RESTRINGIDO", $N521="RESTRINGIDO"), 0, J502)</f>
        <v/>
      </c>
      <c r="K613" s="189">
        <f>IF(OR($N539="RESTRINGIDO", $N522="RESTRINGIDO"), 0, K502)</f>
        <v/>
      </c>
      <c r="L613" s="189">
        <f>IF(OR($N539="RESTRINGIDO", $N523="RESTRINGIDO"), 0, L502)</f>
        <v/>
      </c>
      <c r="M613" s="189">
        <f>IF(OR($N539="RESTRINGIDO", $N524="RESTRINGIDO"), 0, M502)</f>
        <v/>
      </c>
      <c r="N613" s="189">
        <f>IF(OR($N539="RESTRINGIDO", $N525="RESTRINGIDO"), 0, N502)</f>
        <v/>
      </c>
      <c r="O613" s="189">
        <f>IF(OR($N539="RESTRINGIDO", $N526="RESTRINGIDO"), 0, O502)</f>
        <v/>
      </c>
      <c r="P613" s="189">
        <f>IF(OR($N539="RESTRINGIDO", $N527="RESTRINGIDO"), 0, P502)</f>
        <v/>
      </c>
      <c r="Q613" s="189">
        <f>IF(OR($N539="RESTRINGIDO", $N528="RESTRINGIDO"), 0, Q502)</f>
        <v/>
      </c>
      <c r="R613" s="189">
        <f>IF(OR($N539="RESTRINGIDO", $N529="RESTRINGIDO"), 0, R502)</f>
        <v/>
      </c>
      <c r="S613" s="189">
        <f>IF(OR($N539="RESTRINGIDO", $N530="RESTRINGIDO"), 0, S502)</f>
        <v/>
      </c>
      <c r="T613" s="189">
        <f>IF(OR($N539="RESTRINGIDO", $N531="RESTRINGIDO"), 0, T502)</f>
        <v/>
      </c>
      <c r="U613" s="189">
        <f>IF(OR($N539="RESTRINGIDO", $N532="RESTRINGIDO"), 0, U502)</f>
        <v/>
      </c>
      <c r="V613" s="189">
        <f>IF(OR($N539="RESTRINGIDO", $N533="RESTRINGIDO"), 0, V502)</f>
        <v/>
      </c>
      <c r="W613" s="189">
        <f>IF(OR($N539="RESTRINGIDO", $N534="RESTRINGIDO"), 0, W502)</f>
        <v/>
      </c>
      <c r="X613" s="189">
        <f>IF(OR($N539="RESTRINGIDO", $N535="RESTRINGIDO"), 0, X502)</f>
        <v/>
      </c>
      <c r="Y613" s="189">
        <f>IF(OR($N539="RESTRINGIDO", $N536="RESTRINGIDO"), 0, Y502)</f>
        <v/>
      </c>
      <c r="Z613" s="189">
        <f>IF(OR($N539="RESTRINGIDO", $N537="RESTRINGIDO"), 0, Z502)</f>
        <v/>
      </c>
      <c r="AA613" s="189">
        <f>IF(OR($N539="RESTRINGIDO", $N538="RESTRINGIDO"), 0, AA502)</f>
        <v/>
      </c>
      <c r="AB613" s="189">
        <f>IF($N539="RESTRINGIDO", 1, IF(OR($N539="", $C502=""), 1, AB502))</f>
        <v/>
      </c>
      <c r="AC613" s="189">
        <f>IF(OR($N539="RESTRINGIDO", $N540="RESTRINGIDO"), 0, AC502)</f>
        <v/>
      </c>
      <c r="AD613" s="189">
        <f>IF(OR($N539="RESTRINGIDO", $N541="RESTRINGIDO"), 0, AD502)</f>
        <v/>
      </c>
      <c r="AE613" s="189">
        <f>IF(OR($N539="RESTRINGIDO", $N542="RESTRINGIDO"), 0, AE502)</f>
        <v/>
      </c>
      <c r="AF613" s="189">
        <f>IF(OR($N539="RESTRINGIDO", $N543="RESTRINGIDO"), 0, AF502)</f>
        <v/>
      </c>
      <c r="AG613" s="189">
        <f>IF(OR($N539="RESTRINGIDO", $N544="RESTRINGIDO"), 0, AG502)</f>
        <v/>
      </c>
      <c r="AH613" s="189">
        <f>IF(OR($N539="RESTRINGIDO", $N545="RESTRINGIDO"), 0, AH502)</f>
        <v/>
      </c>
      <c r="AJ613" s="189">
        <f>IF($N539="LIBRE", IF(ISNUMBER(E539), E539, 0), 0)</f>
        <v/>
      </c>
      <c r="AL613" s="188" t="n">
        <v>0</v>
      </c>
      <c r="AN613" s="188" t="n">
        <v>0</v>
      </c>
    </row>
    <row r="614">
      <c r="B614" s="189">
        <f>IF(OR($N540="RESTRINGIDO", $N513="RESTRINGIDO"), 0, B503)</f>
        <v/>
      </c>
      <c r="C614" s="189">
        <f>IF(OR($N540="RESTRINGIDO", $N514="RESTRINGIDO"), 0, C503)</f>
        <v/>
      </c>
      <c r="D614" s="189">
        <f>IF(OR($N540="RESTRINGIDO", $N515="RESTRINGIDO"), 0, D503)</f>
        <v/>
      </c>
      <c r="E614" s="189">
        <f>IF(OR($N540="RESTRINGIDO", $N516="RESTRINGIDO"), 0, E503)</f>
        <v/>
      </c>
      <c r="F614" s="189">
        <f>IF(OR($N540="RESTRINGIDO", $N517="RESTRINGIDO"), 0, F503)</f>
        <v/>
      </c>
      <c r="G614" s="189">
        <f>IF(OR($N540="RESTRINGIDO", $N518="RESTRINGIDO"), 0, G503)</f>
        <v/>
      </c>
      <c r="H614" s="189">
        <f>IF(OR($N540="RESTRINGIDO", $N519="RESTRINGIDO"), 0, H503)</f>
        <v/>
      </c>
      <c r="I614" s="189">
        <f>IF(OR($N540="RESTRINGIDO", $N520="RESTRINGIDO"), 0, I503)</f>
        <v/>
      </c>
      <c r="J614" s="189">
        <f>IF(OR($N540="RESTRINGIDO", $N521="RESTRINGIDO"), 0, J503)</f>
        <v/>
      </c>
      <c r="K614" s="189">
        <f>IF(OR($N540="RESTRINGIDO", $N522="RESTRINGIDO"), 0, K503)</f>
        <v/>
      </c>
      <c r="L614" s="189">
        <f>IF(OR($N540="RESTRINGIDO", $N523="RESTRINGIDO"), 0, L503)</f>
        <v/>
      </c>
      <c r="M614" s="189">
        <f>IF(OR($N540="RESTRINGIDO", $N524="RESTRINGIDO"), 0, M503)</f>
        <v/>
      </c>
      <c r="N614" s="189">
        <f>IF(OR($N540="RESTRINGIDO", $N525="RESTRINGIDO"), 0, N503)</f>
        <v/>
      </c>
      <c r="O614" s="189">
        <f>IF(OR($N540="RESTRINGIDO", $N526="RESTRINGIDO"), 0, O503)</f>
        <v/>
      </c>
      <c r="P614" s="189">
        <f>IF(OR($N540="RESTRINGIDO", $N527="RESTRINGIDO"), 0, P503)</f>
        <v/>
      </c>
      <c r="Q614" s="189">
        <f>IF(OR($N540="RESTRINGIDO", $N528="RESTRINGIDO"), 0, Q503)</f>
        <v/>
      </c>
      <c r="R614" s="189">
        <f>IF(OR($N540="RESTRINGIDO", $N529="RESTRINGIDO"), 0, R503)</f>
        <v/>
      </c>
      <c r="S614" s="189">
        <f>IF(OR($N540="RESTRINGIDO", $N530="RESTRINGIDO"), 0, S503)</f>
        <v/>
      </c>
      <c r="T614" s="189">
        <f>IF(OR($N540="RESTRINGIDO", $N531="RESTRINGIDO"), 0, T503)</f>
        <v/>
      </c>
      <c r="U614" s="189">
        <f>IF(OR($N540="RESTRINGIDO", $N532="RESTRINGIDO"), 0, U503)</f>
        <v/>
      </c>
      <c r="V614" s="189">
        <f>IF(OR($N540="RESTRINGIDO", $N533="RESTRINGIDO"), 0, V503)</f>
        <v/>
      </c>
      <c r="W614" s="189">
        <f>IF(OR($N540="RESTRINGIDO", $N534="RESTRINGIDO"), 0, W503)</f>
        <v/>
      </c>
      <c r="X614" s="189">
        <f>IF(OR($N540="RESTRINGIDO", $N535="RESTRINGIDO"), 0, X503)</f>
        <v/>
      </c>
      <c r="Y614" s="189">
        <f>IF(OR($N540="RESTRINGIDO", $N536="RESTRINGIDO"), 0, Y503)</f>
        <v/>
      </c>
      <c r="Z614" s="189">
        <f>IF(OR($N540="RESTRINGIDO", $N537="RESTRINGIDO"), 0, Z503)</f>
        <v/>
      </c>
      <c r="AA614" s="189">
        <f>IF(OR($N540="RESTRINGIDO", $N538="RESTRINGIDO"), 0, AA503)</f>
        <v/>
      </c>
      <c r="AB614" s="189">
        <f>IF(OR($N540="RESTRINGIDO", $N539="RESTRINGIDO"), 0, AB503)</f>
        <v/>
      </c>
      <c r="AC614" s="189">
        <f>IF($N540="RESTRINGIDO", 1, IF(OR($N540="", $C503=""), 1, AC503))</f>
        <v/>
      </c>
      <c r="AD614" s="189">
        <f>IF(OR($N540="RESTRINGIDO", $N541="RESTRINGIDO"), 0, AD503)</f>
        <v/>
      </c>
      <c r="AE614" s="189">
        <f>IF(OR($N540="RESTRINGIDO", $N542="RESTRINGIDO"), 0, AE503)</f>
        <v/>
      </c>
      <c r="AF614" s="189">
        <f>IF(OR($N540="RESTRINGIDO", $N543="RESTRINGIDO"), 0, AF503)</f>
        <v/>
      </c>
      <c r="AG614" s="189">
        <f>IF(OR($N540="RESTRINGIDO", $N544="RESTRINGIDO"), 0, AG503)</f>
        <v/>
      </c>
      <c r="AH614" s="189">
        <f>IF(OR($N540="RESTRINGIDO", $N545="RESTRINGIDO"), 0, AH503)</f>
        <v/>
      </c>
      <c r="AJ614" s="189">
        <f>IF($N540="LIBRE", IF(ISNUMBER(E540), E540, 0), 0)</f>
        <v/>
      </c>
      <c r="AL614" s="188" t="n">
        <v>0</v>
      </c>
      <c r="AN614" s="188" t="n">
        <v>0</v>
      </c>
    </row>
    <row r="615">
      <c r="B615" s="189">
        <f>IF(OR($N541="RESTRINGIDO", $N513="RESTRINGIDO"), 0, B504)</f>
        <v/>
      </c>
      <c r="C615" s="189">
        <f>IF(OR($N541="RESTRINGIDO", $N514="RESTRINGIDO"), 0, C504)</f>
        <v/>
      </c>
      <c r="D615" s="189">
        <f>IF(OR($N541="RESTRINGIDO", $N515="RESTRINGIDO"), 0, D504)</f>
        <v/>
      </c>
      <c r="E615" s="189">
        <f>IF(OR($N541="RESTRINGIDO", $N516="RESTRINGIDO"), 0, E504)</f>
        <v/>
      </c>
      <c r="F615" s="189">
        <f>IF(OR($N541="RESTRINGIDO", $N517="RESTRINGIDO"), 0, F504)</f>
        <v/>
      </c>
      <c r="G615" s="189">
        <f>IF(OR($N541="RESTRINGIDO", $N518="RESTRINGIDO"), 0, G504)</f>
        <v/>
      </c>
      <c r="H615" s="189">
        <f>IF(OR($N541="RESTRINGIDO", $N519="RESTRINGIDO"), 0, H504)</f>
        <v/>
      </c>
      <c r="I615" s="189">
        <f>IF(OR($N541="RESTRINGIDO", $N520="RESTRINGIDO"), 0, I504)</f>
        <v/>
      </c>
      <c r="J615" s="189">
        <f>IF(OR($N541="RESTRINGIDO", $N521="RESTRINGIDO"), 0, J504)</f>
        <v/>
      </c>
      <c r="K615" s="189">
        <f>IF(OR($N541="RESTRINGIDO", $N522="RESTRINGIDO"), 0, K504)</f>
        <v/>
      </c>
      <c r="L615" s="189">
        <f>IF(OR($N541="RESTRINGIDO", $N523="RESTRINGIDO"), 0, L504)</f>
        <v/>
      </c>
      <c r="M615" s="189">
        <f>IF(OR($N541="RESTRINGIDO", $N524="RESTRINGIDO"), 0, M504)</f>
        <v/>
      </c>
      <c r="N615" s="189">
        <f>IF(OR($N541="RESTRINGIDO", $N525="RESTRINGIDO"), 0, N504)</f>
        <v/>
      </c>
      <c r="O615" s="189">
        <f>IF(OR($N541="RESTRINGIDO", $N526="RESTRINGIDO"), 0, O504)</f>
        <v/>
      </c>
      <c r="P615" s="189">
        <f>IF(OR($N541="RESTRINGIDO", $N527="RESTRINGIDO"), 0, P504)</f>
        <v/>
      </c>
      <c r="Q615" s="189">
        <f>IF(OR($N541="RESTRINGIDO", $N528="RESTRINGIDO"), 0, Q504)</f>
        <v/>
      </c>
      <c r="R615" s="189">
        <f>IF(OR($N541="RESTRINGIDO", $N529="RESTRINGIDO"), 0, R504)</f>
        <v/>
      </c>
      <c r="S615" s="189">
        <f>IF(OR($N541="RESTRINGIDO", $N530="RESTRINGIDO"), 0, S504)</f>
        <v/>
      </c>
      <c r="T615" s="189">
        <f>IF(OR($N541="RESTRINGIDO", $N531="RESTRINGIDO"), 0, T504)</f>
        <v/>
      </c>
      <c r="U615" s="189">
        <f>IF(OR($N541="RESTRINGIDO", $N532="RESTRINGIDO"), 0, U504)</f>
        <v/>
      </c>
      <c r="V615" s="189">
        <f>IF(OR($N541="RESTRINGIDO", $N533="RESTRINGIDO"), 0, V504)</f>
        <v/>
      </c>
      <c r="W615" s="189">
        <f>IF(OR($N541="RESTRINGIDO", $N534="RESTRINGIDO"), 0, W504)</f>
        <v/>
      </c>
      <c r="X615" s="189">
        <f>IF(OR($N541="RESTRINGIDO", $N535="RESTRINGIDO"), 0, X504)</f>
        <v/>
      </c>
      <c r="Y615" s="189">
        <f>IF(OR($N541="RESTRINGIDO", $N536="RESTRINGIDO"), 0, Y504)</f>
        <v/>
      </c>
      <c r="Z615" s="189">
        <f>IF(OR($N541="RESTRINGIDO", $N537="RESTRINGIDO"), 0, Z504)</f>
        <v/>
      </c>
      <c r="AA615" s="189">
        <f>IF(OR($N541="RESTRINGIDO", $N538="RESTRINGIDO"), 0, AA504)</f>
        <v/>
      </c>
      <c r="AB615" s="189">
        <f>IF(OR($N541="RESTRINGIDO", $N539="RESTRINGIDO"), 0, AB504)</f>
        <v/>
      </c>
      <c r="AC615" s="189">
        <f>IF(OR($N541="RESTRINGIDO", $N540="RESTRINGIDO"), 0, AC504)</f>
        <v/>
      </c>
      <c r="AD615" s="189">
        <f>IF($N541="RESTRINGIDO", 1, IF(OR($N541="", $C504=""), 1, AD504))</f>
        <v/>
      </c>
      <c r="AE615" s="189">
        <f>IF(OR($N541="RESTRINGIDO", $N542="RESTRINGIDO"), 0, AE504)</f>
        <v/>
      </c>
      <c r="AF615" s="189">
        <f>IF(OR($N541="RESTRINGIDO", $N543="RESTRINGIDO"), 0, AF504)</f>
        <v/>
      </c>
      <c r="AG615" s="189">
        <f>IF(OR($N541="RESTRINGIDO", $N544="RESTRINGIDO"), 0, AG504)</f>
        <v/>
      </c>
      <c r="AH615" s="189">
        <f>IF(OR($N541="RESTRINGIDO", $N545="RESTRINGIDO"), 0, AH504)</f>
        <v/>
      </c>
      <c r="AJ615" s="189">
        <f>IF($N541="LIBRE", IF(ISNUMBER(E541), E541, 0), 0)</f>
        <v/>
      </c>
      <c r="AL615" s="188" t="n">
        <v>0</v>
      </c>
      <c r="AN615" s="188" t="n">
        <v>0</v>
      </c>
    </row>
    <row r="616">
      <c r="B616" s="189">
        <f>IF(OR($N542="RESTRINGIDO", $N513="RESTRINGIDO"), 0, B505)</f>
        <v/>
      </c>
      <c r="C616" s="189">
        <f>IF(OR($N542="RESTRINGIDO", $N514="RESTRINGIDO"), 0, C505)</f>
        <v/>
      </c>
      <c r="D616" s="189">
        <f>IF(OR($N542="RESTRINGIDO", $N515="RESTRINGIDO"), 0, D505)</f>
        <v/>
      </c>
      <c r="E616" s="189">
        <f>IF(OR($N542="RESTRINGIDO", $N516="RESTRINGIDO"), 0, E505)</f>
        <v/>
      </c>
      <c r="F616" s="189">
        <f>IF(OR($N542="RESTRINGIDO", $N517="RESTRINGIDO"), 0, F505)</f>
        <v/>
      </c>
      <c r="G616" s="189">
        <f>IF(OR($N542="RESTRINGIDO", $N518="RESTRINGIDO"), 0, G505)</f>
        <v/>
      </c>
      <c r="H616" s="189">
        <f>IF(OR($N542="RESTRINGIDO", $N519="RESTRINGIDO"), 0, H505)</f>
        <v/>
      </c>
      <c r="I616" s="189">
        <f>IF(OR($N542="RESTRINGIDO", $N520="RESTRINGIDO"), 0, I505)</f>
        <v/>
      </c>
      <c r="J616" s="189">
        <f>IF(OR($N542="RESTRINGIDO", $N521="RESTRINGIDO"), 0, J505)</f>
        <v/>
      </c>
      <c r="K616" s="189">
        <f>IF(OR($N542="RESTRINGIDO", $N522="RESTRINGIDO"), 0, K505)</f>
        <v/>
      </c>
      <c r="L616" s="189">
        <f>IF(OR($N542="RESTRINGIDO", $N523="RESTRINGIDO"), 0, L505)</f>
        <v/>
      </c>
      <c r="M616" s="189">
        <f>IF(OR($N542="RESTRINGIDO", $N524="RESTRINGIDO"), 0, M505)</f>
        <v/>
      </c>
      <c r="N616" s="189">
        <f>IF(OR($N542="RESTRINGIDO", $N525="RESTRINGIDO"), 0, N505)</f>
        <v/>
      </c>
      <c r="O616" s="189">
        <f>IF(OR($N542="RESTRINGIDO", $N526="RESTRINGIDO"), 0, O505)</f>
        <v/>
      </c>
      <c r="P616" s="189">
        <f>IF(OR($N542="RESTRINGIDO", $N527="RESTRINGIDO"), 0, P505)</f>
        <v/>
      </c>
      <c r="Q616" s="189">
        <f>IF(OR($N542="RESTRINGIDO", $N528="RESTRINGIDO"), 0, Q505)</f>
        <v/>
      </c>
      <c r="R616" s="189">
        <f>IF(OR($N542="RESTRINGIDO", $N529="RESTRINGIDO"), 0, R505)</f>
        <v/>
      </c>
      <c r="S616" s="189">
        <f>IF(OR($N542="RESTRINGIDO", $N530="RESTRINGIDO"), 0, S505)</f>
        <v/>
      </c>
      <c r="T616" s="189">
        <f>IF(OR($N542="RESTRINGIDO", $N531="RESTRINGIDO"), 0, T505)</f>
        <v/>
      </c>
      <c r="U616" s="189">
        <f>IF(OR($N542="RESTRINGIDO", $N532="RESTRINGIDO"), 0, U505)</f>
        <v/>
      </c>
      <c r="V616" s="189">
        <f>IF(OR($N542="RESTRINGIDO", $N533="RESTRINGIDO"), 0, V505)</f>
        <v/>
      </c>
      <c r="W616" s="189">
        <f>IF(OR($N542="RESTRINGIDO", $N534="RESTRINGIDO"), 0, W505)</f>
        <v/>
      </c>
      <c r="X616" s="189">
        <f>IF(OR($N542="RESTRINGIDO", $N535="RESTRINGIDO"), 0, X505)</f>
        <v/>
      </c>
      <c r="Y616" s="189">
        <f>IF(OR($N542="RESTRINGIDO", $N536="RESTRINGIDO"), 0, Y505)</f>
        <v/>
      </c>
      <c r="Z616" s="189">
        <f>IF(OR($N542="RESTRINGIDO", $N537="RESTRINGIDO"), 0, Z505)</f>
        <v/>
      </c>
      <c r="AA616" s="189">
        <f>IF(OR($N542="RESTRINGIDO", $N538="RESTRINGIDO"), 0, AA505)</f>
        <v/>
      </c>
      <c r="AB616" s="189">
        <f>IF(OR($N542="RESTRINGIDO", $N539="RESTRINGIDO"), 0, AB505)</f>
        <v/>
      </c>
      <c r="AC616" s="189">
        <f>IF(OR($N542="RESTRINGIDO", $N540="RESTRINGIDO"), 0, AC505)</f>
        <v/>
      </c>
      <c r="AD616" s="189">
        <f>IF(OR($N542="RESTRINGIDO", $N541="RESTRINGIDO"), 0, AD505)</f>
        <v/>
      </c>
      <c r="AE616" s="189">
        <f>IF($N542="RESTRINGIDO", 1, IF(OR($N542="", $C505=""), 1, AE505))</f>
        <v/>
      </c>
      <c r="AF616" s="189">
        <f>IF(OR($N542="RESTRINGIDO", $N543="RESTRINGIDO"), 0, AF505)</f>
        <v/>
      </c>
      <c r="AG616" s="189">
        <f>IF(OR($N542="RESTRINGIDO", $N544="RESTRINGIDO"), 0, AG505)</f>
        <v/>
      </c>
      <c r="AH616" s="189">
        <f>IF(OR($N542="RESTRINGIDO", $N545="RESTRINGIDO"), 0, AH505)</f>
        <v/>
      </c>
      <c r="AJ616" s="189">
        <f>IF($N542="LIBRE", IF(ISNUMBER(E542), E542, 0), 0)</f>
        <v/>
      </c>
      <c r="AL616" s="188" t="n">
        <v>0</v>
      </c>
      <c r="AN616" s="188" t="n">
        <v>0</v>
      </c>
    </row>
    <row r="617">
      <c r="B617" s="189">
        <f>IF(OR($N543="RESTRINGIDO", $N513="RESTRINGIDO"), 0, B506)</f>
        <v/>
      </c>
      <c r="C617" s="189">
        <f>IF(OR($N543="RESTRINGIDO", $N514="RESTRINGIDO"), 0, C506)</f>
        <v/>
      </c>
      <c r="D617" s="189">
        <f>IF(OR($N543="RESTRINGIDO", $N515="RESTRINGIDO"), 0, D506)</f>
        <v/>
      </c>
      <c r="E617" s="189">
        <f>IF(OR($N543="RESTRINGIDO", $N516="RESTRINGIDO"), 0, E506)</f>
        <v/>
      </c>
      <c r="F617" s="189">
        <f>IF(OR($N543="RESTRINGIDO", $N517="RESTRINGIDO"), 0, F506)</f>
        <v/>
      </c>
      <c r="G617" s="189">
        <f>IF(OR($N543="RESTRINGIDO", $N518="RESTRINGIDO"), 0, G506)</f>
        <v/>
      </c>
      <c r="H617" s="189">
        <f>IF(OR($N543="RESTRINGIDO", $N519="RESTRINGIDO"), 0, H506)</f>
        <v/>
      </c>
      <c r="I617" s="189">
        <f>IF(OR($N543="RESTRINGIDO", $N520="RESTRINGIDO"), 0, I506)</f>
        <v/>
      </c>
      <c r="J617" s="189">
        <f>IF(OR($N543="RESTRINGIDO", $N521="RESTRINGIDO"), 0, J506)</f>
        <v/>
      </c>
      <c r="K617" s="189">
        <f>IF(OR($N543="RESTRINGIDO", $N522="RESTRINGIDO"), 0, K506)</f>
        <v/>
      </c>
      <c r="L617" s="189">
        <f>IF(OR($N543="RESTRINGIDO", $N523="RESTRINGIDO"), 0, L506)</f>
        <v/>
      </c>
      <c r="M617" s="189">
        <f>IF(OR($N543="RESTRINGIDO", $N524="RESTRINGIDO"), 0, M506)</f>
        <v/>
      </c>
      <c r="N617" s="189">
        <f>IF(OR($N543="RESTRINGIDO", $N525="RESTRINGIDO"), 0, N506)</f>
        <v/>
      </c>
      <c r="O617" s="189">
        <f>IF(OR($N543="RESTRINGIDO", $N526="RESTRINGIDO"), 0, O506)</f>
        <v/>
      </c>
      <c r="P617" s="189">
        <f>IF(OR($N543="RESTRINGIDO", $N527="RESTRINGIDO"), 0, P506)</f>
        <v/>
      </c>
      <c r="Q617" s="189">
        <f>IF(OR($N543="RESTRINGIDO", $N528="RESTRINGIDO"), 0, Q506)</f>
        <v/>
      </c>
      <c r="R617" s="189">
        <f>IF(OR($N543="RESTRINGIDO", $N529="RESTRINGIDO"), 0, R506)</f>
        <v/>
      </c>
      <c r="S617" s="189">
        <f>IF(OR($N543="RESTRINGIDO", $N530="RESTRINGIDO"), 0, S506)</f>
        <v/>
      </c>
      <c r="T617" s="189">
        <f>IF(OR($N543="RESTRINGIDO", $N531="RESTRINGIDO"), 0, T506)</f>
        <v/>
      </c>
      <c r="U617" s="189">
        <f>IF(OR($N543="RESTRINGIDO", $N532="RESTRINGIDO"), 0, U506)</f>
        <v/>
      </c>
      <c r="V617" s="189">
        <f>IF(OR($N543="RESTRINGIDO", $N533="RESTRINGIDO"), 0, V506)</f>
        <v/>
      </c>
      <c r="W617" s="189">
        <f>IF(OR($N543="RESTRINGIDO", $N534="RESTRINGIDO"), 0, W506)</f>
        <v/>
      </c>
      <c r="X617" s="189">
        <f>IF(OR($N543="RESTRINGIDO", $N535="RESTRINGIDO"), 0, X506)</f>
        <v/>
      </c>
      <c r="Y617" s="189">
        <f>IF(OR($N543="RESTRINGIDO", $N536="RESTRINGIDO"), 0, Y506)</f>
        <v/>
      </c>
      <c r="Z617" s="189">
        <f>IF(OR($N543="RESTRINGIDO", $N537="RESTRINGIDO"), 0, Z506)</f>
        <v/>
      </c>
      <c r="AA617" s="189">
        <f>IF(OR($N543="RESTRINGIDO", $N538="RESTRINGIDO"), 0, AA506)</f>
        <v/>
      </c>
      <c r="AB617" s="189">
        <f>IF(OR($N543="RESTRINGIDO", $N539="RESTRINGIDO"), 0, AB506)</f>
        <v/>
      </c>
      <c r="AC617" s="189">
        <f>IF(OR($N543="RESTRINGIDO", $N540="RESTRINGIDO"), 0, AC506)</f>
        <v/>
      </c>
      <c r="AD617" s="189">
        <f>IF(OR($N543="RESTRINGIDO", $N541="RESTRINGIDO"), 0, AD506)</f>
        <v/>
      </c>
      <c r="AE617" s="189">
        <f>IF(OR($N543="RESTRINGIDO", $N542="RESTRINGIDO"), 0, AE506)</f>
        <v/>
      </c>
      <c r="AF617" s="189">
        <f>IF($N543="RESTRINGIDO", 1, IF(OR($N543="", $C506=""), 1, AF506))</f>
        <v/>
      </c>
      <c r="AG617" s="189">
        <f>IF(OR($N543="RESTRINGIDO", $N544="RESTRINGIDO"), 0, AG506)</f>
        <v/>
      </c>
      <c r="AH617" s="189">
        <f>IF(OR($N543="RESTRINGIDO", $N545="RESTRINGIDO"), 0, AH506)</f>
        <v/>
      </c>
      <c r="AJ617" s="189">
        <f>IF($N543="LIBRE", IF(ISNUMBER(E543), E543, 0), 0)</f>
        <v/>
      </c>
      <c r="AL617" s="188" t="n">
        <v>0</v>
      </c>
      <c r="AN617" s="188" t="n">
        <v>0</v>
      </c>
    </row>
    <row r="618">
      <c r="B618" s="189">
        <f>IF(OR($N544="RESTRINGIDO", $N513="RESTRINGIDO"), 0, B507)</f>
        <v/>
      </c>
      <c r="C618" s="189">
        <f>IF(OR($N544="RESTRINGIDO", $N514="RESTRINGIDO"), 0, C507)</f>
        <v/>
      </c>
      <c r="D618" s="189">
        <f>IF(OR($N544="RESTRINGIDO", $N515="RESTRINGIDO"), 0, D507)</f>
        <v/>
      </c>
      <c r="E618" s="189">
        <f>IF(OR($N544="RESTRINGIDO", $N516="RESTRINGIDO"), 0, E507)</f>
        <v/>
      </c>
      <c r="F618" s="189">
        <f>IF(OR($N544="RESTRINGIDO", $N517="RESTRINGIDO"), 0, F507)</f>
        <v/>
      </c>
      <c r="G618" s="189">
        <f>IF(OR($N544="RESTRINGIDO", $N518="RESTRINGIDO"), 0, G507)</f>
        <v/>
      </c>
      <c r="H618" s="189">
        <f>IF(OR($N544="RESTRINGIDO", $N519="RESTRINGIDO"), 0, H507)</f>
        <v/>
      </c>
      <c r="I618" s="189">
        <f>IF(OR($N544="RESTRINGIDO", $N520="RESTRINGIDO"), 0, I507)</f>
        <v/>
      </c>
      <c r="J618" s="189">
        <f>IF(OR($N544="RESTRINGIDO", $N521="RESTRINGIDO"), 0, J507)</f>
        <v/>
      </c>
      <c r="K618" s="189">
        <f>IF(OR($N544="RESTRINGIDO", $N522="RESTRINGIDO"), 0, K507)</f>
        <v/>
      </c>
      <c r="L618" s="189">
        <f>IF(OR($N544="RESTRINGIDO", $N523="RESTRINGIDO"), 0, L507)</f>
        <v/>
      </c>
      <c r="M618" s="189">
        <f>IF(OR($N544="RESTRINGIDO", $N524="RESTRINGIDO"), 0, M507)</f>
        <v/>
      </c>
      <c r="N618" s="189">
        <f>IF(OR($N544="RESTRINGIDO", $N525="RESTRINGIDO"), 0, N507)</f>
        <v/>
      </c>
      <c r="O618" s="189">
        <f>IF(OR($N544="RESTRINGIDO", $N526="RESTRINGIDO"), 0, O507)</f>
        <v/>
      </c>
      <c r="P618" s="189">
        <f>IF(OR($N544="RESTRINGIDO", $N527="RESTRINGIDO"), 0, P507)</f>
        <v/>
      </c>
      <c r="Q618" s="189">
        <f>IF(OR($N544="RESTRINGIDO", $N528="RESTRINGIDO"), 0, Q507)</f>
        <v/>
      </c>
      <c r="R618" s="189">
        <f>IF(OR($N544="RESTRINGIDO", $N529="RESTRINGIDO"), 0, R507)</f>
        <v/>
      </c>
      <c r="S618" s="189">
        <f>IF(OR($N544="RESTRINGIDO", $N530="RESTRINGIDO"), 0, S507)</f>
        <v/>
      </c>
      <c r="T618" s="189">
        <f>IF(OR($N544="RESTRINGIDO", $N531="RESTRINGIDO"), 0, T507)</f>
        <v/>
      </c>
      <c r="U618" s="189">
        <f>IF(OR($N544="RESTRINGIDO", $N532="RESTRINGIDO"), 0, U507)</f>
        <v/>
      </c>
      <c r="V618" s="189">
        <f>IF(OR($N544="RESTRINGIDO", $N533="RESTRINGIDO"), 0, V507)</f>
        <v/>
      </c>
      <c r="W618" s="189">
        <f>IF(OR($N544="RESTRINGIDO", $N534="RESTRINGIDO"), 0, W507)</f>
        <v/>
      </c>
      <c r="X618" s="189">
        <f>IF(OR($N544="RESTRINGIDO", $N535="RESTRINGIDO"), 0, X507)</f>
        <v/>
      </c>
      <c r="Y618" s="189">
        <f>IF(OR($N544="RESTRINGIDO", $N536="RESTRINGIDO"), 0, Y507)</f>
        <v/>
      </c>
      <c r="Z618" s="189">
        <f>IF(OR($N544="RESTRINGIDO", $N537="RESTRINGIDO"), 0, Z507)</f>
        <v/>
      </c>
      <c r="AA618" s="189">
        <f>IF(OR($N544="RESTRINGIDO", $N538="RESTRINGIDO"), 0, AA507)</f>
        <v/>
      </c>
      <c r="AB618" s="189">
        <f>IF(OR($N544="RESTRINGIDO", $N539="RESTRINGIDO"), 0, AB507)</f>
        <v/>
      </c>
      <c r="AC618" s="189">
        <f>IF(OR($N544="RESTRINGIDO", $N540="RESTRINGIDO"), 0, AC507)</f>
        <v/>
      </c>
      <c r="AD618" s="189">
        <f>IF(OR($N544="RESTRINGIDO", $N541="RESTRINGIDO"), 0, AD507)</f>
        <v/>
      </c>
      <c r="AE618" s="189">
        <f>IF(OR($N544="RESTRINGIDO", $N542="RESTRINGIDO"), 0, AE507)</f>
        <v/>
      </c>
      <c r="AF618" s="189">
        <f>IF(OR($N544="RESTRINGIDO", $N543="RESTRINGIDO"), 0, AF507)</f>
        <v/>
      </c>
      <c r="AG618" s="189">
        <f>IF($N544="RESTRINGIDO", 1, IF(OR($N544="", $C507=""), 1, AG507))</f>
        <v/>
      </c>
      <c r="AH618" s="189">
        <f>IF(OR($N544="RESTRINGIDO", $N545="RESTRINGIDO"), 0, AH507)</f>
        <v/>
      </c>
      <c r="AJ618" s="189">
        <f>IF($N544="LIBRE", IF(ISNUMBER(E544), E544, 0), 0)</f>
        <v/>
      </c>
      <c r="AL618" s="188" t="n">
        <v>0</v>
      </c>
      <c r="AN618" s="188" t="n">
        <v>0</v>
      </c>
    </row>
    <row r="619">
      <c r="B619" s="189">
        <f>IF(OR($N545="RESTRINGIDO", $N513="RESTRINGIDO"), 0, B508)</f>
        <v/>
      </c>
      <c r="C619" s="189">
        <f>IF(OR($N545="RESTRINGIDO", $N514="RESTRINGIDO"), 0, C508)</f>
        <v/>
      </c>
      <c r="D619" s="189">
        <f>IF(OR($N545="RESTRINGIDO", $N515="RESTRINGIDO"), 0, D508)</f>
        <v/>
      </c>
      <c r="E619" s="189">
        <f>IF(OR($N545="RESTRINGIDO", $N516="RESTRINGIDO"), 0, E508)</f>
        <v/>
      </c>
      <c r="F619" s="189">
        <f>IF(OR($N545="RESTRINGIDO", $N517="RESTRINGIDO"), 0, F508)</f>
        <v/>
      </c>
      <c r="G619" s="189">
        <f>IF(OR($N545="RESTRINGIDO", $N518="RESTRINGIDO"), 0, G508)</f>
        <v/>
      </c>
      <c r="H619" s="189">
        <f>IF(OR($N545="RESTRINGIDO", $N519="RESTRINGIDO"), 0, H508)</f>
        <v/>
      </c>
      <c r="I619" s="189">
        <f>IF(OR($N545="RESTRINGIDO", $N520="RESTRINGIDO"), 0, I508)</f>
        <v/>
      </c>
      <c r="J619" s="189">
        <f>IF(OR($N545="RESTRINGIDO", $N521="RESTRINGIDO"), 0, J508)</f>
        <v/>
      </c>
      <c r="K619" s="189">
        <f>IF(OR($N545="RESTRINGIDO", $N522="RESTRINGIDO"), 0, K508)</f>
        <v/>
      </c>
      <c r="L619" s="189">
        <f>IF(OR($N545="RESTRINGIDO", $N523="RESTRINGIDO"), 0, L508)</f>
        <v/>
      </c>
      <c r="M619" s="189">
        <f>IF(OR($N545="RESTRINGIDO", $N524="RESTRINGIDO"), 0, M508)</f>
        <v/>
      </c>
      <c r="N619" s="189">
        <f>IF(OR($N545="RESTRINGIDO", $N525="RESTRINGIDO"), 0, N508)</f>
        <v/>
      </c>
      <c r="O619" s="189">
        <f>IF(OR($N545="RESTRINGIDO", $N526="RESTRINGIDO"), 0, O508)</f>
        <v/>
      </c>
      <c r="P619" s="189">
        <f>IF(OR($N545="RESTRINGIDO", $N527="RESTRINGIDO"), 0, P508)</f>
        <v/>
      </c>
      <c r="Q619" s="189">
        <f>IF(OR($N545="RESTRINGIDO", $N528="RESTRINGIDO"), 0, Q508)</f>
        <v/>
      </c>
      <c r="R619" s="189">
        <f>IF(OR($N545="RESTRINGIDO", $N529="RESTRINGIDO"), 0, R508)</f>
        <v/>
      </c>
      <c r="S619" s="189">
        <f>IF(OR($N545="RESTRINGIDO", $N530="RESTRINGIDO"), 0, S508)</f>
        <v/>
      </c>
      <c r="T619" s="189">
        <f>IF(OR($N545="RESTRINGIDO", $N531="RESTRINGIDO"), 0, T508)</f>
        <v/>
      </c>
      <c r="U619" s="189">
        <f>IF(OR($N545="RESTRINGIDO", $N532="RESTRINGIDO"), 0, U508)</f>
        <v/>
      </c>
      <c r="V619" s="189">
        <f>IF(OR($N545="RESTRINGIDO", $N533="RESTRINGIDO"), 0, V508)</f>
        <v/>
      </c>
      <c r="W619" s="189">
        <f>IF(OR($N545="RESTRINGIDO", $N534="RESTRINGIDO"), 0, W508)</f>
        <v/>
      </c>
      <c r="X619" s="189">
        <f>IF(OR($N545="RESTRINGIDO", $N535="RESTRINGIDO"), 0, X508)</f>
        <v/>
      </c>
      <c r="Y619" s="189">
        <f>IF(OR($N545="RESTRINGIDO", $N536="RESTRINGIDO"), 0, Y508)</f>
        <v/>
      </c>
      <c r="Z619" s="189">
        <f>IF(OR($N545="RESTRINGIDO", $N537="RESTRINGIDO"), 0, Z508)</f>
        <v/>
      </c>
      <c r="AA619" s="189">
        <f>IF(OR($N545="RESTRINGIDO", $N538="RESTRINGIDO"), 0, AA508)</f>
        <v/>
      </c>
      <c r="AB619" s="189">
        <f>IF(OR($N545="RESTRINGIDO", $N539="RESTRINGIDO"), 0, AB508)</f>
        <v/>
      </c>
      <c r="AC619" s="189">
        <f>IF(OR($N545="RESTRINGIDO", $N540="RESTRINGIDO"), 0, AC508)</f>
        <v/>
      </c>
      <c r="AD619" s="189">
        <f>IF(OR($N545="RESTRINGIDO", $N541="RESTRINGIDO"), 0, AD508)</f>
        <v/>
      </c>
      <c r="AE619" s="189">
        <f>IF(OR($N545="RESTRINGIDO", $N542="RESTRINGIDO"), 0, AE508)</f>
        <v/>
      </c>
      <c r="AF619" s="189">
        <f>IF(OR($N545="RESTRINGIDO", $N543="RESTRINGIDO"), 0, AF508)</f>
        <v/>
      </c>
      <c r="AG619" s="189">
        <f>IF(OR($N545="RESTRINGIDO", $N544="RESTRINGIDO"), 0, AG508)</f>
        <v/>
      </c>
      <c r="AH619" s="189">
        <f>IF($N545="RESTRINGIDO", 1, IF(OR($N545="", $C508=""), 1, AH508))</f>
        <v/>
      </c>
      <c r="AJ619" s="189">
        <f>IF($N545="LIBRE", IF(ISNUMBER(E545), E545, 0), 0)</f>
        <v/>
      </c>
      <c r="AL619" s="188" t="n">
        <v>0</v>
      </c>
      <c r="AN619" s="188" t="n">
        <v>0</v>
      </c>
    </row>
    <row r="624">
      <c r="B624" s="53" t="inlineStr">
        <is>
          <t>RESUMEN DE DESPLAZAMIENTOS</t>
        </is>
      </c>
      <c r="C624" s="190" t="n"/>
      <c r="D624" s="190" t="n"/>
      <c r="E624" s="190" t="n"/>
      <c r="F624" s="190" t="n"/>
      <c r="G624" s="191" t="n"/>
    </row>
    <row r="625" ht="26.4" customHeight="1" s="183">
      <c r="B625" s="58" t="inlineStr">
        <is>
          <t>Símbolo</t>
        </is>
      </c>
      <c r="C625" s="58" t="inlineStr">
        <is>
          <t>G.D.L.</t>
        </is>
      </c>
      <c r="D625" s="58" t="inlineStr">
        <is>
          <t>=</t>
        </is>
      </c>
      <c r="E625" s="58" t="inlineStr">
        <is>
          <t>Valor Calculado</t>
        </is>
      </c>
      <c r="F625" s="58" t="inlineStr">
        <is>
          <t>G.D.L.</t>
        </is>
      </c>
      <c r="G625" s="58" t="inlineStr">
        <is>
          <t>Unidad</t>
        </is>
      </c>
    </row>
    <row r="626">
      <c r="B626" s="11" t="inlineStr">
        <is>
          <t>D1X</t>
        </is>
      </c>
      <c r="C626" s="12" t="inlineStr">
        <is>
          <t>U1X</t>
        </is>
      </c>
      <c r="D626" s="187" t="inlineStr">
        <is>
          <t>=</t>
        </is>
      </c>
      <c r="E626" s="16">
        <f>IF(OR($G$4=0, 1&gt;$G$4), 0, IF(N513="RESTRINGIDO", 0, AL587))</f>
        <v/>
      </c>
      <c r="F626" s="12" t="inlineStr">
        <is>
          <t>U1X</t>
        </is>
      </c>
      <c r="G626" s="187" t="inlineStr">
        <is>
          <t>cm</t>
        </is>
      </c>
    </row>
    <row r="627">
      <c r="B627" s="11" t="inlineStr">
        <is>
          <t>D1Y</t>
        </is>
      </c>
      <c r="C627" s="12" t="inlineStr">
        <is>
          <t>U1Y</t>
        </is>
      </c>
      <c r="D627" s="187" t="inlineStr">
        <is>
          <t>=</t>
        </is>
      </c>
      <c r="E627" s="16">
        <f>IF(OR($G$4=0, 1&gt;$G$4), 0, IF(N514="RESTRINGIDO", 0, AL588))</f>
        <v/>
      </c>
      <c r="F627" s="12" t="inlineStr">
        <is>
          <t>U1Y</t>
        </is>
      </c>
      <c r="G627" s="187" t="inlineStr">
        <is>
          <t>cm</t>
        </is>
      </c>
    </row>
    <row r="628">
      <c r="B628" s="11" t="inlineStr">
        <is>
          <t>D1θ</t>
        </is>
      </c>
      <c r="C628" s="12" t="inlineStr">
        <is>
          <t>U1θ</t>
        </is>
      </c>
      <c r="D628" s="187" t="inlineStr">
        <is>
          <t>=</t>
        </is>
      </c>
      <c r="E628" s="16">
        <f>IF(OR($G$4=0, 1&gt;$G$4), 0, IF(N515="RESTRINGIDO", 0, AL589))</f>
        <v/>
      </c>
      <c r="F628" s="12" t="inlineStr">
        <is>
          <t>U1θ</t>
        </is>
      </c>
      <c r="G628" s="187" t="inlineStr">
        <is>
          <t>rad</t>
        </is>
      </c>
    </row>
    <row r="629">
      <c r="B629" s="11" t="inlineStr">
        <is>
          <t>D2X</t>
        </is>
      </c>
      <c r="C629" s="12" t="inlineStr">
        <is>
          <t>U2X</t>
        </is>
      </c>
      <c r="D629" s="187" t="inlineStr">
        <is>
          <t>=</t>
        </is>
      </c>
      <c r="E629" s="16">
        <f>IF(OR($G$4=0, 2&gt;$G$4), 0, IF(N516="RESTRINGIDO", 0, AL590))</f>
        <v/>
      </c>
      <c r="F629" s="12" t="inlineStr">
        <is>
          <t>U2X</t>
        </is>
      </c>
      <c r="G629" s="187" t="inlineStr">
        <is>
          <t>cm</t>
        </is>
      </c>
    </row>
    <row r="630">
      <c r="B630" s="11" t="inlineStr">
        <is>
          <t>D2Y</t>
        </is>
      </c>
      <c r="C630" s="12" t="inlineStr">
        <is>
          <t>U2Y</t>
        </is>
      </c>
      <c r="D630" s="187" t="inlineStr">
        <is>
          <t>=</t>
        </is>
      </c>
      <c r="E630" s="16">
        <f>IF(OR($G$4=0, 2&gt;$G$4), 0, IF(N517="RESTRINGIDO", 0, AL591))</f>
        <v/>
      </c>
      <c r="F630" s="12" t="inlineStr">
        <is>
          <t>U2Y</t>
        </is>
      </c>
      <c r="G630" s="187" t="inlineStr">
        <is>
          <t>cm</t>
        </is>
      </c>
    </row>
    <row r="631">
      <c r="B631" s="11" t="inlineStr">
        <is>
          <t>D2θ</t>
        </is>
      </c>
      <c r="C631" s="12" t="inlineStr">
        <is>
          <t>U2θ</t>
        </is>
      </c>
      <c r="D631" s="187" t="inlineStr">
        <is>
          <t>=</t>
        </is>
      </c>
      <c r="E631" s="16">
        <f>IF(OR($G$4=0, 2&gt;$G$4), 0, IF(N518="RESTRINGIDO", 0, AL592))</f>
        <v/>
      </c>
      <c r="F631" s="12" t="inlineStr">
        <is>
          <t>U2θ</t>
        </is>
      </c>
      <c r="G631" s="187" t="inlineStr">
        <is>
          <t>rad</t>
        </is>
      </c>
    </row>
    <row r="632">
      <c r="B632" s="11" t="inlineStr">
        <is>
          <t>D3X</t>
        </is>
      </c>
      <c r="C632" s="12" t="inlineStr">
        <is>
          <t>U3X</t>
        </is>
      </c>
      <c r="D632" s="187" t="inlineStr">
        <is>
          <t>=</t>
        </is>
      </c>
      <c r="E632" s="16">
        <f>IF(OR($G$4=0, 3&gt;$G$4), 0, IF(N519="RESTRINGIDO", 0, AL593))</f>
        <v/>
      </c>
      <c r="F632" s="12" t="inlineStr">
        <is>
          <t>U3X</t>
        </is>
      </c>
      <c r="G632" s="187" t="inlineStr">
        <is>
          <t>cm</t>
        </is>
      </c>
    </row>
    <row r="633">
      <c r="B633" s="11" t="inlineStr">
        <is>
          <t>D3Y</t>
        </is>
      </c>
      <c r="C633" s="12" t="inlineStr">
        <is>
          <t>U3Y</t>
        </is>
      </c>
      <c r="D633" s="187" t="inlineStr">
        <is>
          <t>=</t>
        </is>
      </c>
      <c r="E633" s="16">
        <f>IF(OR($G$4=0, 3&gt;$G$4), 0, IF(N520="RESTRINGIDO", 0, AL594))</f>
        <v/>
      </c>
      <c r="F633" s="12" t="inlineStr">
        <is>
          <t>U3Y</t>
        </is>
      </c>
      <c r="G633" s="187" t="inlineStr">
        <is>
          <t>cm</t>
        </is>
      </c>
    </row>
    <row r="634">
      <c r="B634" s="11" t="inlineStr">
        <is>
          <t>D3θ</t>
        </is>
      </c>
      <c r="C634" s="12" t="inlineStr">
        <is>
          <t>U3θ</t>
        </is>
      </c>
      <c r="D634" s="187" t="inlineStr">
        <is>
          <t>=</t>
        </is>
      </c>
      <c r="E634" s="16">
        <f>IF(OR($G$4=0, 3&gt;$G$4), 0, IF(N521="RESTRINGIDO", 0, AL595))</f>
        <v/>
      </c>
      <c r="F634" s="12" t="inlineStr">
        <is>
          <t>U3θ</t>
        </is>
      </c>
      <c r="G634" s="187" t="inlineStr">
        <is>
          <t>rad</t>
        </is>
      </c>
    </row>
    <row r="635">
      <c r="B635" s="11" t="inlineStr">
        <is>
          <t>D4X</t>
        </is>
      </c>
      <c r="C635" s="12" t="inlineStr">
        <is>
          <t>U4X</t>
        </is>
      </c>
      <c r="D635" s="187" t="inlineStr">
        <is>
          <t>=</t>
        </is>
      </c>
      <c r="E635" s="16">
        <f>IF(OR($G$4=0, 4&gt;$G$4), 0, IF(N522="RESTRINGIDO", 0, AL596))</f>
        <v/>
      </c>
      <c r="F635" s="12" t="inlineStr">
        <is>
          <t>U4X</t>
        </is>
      </c>
      <c r="G635" s="187" t="inlineStr">
        <is>
          <t>cm</t>
        </is>
      </c>
    </row>
    <row r="636">
      <c r="B636" s="11" t="inlineStr">
        <is>
          <t>D4Y</t>
        </is>
      </c>
      <c r="C636" s="12" t="inlineStr">
        <is>
          <t>U4Y</t>
        </is>
      </c>
      <c r="D636" s="187" t="inlineStr">
        <is>
          <t>=</t>
        </is>
      </c>
      <c r="E636" s="16">
        <f>IF(OR($G$4=0, 4&gt;$G$4), 0, IF(N523="RESTRINGIDO", 0, AL597))</f>
        <v/>
      </c>
      <c r="F636" s="12" t="inlineStr">
        <is>
          <t>U4Y</t>
        </is>
      </c>
      <c r="G636" s="187" t="inlineStr">
        <is>
          <t>cm</t>
        </is>
      </c>
    </row>
    <row r="637">
      <c r="B637" s="11" t="inlineStr">
        <is>
          <t>D4θ</t>
        </is>
      </c>
      <c r="C637" s="12" t="inlineStr">
        <is>
          <t>U4θ</t>
        </is>
      </c>
      <c r="D637" s="187" t="inlineStr">
        <is>
          <t>=</t>
        </is>
      </c>
      <c r="E637" s="16">
        <f>IF(OR($G$4=0, 4&gt;$G$4), 0, IF(N524="RESTRINGIDO", 0, AL598))</f>
        <v/>
      </c>
      <c r="F637" s="12" t="inlineStr">
        <is>
          <t>U4θ</t>
        </is>
      </c>
      <c r="G637" s="187" t="inlineStr">
        <is>
          <t>rad</t>
        </is>
      </c>
    </row>
    <row r="638">
      <c r="B638" s="11" t="inlineStr">
        <is>
          <t>D5X</t>
        </is>
      </c>
      <c r="C638" s="12" t="inlineStr">
        <is>
          <t>U5X</t>
        </is>
      </c>
      <c r="D638" s="187" t="inlineStr">
        <is>
          <t>=</t>
        </is>
      </c>
      <c r="E638" s="16">
        <f>IF(OR($G$4=0, 5&gt;$G$4), 0, IF(N525="RESTRINGIDO", 0, AL599))</f>
        <v/>
      </c>
      <c r="F638" s="12" t="inlineStr">
        <is>
          <t>U5X</t>
        </is>
      </c>
      <c r="G638" s="187" t="inlineStr">
        <is>
          <t>cm</t>
        </is>
      </c>
    </row>
    <row r="639">
      <c r="B639" s="11" t="inlineStr">
        <is>
          <t>D5Y</t>
        </is>
      </c>
      <c r="C639" s="12" t="inlineStr">
        <is>
          <t>U5Y</t>
        </is>
      </c>
      <c r="D639" s="187" t="inlineStr">
        <is>
          <t>=</t>
        </is>
      </c>
      <c r="E639" s="16">
        <f>IF(OR($G$4=0, 5&gt;$G$4), 0, IF(N526="RESTRINGIDO", 0, AL600))</f>
        <v/>
      </c>
      <c r="F639" s="12" t="inlineStr">
        <is>
          <t>U5Y</t>
        </is>
      </c>
      <c r="G639" s="187" t="inlineStr">
        <is>
          <t>cm</t>
        </is>
      </c>
    </row>
    <row r="640">
      <c r="B640" s="11" t="inlineStr">
        <is>
          <t>D5θ</t>
        </is>
      </c>
      <c r="C640" s="12" t="inlineStr">
        <is>
          <t>U5θ</t>
        </is>
      </c>
      <c r="D640" s="187" t="inlineStr">
        <is>
          <t>=</t>
        </is>
      </c>
      <c r="E640" s="16">
        <f>IF(OR($G$4=0, 5&gt;$G$4), 0, IF(N527="RESTRINGIDO", 0, AL601))</f>
        <v/>
      </c>
      <c r="F640" s="12" t="inlineStr">
        <is>
          <t>U5θ</t>
        </is>
      </c>
      <c r="G640" s="187" t="inlineStr">
        <is>
          <t>rad</t>
        </is>
      </c>
    </row>
    <row r="641">
      <c r="B641" s="11" t="inlineStr">
        <is>
          <t>D6X</t>
        </is>
      </c>
      <c r="C641" s="12" t="inlineStr">
        <is>
          <t>U6X</t>
        </is>
      </c>
      <c r="D641" s="187" t="inlineStr">
        <is>
          <t>=</t>
        </is>
      </c>
      <c r="E641" s="16">
        <f>IF(OR($G$4=0, 6&gt;$G$4), 0, IF(N528="RESTRINGIDO", 0, AL602))</f>
        <v/>
      </c>
      <c r="F641" s="12" t="inlineStr">
        <is>
          <t>U6X</t>
        </is>
      </c>
      <c r="G641" s="187" t="inlineStr">
        <is>
          <t>cm</t>
        </is>
      </c>
    </row>
    <row r="642">
      <c r="B642" s="11" t="inlineStr">
        <is>
          <t>D6Y</t>
        </is>
      </c>
      <c r="C642" s="12" t="inlineStr">
        <is>
          <t>U6Y</t>
        </is>
      </c>
      <c r="D642" s="187" t="inlineStr">
        <is>
          <t>=</t>
        </is>
      </c>
      <c r="E642" s="16">
        <f>IF(OR($G$4=0, 6&gt;$G$4), 0, IF(N529="RESTRINGIDO", 0, AL603))</f>
        <v/>
      </c>
      <c r="F642" s="12" t="inlineStr">
        <is>
          <t>U6Y</t>
        </is>
      </c>
      <c r="G642" s="187" t="inlineStr">
        <is>
          <t>cm</t>
        </is>
      </c>
    </row>
    <row r="643">
      <c r="B643" s="11" t="inlineStr">
        <is>
          <t>D6θ</t>
        </is>
      </c>
      <c r="C643" s="12" t="inlineStr">
        <is>
          <t>U6θ</t>
        </is>
      </c>
      <c r="D643" s="187" t="inlineStr">
        <is>
          <t>=</t>
        </is>
      </c>
      <c r="E643" s="16">
        <f>IF(OR($G$4=0, 6&gt;$G$4), 0, IF(N530="RESTRINGIDO", 0, AL604))</f>
        <v/>
      </c>
      <c r="F643" s="12" t="inlineStr">
        <is>
          <t>U6θ</t>
        </is>
      </c>
      <c r="G643" s="187" t="inlineStr">
        <is>
          <t>rad</t>
        </is>
      </c>
    </row>
    <row r="644">
      <c r="B644" s="11" t="inlineStr">
        <is>
          <t>D7X</t>
        </is>
      </c>
      <c r="C644" s="12" t="inlineStr">
        <is>
          <t>U7X</t>
        </is>
      </c>
      <c r="D644" s="187" t="inlineStr">
        <is>
          <t>=</t>
        </is>
      </c>
      <c r="E644" s="16">
        <f>IF(OR($G$4=0, 7&gt;$G$4), 0, IF(N531="RESTRINGIDO", 0, AL605))</f>
        <v/>
      </c>
      <c r="F644" s="12" t="inlineStr">
        <is>
          <t>U7X</t>
        </is>
      </c>
      <c r="G644" s="187" t="inlineStr">
        <is>
          <t>cm</t>
        </is>
      </c>
    </row>
    <row r="645">
      <c r="B645" s="11" t="inlineStr">
        <is>
          <t>D7Y</t>
        </is>
      </c>
      <c r="C645" s="12" t="inlineStr">
        <is>
          <t>U7Y</t>
        </is>
      </c>
      <c r="D645" s="187" t="inlineStr">
        <is>
          <t>=</t>
        </is>
      </c>
      <c r="E645" s="16">
        <f>IF(OR($G$4=0, 7&gt;$G$4), 0, IF(N532="RESTRINGIDO", 0, AL606))</f>
        <v/>
      </c>
      <c r="F645" s="12" t="inlineStr">
        <is>
          <t>U7Y</t>
        </is>
      </c>
      <c r="G645" s="187" t="inlineStr">
        <is>
          <t>cm</t>
        </is>
      </c>
    </row>
    <row r="646">
      <c r="B646" s="11" t="inlineStr">
        <is>
          <t>D7θ</t>
        </is>
      </c>
      <c r="C646" s="12" t="inlineStr">
        <is>
          <t>U7θ</t>
        </is>
      </c>
      <c r="D646" s="187" t="inlineStr">
        <is>
          <t>=</t>
        </is>
      </c>
      <c r="E646" s="16">
        <f>IF(OR($G$4=0, 7&gt;$G$4), 0, IF(N533="RESTRINGIDO", 0, AL607))</f>
        <v/>
      </c>
      <c r="F646" s="12" t="inlineStr">
        <is>
          <t>U7θ</t>
        </is>
      </c>
      <c r="G646" s="187" t="inlineStr">
        <is>
          <t>rad</t>
        </is>
      </c>
    </row>
    <row r="647">
      <c r="B647" s="11" t="inlineStr">
        <is>
          <t>D8X</t>
        </is>
      </c>
      <c r="C647" s="12" t="inlineStr">
        <is>
          <t>U8X</t>
        </is>
      </c>
      <c r="D647" s="187" t="inlineStr">
        <is>
          <t>=</t>
        </is>
      </c>
      <c r="E647" s="16">
        <f>IF(OR($G$4=0, 8&gt;$G$4), 0, IF(N534="RESTRINGIDO", 0, AL608))</f>
        <v/>
      </c>
      <c r="F647" s="12" t="inlineStr">
        <is>
          <t>U8X</t>
        </is>
      </c>
      <c r="G647" s="187" t="inlineStr">
        <is>
          <t>cm</t>
        </is>
      </c>
    </row>
    <row r="648">
      <c r="B648" s="11" t="inlineStr">
        <is>
          <t>D8Y</t>
        </is>
      </c>
      <c r="C648" s="12" t="inlineStr">
        <is>
          <t>U8Y</t>
        </is>
      </c>
      <c r="D648" s="187" t="inlineStr">
        <is>
          <t>=</t>
        </is>
      </c>
      <c r="E648" s="16">
        <f>IF(OR($G$4=0, 8&gt;$G$4), 0, IF(N535="RESTRINGIDO", 0, AL609))</f>
        <v/>
      </c>
      <c r="F648" s="12" t="inlineStr">
        <is>
          <t>U8Y</t>
        </is>
      </c>
      <c r="G648" s="187" t="inlineStr">
        <is>
          <t>cm</t>
        </is>
      </c>
    </row>
    <row r="649">
      <c r="B649" s="11" t="inlineStr">
        <is>
          <t>D8θ</t>
        </is>
      </c>
      <c r="C649" s="12" t="inlineStr">
        <is>
          <t>U8θ</t>
        </is>
      </c>
      <c r="D649" s="187" t="inlineStr">
        <is>
          <t>=</t>
        </is>
      </c>
      <c r="E649" s="16">
        <f>IF(OR($G$4=0, 8&gt;$G$4), 0, IF(N536="RESTRINGIDO", 0, AL610))</f>
        <v/>
      </c>
      <c r="F649" s="12" t="inlineStr">
        <is>
          <t>U8θ</t>
        </is>
      </c>
      <c r="G649" s="187" t="inlineStr">
        <is>
          <t>rad</t>
        </is>
      </c>
    </row>
    <row r="650">
      <c r="B650" s="11" t="inlineStr">
        <is>
          <t>D9X</t>
        </is>
      </c>
      <c r="C650" s="12" t="inlineStr">
        <is>
          <t>U9X</t>
        </is>
      </c>
      <c r="D650" s="187" t="inlineStr">
        <is>
          <t>=</t>
        </is>
      </c>
      <c r="E650" s="16">
        <f>IF(OR($G$4=0, 9&gt;$G$4), 0, IF(N537="RESTRINGIDO", 0, AL611))</f>
        <v/>
      </c>
      <c r="F650" s="12" t="inlineStr">
        <is>
          <t>U9X</t>
        </is>
      </c>
      <c r="G650" s="187" t="inlineStr">
        <is>
          <t>cm</t>
        </is>
      </c>
    </row>
    <row r="651">
      <c r="B651" s="11" t="inlineStr">
        <is>
          <t>D9Y</t>
        </is>
      </c>
      <c r="C651" s="12" t="inlineStr">
        <is>
          <t>U9Y</t>
        </is>
      </c>
      <c r="D651" s="187" t="inlineStr">
        <is>
          <t>=</t>
        </is>
      </c>
      <c r="E651" s="16">
        <f>IF(OR($G$4=0, 9&gt;$G$4), 0, IF(N538="RESTRINGIDO", 0, AL612))</f>
        <v/>
      </c>
      <c r="F651" s="12" t="inlineStr">
        <is>
          <t>U9Y</t>
        </is>
      </c>
      <c r="G651" s="187" t="inlineStr">
        <is>
          <t>cm</t>
        </is>
      </c>
    </row>
    <row r="652">
      <c r="B652" s="11" t="inlineStr">
        <is>
          <t>D9θ</t>
        </is>
      </c>
      <c r="C652" s="12" t="inlineStr">
        <is>
          <t>U9θ</t>
        </is>
      </c>
      <c r="D652" s="187" t="inlineStr">
        <is>
          <t>=</t>
        </is>
      </c>
      <c r="E652" s="16">
        <f>IF(OR($G$4=0, 9&gt;$G$4), 0, IF(N539="RESTRINGIDO", 0, AL613))</f>
        <v/>
      </c>
      <c r="F652" s="12" t="inlineStr">
        <is>
          <t>U9θ</t>
        </is>
      </c>
      <c r="G652" s="187" t="inlineStr">
        <is>
          <t>rad</t>
        </is>
      </c>
    </row>
    <row r="653">
      <c r="B653" s="11" t="inlineStr">
        <is>
          <t>D10X</t>
        </is>
      </c>
      <c r="C653" s="12" t="inlineStr">
        <is>
          <t>U10X</t>
        </is>
      </c>
      <c r="D653" s="187" t="inlineStr">
        <is>
          <t>=</t>
        </is>
      </c>
      <c r="E653" s="16">
        <f>IF(OR($G$4=0, 10&gt;$G$4), 0, IF(N540="RESTRINGIDO", 0, AL614))</f>
        <v/>
      </c>
      <c r="F653" s="12" t="inlineStr">
        <is>
          <t>U10X</t>
        </is>
      </c>
      <c r="G653" s="187" t="inlineStr">
        <is>
          <t>cm</t>
        </is>
      </c>
    </row>
    <row r="654">
      <c r="B654" s="11" t="inlineStr">
        <is>
          <t>D10Y</t>
        </is>
      </c>
      <c r="C654" s="12" t="inlineStr">
        <is>
          <t>U10Y</t>
        </is>
      </c>
      <c r="D654" s="187" t="inlineStr">
        <is>
          <t>=</t>
        </is>
      </c>
      <c r="E654" s="16">
        <f>IF(OR($G$4=0, 10&gt;$G$4), 0, IF(N541="RESTRINGIDO", 0, AL615))</f>
        <v/>
      </c>
      <c r="F654" s="12" t="inlineStr">
        <is>
          <t>U10Y</t>
        </is>
      </c>
      <c r="G654" s="187" t="inlineStr">
        <is>
          <t>cm</t>
        </is>
      </c>
    </row>
    <row r="655">
      <c r="B655" s="11" t="inlineStr">
        <is>
          <t>D10θ</t>
        </is>
      </c>
      <c r="C655" s="12" t="inlineStr">
        <is>
          <t>U10θ</t>
        </is>
      </c>
      <c r="D655" s="187" t="inlineStr">
        <is>
          <t>=</t>
        </is>
      </c>
      <c r="E655" s="16">
        <f>IF(OR($G$4=0, 10&gt;$G$4), 0, IF(N542="RESTRINGIDO", 0, AL616))</f>
        <v/>
      </c>
      <c r="F655" s="12" t="inlineStr">
        <is>
          <t>U10θ</t>
        </is>
      </c>
      <c r="G655" s="187" t="inlineStr">
        <is>
          <t>rad</t>
        </is>
      </c>
    </row>
    <row r="656">
      <c r="B656" s="11" t="inlineStr">
        <is>
          <t>D11X</t>
        </is>
      </c>
      <c r="C656" s="12" t="inlineStr">
        <is>
          <t>U11X</t>
        </is>
      </c>
      <c r="D656" s="187" t="inlineStr">
        <is>
          <t>=</t>
        </is>
      </c>
      <c r="E656" s="16">
        <f>IF(OR($G$4=0, 11&gt;$G$4), 0, IF(N543="RESTRINGIDO", 0, AL617))</f>
        <v/>
      </c>
      <c r="F656" s="12" t="inlineStr">
        <is>
          <t>U11X</t>
        </is>
      </c>
      <c r="G656" s="187" t="inlineStr">
        <is>
          <t>cm</t>
        </is>
      </c>
    </row>
    <row r="657">
      <c r="B657" s="11" t="inlineStr">
        <is>
          <t>D11Y</t>
        </is>
      </c>
      <c r="C657" s="12" t="inlineStr">
        <is>
          <t>U11Y</t>
        </is>
      </c>
      <c r="D657" s="187" t="inlineStr">
        <is>
          <t>=</t>
        </is>
      </c>
      <c r="E657" s="16">
        <f>IF(OR($G$4=0, 11&gt;$G$4), 0, IF(N544="RESTRINGIDO", 0, AL618))</f>
        <v/>
      </c>
      <c r="F657" s="12" t="inlineStr">
        <is>
          <t>U11Y</t>
        </is>
      </c>
      <c r="G657" s="187" t="inlineStr">
        <is>
          <t>cm</t>
        </is>
      </c>
    </row>
    <row r="658">
      <c r="B658" s="11" t="inlineStr">
        <is>
          <t>D11θ</t>
        </is>
      </c>
      <c r="C658" s="12" t="inlineStr">
        <is>
          <t>U11θ</t>
        </is>
      </c>
      <c r="D658" s="187" t="inlineStr">
        <is>
          <t>=</t>
        </is>
      </c>
      <c r="E658" s="16">
        <f>IF(OR($G$4=0, 11&gt;$G$4), 0, IF(N545="RESTRINGIDO", 0, AL619))</f>
        <v/>
      </c>
      <c r="F658" s="12" t="inlineStr">
        <is>
          <t>U11θ</t>
        </is>
      </c>
      <c r="G658" s="187" t="inlineStr">
        <is>
          <t>rad</t>
        </is>
      </c>
    </row>
    <row r="662">
      <c r="B662" s="53" t="inlineStr">
        <is>
          <t>RESUMEN DE REACCIONES EN LOS APOYOS</t>
        </is>
      </c>
      <c r="C662" s="190" t="n"/>
      <c r="D662" s="190" t="n"/>
      <c r="E662" s="190" t="n"/>
      <c r="F662" s="190" t="n"/>
      <c r="G662" s="190" t="n"/>
      <c r="H662" s="191" t="n"/>
    </row>
    <row r="663" ht="26.4" customHeight="1" s="183">
      <c r="B663" s="58" t="inlineStr">
        <is>
          <t>Símbolo</t>
        </is>
      </c>
      <c r="C663" s="58" t="inlineStr">
        <is>
          <t>G.D.L.</t>
        </is>
      </c>
      <c r="D663" s="58" t="inlineStr">
        <is>
          <t>=</t>
        </is>
      </c>
      <c r="E663" s="58" t="inlineStr">
        <is>
          <t>Valor Reacción</t>
        </is>
      </c>
      <c r="F663" s="58" t="inlineStr">
        <is>
          <t>G.D.L.</t>
        </is>
      </c>
      <c r="G663" s="58" t="inlineStr">
        <is>
          <t>Unidad</t>
        </is>
      </c>
      <c r="H663" s="58" t="inlineStr">
        <is>
          <t>Condición</t>
        </is>
      </c>
    </row>
    <row r="664" ht="26.4" customHeight="1" s="183">
      <c r="B664" s="11" t="inlineStr">
        <is>
          <t>R1X</t>
        </is>
      </c>
      <c r="C664" s="12" t="inlineStr">
        <is>
          <t>U1X</t>
        </is>
      </c>
      <c r="D664" s="187" t="inlineStr">
        <is>
          <t>=</t>
        </is>
      </c>
      <c r="E664" s="13">
        <f>IF(OR($G$4=0, 1&gt;$G$4), 0, IF(N513="RESTRINGIDO", AN587, 0))</f>
        <v/>
      </c>
      <c r="F664" s="12" t="inlineStr">
        <is>
          <t>U1X</t>
        </is>
      </c>
      <c r="G664" s="187" t="inlineStr">
        <is>
          <t>Kgf</t>
        </is>
      </c>
      <c r="H664" s="187">
        <f>N513</f>
        <v/>
      </c>
    </row>
    <row r="665" ht="26.4" customHeight="1" s="183">
      <c r="B665" s="11" t="inlineStr">
        <is>
          <t>R1Y</t>
        </is>
      </c>
      <c r="C665" s="12" t="inlineStr">
        <is>
          <t>U1Y</t>
        </is>
      </c>
      <c r="D665" s="187" t="inlineStr">
        <is>
          <t>=</t>
        </is>
      </c>
      <c r="E665" s="13">
        <f>IF(OR($G$4=0, 1&gt;$G$4), 0, IF(N514="RESTRINGIDO", AN588, 0))</f>
        <v/>
      </c>
      <c r="F665" s="12" t="inlineStr">
        <is>
          <t>U1Y</t>
        </is>
      </c>
      <c r="G665" s="187" t="inlineStr">
        <is>
          <t>Kgf</t>
        </is>
      </c>
      <c r="H665" s="187">
        <f>N514</f>
        <v/>
      </c>
    </row>
    <row r="666">
      <c r="B666" s="11" t="inlineStr">
        <is>
          <t>R1θ</t>
        </is>
      </c>
      <c r="C666" s="12" t="inlineStr">
        <is>
          <t>U1θ</t>
        </is>
      </c>
      <c r="D666" s="187" t="inlineStr">
        <is>
          <t>=</t>
        </is>
      </c>
      <c r="E666" s="13">
        <f>IF(OR($G$4=0, 1&gt;$G$4), 0, IF(N515="RESTRINGIDO", AN589, 0))</f>
        <v/>
      </c>
      <c r="F666" s="12" t="inlineStr">
        <is>
          <t>U1θ</t>
        </is>
      </c>
      <c r="G666" s="187" t="inlineStr">
        <is>
          <t>Kgf.cm</t>
        </is>
      </c>
      <c r="H666" s="187">
        <f>N515</f>
        <v/>
      </c>
    </row>
    <row r="667">
      <c r="B667" s="11" t="inlineStr">
        <is>
          <t>R2X</t>
        </is>
      </c>
      <c r="C667" s="12" t="inlineStr">
        <is>
          <t>U2X</t>
        </is>
      </c>
      <c r="D667" s="187" t="inlineStr">
        <is>
          <t>=</t>
        </is>
      </c>
      <c r="E667" s="13">
        <f>IF(OR($G$4=0, 2&gt;$G$4), 0, IF(N516="RESTRINGIDO", AN590, 0))</f>
        <v/>
      </c>
      <c r="F667" s="12" t="inlineStr">
        <is>
          <t>U2X</t>
        </is>
      </c>
      <c r="G667" s="187" t="inlineStr">
        <is>
          <t>Kgf</t>
        </is>
      </c>
      <c r="H667" s="187">
        <f>N516</f>
        <v/>
      </c>
    </row>
    <row r="668">
      <c r="B668" s="11" t="inlineStr">
        <is>
          <t>R2Y</t>
        </is>
      </c>
      <c r="C668" s="12" t="inlineStr">
        <is>
          <t>U2Y</t>
        </is>
      </c>
      <c r="D668" s="187" t="inlineStr">
        <is>
          <t>=</t>
        </is>
      </c>
      <c r="E668" s="13">
        <f>IF(OR($G$4=0, 2&gt;$G$4), 0, IF(N517="RESTRINGIDO", AN591, 0))</f>
        <v/>
      </c>
      <c r="F668" s="12" t="inlineStr">
        <is>
          <t>U2Y</t>
        </is>
      </c>
      <c r="G668" s="187" t="inlineStr">
        <is>
          <t>Kgf</t>
        </is>
      </c>
      <c r="H668" s="187">
        <f>N517</f>
        <v/>
      </c>
    </row>
    <row r="669">
      <c r="B669" s="11" t="inlineStr">
        <is>
          <t>R2θ</t>
        </is>
      </c>
      <c r="C669" s="12" t="inlineStr">
        <is>
          <t>U2θ</t>
        </is>
      </c>
      <c r="D669" s="187" t="inlineStr">
        <is>
          <t>=</t>
        </is>
      </c>
      <c r="E669" s="13">
        <f>IF(OR($G$4=0, 2&gt;$G$4), 0, IF(N518="RESTRINGIDO", AN592, 0))</f>
        <v/>
      </c>
      <c r="F669" s="12" t="inlineStr">
        <is>
          <t>U2θ</t>
        </is>
      </c>
      <c r="G669" s="187" t="inlineStr">
        <is>
          <t>Kgf.cm</t>
        </is>
      </c>
      <c r="H669" s="187">
        <f>N518</f>
        <v/>
      </c>
    </row>
    <row r="670">
      <c r="B670" s="11" t="inlineStr">
        <is>
          <t>R3X</t>
        </is>
      </c>
      <c r="C670" s="12" t="inlineStr">
        <is>
          <t>U3X</t>
        </is>
      </c>
      <c r="D670" s="187" t="inlineStr">
        <is>
          <t>=</t>
        </is>
      </c>
      <c r="E670" s="13">
        <f>IF(OR($G$4=0, 3&gt;$G$4), 0, IF(N519="RESTRINGIDO", AN593, 0))</f>
        <v/>
      </c>
      <c r="F670" s="12" t="inlineStr">
        <is>
          <t>U3X</t>
        </is>
      </c>
      <c r="G670" s="187" t="inlineStr">
        <is>
          <t>Kgf</t>
        </is>
      </c>
      <c r="H670" s="187">
        <f>N519</f>
        <v/>
      </c>
    </row>
    <row r="671" ht="26.4" customHeight="1" s="183">
      <c r="B671" s="11" t="inlineStr">
        <is>
          <t>R3Y</t>
        </is>
      </c>
      <c r="C671" s="12" t="inlineStr">
        <is>
          <t>U3Y</t>
        </is>
      </c>
      <c r="D671" s="187" t="inlineStr">
        <is>
          <t>=</t>
        </is>
      </c>
      <c r="E671" s="13">
        <f>IF(OR($G$4=0, 3&gt;$G$4), 0, IF(N520="RESTRINGIDO", AN594, 0))</f>
        <v/>
      </c>
      <c r="F671" s="12" t="inlineStr">
        <is>
          <t>U3Y</t>
        </is>
      </c>
      <c r="G671" s="187" t="inlineStr">
        <is>
          <t>Kgf</t>
        </is>
      </c>
      <c r="H671" s="187">
        <f>N520</f>
        <v/>
      </c>
    </row>
    <row r="672">
      <c r="B672" s="11" t="inlineStr">
        <is>
          <t>R3θ</t>
        </is>
      </c>
      <c r="C672" s="12" t="inlineStr">
        <is>
          <t>U3θ</t>
        </is>
      </c>
      <c r="D672" s="187" t="inlineStr">
        <is>
          <t>=</t>
        </is>
      </c>
      <c r="E672" s="13">
        <f>IF(OR($G$4=0, 3&gt;$G$4), 0, IF(N521="RESTRINGIDO", AN595, 0))</f>
        <v/>
      </c>
      <c r="F672" s="12" t="inlineStr">
        <is>
          <t>U3θ</t>
        </is>
      </c>
      <c r="G672" s="187" t="inlineStr">
        <is>
          <t>Kgf.cm</t>
        </is>
      </c>
      <c r="H672" s="187">
        <f>N521</f>
        <v/>
      </c>
    </row>
    <row r="673" ht="26.4" customHeight="1" s="183">
      <c r="B673" s="11" t="inlineStr">
        <is>
          <t>R4X</t>
        </is>
      </c>
      <c r="C673" s="12" t="inlineStr">
        <is>
          <t>U4X</t>
        </is>
      </c>
      <c r="D673" s="187" t="inlineStr">
        <is>
          <t>=</t>
        </is>
      </c>
      <c r="E673" s="13">
        <f>IF(OR($G$4=0, 4&gt;$G$4), 0, IF(N522="RESTRINGIDO", AN596, 0))</f>
        <v/>
      </c>
      <c r="F673" s="12" t="inlineStr">
        <is>
          <t>U4X</t>
        </is>
      </c>
      <c r="G673" s="187" t="inlineStr">
        <is>
          <t>Kgf</t>
        </is>
      </c>
      <c r="H673" s="187">
        <f>N522</f>
        <v/>
      </c>
    </row>
    <row r="674" ht="26.4" customHeight="1" s="183">
      <c r="B674" s="11" t="inlineStr">
        <is>
          <t>R4Y</t>
        </is>
      </c>
      <c r="C674" s="12" t="inlineStr">
        <is>
          <t>U4Y</t>
        </is>
      </c>
      <c r="D674" s="187" t="inlineStr">
        <is>
          <t>=</t>
        </is>
      </c>
      <c r="E674" s="13">
        <f>IF(OR($G$4=0, 4&gt;$G$4), 0, IF(N523="RESTRINGIDO", AN597, 0))</f>
        <v/>
      </c>
      <c r="F674" s="12" t="inlineStr">
        <is>
          <t>U4Y</t>
        </is>
      </c>
      <c r="G674" s="187" t="inlineStr">
        <is>
          <t>Kgf</t>
        </is>
      </c>
      <c r="H674" s="187">
        <f>N523</f>
        <v/>
      </c>
    </row>
    <row r="675" ht="26.4" customHeight="1" s="183">
      <c r="B675" s="11" t="inlineStr">
        <is>
          <t>R4θ</t>
        </is>
      </c>
      <c r="C675" s="12" t="inlineStr">
        <is>
          <t>U4θ</t>
        </is>
      </c>
      <c r="D675" s="187" t="inlineStr">
        <is>
          <t>=</t>
        </is>
      </c>
      <c r="E675" s="13">
        <f>IF(OR($G$4=0, 4&gt;$G$4), 0, IF(N524="RESTRINGIDO", AN598, 0))</f>
        <v/>
      </c>
      <c r="F675" s="12" t="inlineStr">
        <is>
          <t>U4θ</t>
        </is>
      </c>
      <c r="G675" s="187" t="inlineStr">
        <is>
          <t>Kgf.cm</t>
        </is>
      </c>
      <c r="H675" s="187">
        <f>N524</f>
        <v/>
      </c>
    </row>
    <row r="676" ht="26.4" customHeight="1" s="183">
      <c r="B676" s="11" t="inlineStr">
        <is>
          <t>R5X</t>
        </is>
      </c>
      <c r="C676" s="12" t="inlineStr">
        <is>
          <t>U5X</t>
        </is>
      </c>
      <c r="D676" s="187" t="inlineStr">
        <is>
          <t>=</t>
        </is>
      </c>
      <c r="E676" s="13">
        <f>IF(OR($G$4=0, 5&gt;$G$4), 0, IF(N525="RESTRINGIDO", AN599, 0))</f>
        <v/>
      </c>
      <c r="F676" s="12" t="inlineStr">
        <is>
          <t>U5X</t>
        </is>
      </c>
      <c r="G676" s="187" t="inlineStr">
        <is>
          <t>Kgf</t>
        </is>
      </c>
      <c r="H676" s="187">
        <f>N525</f>
        <v/>
      </c>
    </row>
    <row r="677" ht="26.4" customHeight="1" s="183">
      <c r="B677" s="11" t="inlineStr">
        <is>
          <t>R5Y</t>
        </is>
      </c>
      <c r="C677" s="12" t="inlineStr">
        <is>
          <t>U5Y</t>
        </is>
      </c>
      <c r="D677" s="187" t="inlineStr">
        <is>
          <t>=</t>
        </is>
      </c>
      <c r="E677" s="13">
        <f>IF(OR($G$4=0, 5&gt;$G$4), 0, IF(N526="RESTRINGIDO", AN600, 0))</f>
        <v/>
      </c>
      <c r="F677" s="12" t="inlineStr">
        <is>
          <t>U5Y</t>
        </is>
      </c>
      <c r="G677" s="187" t="inlineStr">
        <is>
          <t>Kgf</t>
        </is>
      </c>
      <c r="H677" s="187">
        <f>N526</f>
        <v/>
      </c>
    </row>
    <row r="678" ht="26.4" customHeight="1" s="183">
      <c r="B678" s="11" t="inlineStr">
        <is>
          <t>R5θ</t>
        </is>
      </c>
      <c r="C678" s="12" t="inlineStr">
        <is>
          <t>U5θ</t>
        </is>
      </c>
      <c r="D678" s="187" t="inlineStr">
        <is>
          <t>=</t>
        </is>
      </c>
      <c r="E678" s="13">
        <f>IF(OR($G$4=0, 5&gt;$G$4), 0, IF(N527="RESTRINGIDO", AN601, 0))</f>
        <v/>
      </c>
      <c r="F678" s="12" t="inlineStr">
        <is>
          <t>U5θ</t>
        </is>
      </c>
      <c r="G678" s="187" t="inlineStr">
        <is>
          <t>Kgf.cm</t>
        </is>
      </c>
      <c r="H678" s="187">
        <f>N527</f>
        <v/>
      </c>
    </row>
    <row r="679" ht="26.4" customHeight="1" s="183">
      <c r="B679" s="11" t="inlineStr">
        <is>
          <t>R6X</t>
        </is>
      </c>
      <c r="C679" s="12" t="inlineStr">
        <is>
          <t>U6X</t>
        </is>
      </c>
      <c r="D679" s="187" t="inlineStr">
        <is>
          <t>=</t>
        </is>
      </c>
      <c r="E679" s="13">
        <f>IF(OR($G$4=0, 6&gt;$G$4), 0, IF(N528="RESTRINGIDO", AN602, 0))</f>
        <v/>
      </c>
      <c r="F679" s="12" t="inlineStr">
        <is>
          <t>U6X</t>
        </is>
      </c>
      <c r="G679" s="187" t="inlineStr">
        <is>
          <t>Kgf</t>
        </is>
      </c>
      <c r="H679" s="187">
        <f>N528</f>
        <v/>
      </c>
    </row>
    <row r="680" ht="26.4" customHeight="1" s="183">
      <c r="B680" s="11" t="inlineStr">
        <is>
          <t>R6Y</t>
        </is>
      </c>
      <c r="C680" s="12" t="inlineStr">
        <is>
          <t>U6Y</t>
        </is>
      </c>
      <c r="D680" s="187" t="inlineStr">
        <is>
          <t>=</t>
        </is>
      </c>
      <c r="E680" s="13">
        <f>IF(OR($G$4=0, 6&gt;$G$4), 0, IF(N529="RESTRINGIDO", AN603, 0))</f>
        <v/>
      </c>
      <c r="F680" s="12" t="inlineStr">
        <is>
          <t>U6Y</t>
        </is>
      </c>
      <c r="G680" s="187" t="inlineStr">
        <is>
          <t>Kgf</t>
        </is>
      </c>
      <c r="H680" s="187">
        <f>N529</f>
        <v/>
      </c>
    </row>
    <row r="681" ht="26.4" customHeight="1" s="183">
      <c r="B681" s="11" t="inlineStr">
        <is>
          <t>R6θ</t>
        </is>
      </c>
      <c r="C681" s="12" t="inlineStr">
        <is>
          <t>U6θ</t>
        </is>
      </c>
      <c r="D681" s="187" t="inlineStr">
        <is>
          <t>=</t>
        </is>
      </c>
      <c r="E681" s="13">
        <f>IF(OR($G$4=0, 6&gt;$G$4), 0, IF(N530="RESTRINGIDO", AN604, 0))</f>
        <v/>
      </c>
      <c r="F681" s="12" t="inlineStr">
        <is>
          <t>U6θ</t>
        </is>
      </c>
      <c r="G681" s="187" t="inlineStr">
        <is>
          <t>Kgf.cm</t>
        </is>
      </c>
      <c r="H681" s="187">
        <f>N530</f>
        <v/>
      </c>
    </row>
    <row r="682" ht="26.4" customHeight="1" s="183">
      <c r="B682" s="11" t="inlineStr">
        <is>
          <t>R7X</t>
        </is>
      </c>
      <c r="C682" s="12" t="inlineStr">
        <is>
          <t>U7X</t>
        </is>
      </c>
      <c r="D682" s="187" t="inlineStr">
        <is>
          <t>=</t>
        </is>
      </c>
      <c r="E682" s="13">
        <f>IF(OR($G$4=0, 7&gt;$G$4), 0, IF(N531="RESTRINGIDO", AN605, 0))</f>
        <v/>
      </c>
      <c r="F682" s="12" t="inlineStr">
        <is>
          <t>U7X</t>
        </is>
      </c>
      <c r="G682" s="187" t="inlineStr">
        <is>
          <t>Kgf</t>
        </is>
      </c>
      <c r="H682" s="187">
        <f>N531</f>
        <v/>
      </c>
    </row>
    <row r="683" ht="26.4" customHeight="1" s="183">
      <c r="B683" s="11" t="inlineStr">
        <is>
          <t>R7Y</t>
        </is>
      </c>
      <c r="C683" s="12" t="inlineStr">
        <is>
          <t>U7Y</t>
        </is>
      </c>
      <c r="D683" s="187" t="inlineStr">
        <is>
          <t>=</t>
        </is>
      </c>
      <c r="E683" s="13">
        <f>IF(OR($G$4=0, 7&gt;$G$4), 0, IF(N532="RESTRINGIDO", AN606, 0))</f>
        <v/>
      </c>
      <c r="F683" s="12" t="inlineStr">
        <is>
          <t>U7Y</t>
        </is>
      </c>
      <c r="G683" s="187" t="inlineStr">
        <is>
          <t>Kgf</t>
        </is>
      </c>
      <c r="H683" s="187">
        <f>N532</f>
        <v/>
      </c>
    </row>
    <row r="684" ht="26.4" customHeight="1" s="183">
      <c r="B684" s="11" t="inlineStr">
        <is>
          <t>R7θ</t>
        </is>
      </c>
      <c r="C684" s="12" t="inlineStr">
        <is>
          <t>U7θ</t>
        </is>
      </c>
      <c r="D684" s="187" t="inlineStr">
        <is>
          <t>=</t>
        </is>
      </c>
      <c r="E684" s="13">
        <f>IF(OR($G$4=0, 7&gt;$G$4), 0, IF(N533="RESTRINGIDO", AN607, 0))</f>
        <v/>
      </c>
      <c r="F684" s="12" t="inlineStr">
        <is>
          <t>U7θ</t>
        </is>
      </c>
      <c r="G684" s="187" t="inlineStr">
        <is>
          <t>Kgf.cm</t>
        </is>
      </c>
      <c r="H684" s="187">
        <f>N533</f>
        <v/>
      </c>
    </row>
    <row r="685" ht="26.4" customHeight="1" s="183">
      <c r="B685" s="11" t="inlineStr">
        <is>
          <t>R8X</t>
        </is>
      </c>
      <c r="C685" s="12" t="inlineStr">
        <is>
          <t>U8X</t>
        </is>
      </c>
      <c r="D685" s="187" t="inlineStr">
        <is>
          <t>=</t>
        </is>
      </c>
      <c r="E685" s="13">
        <f>IF(OR($G$4=0, 8&gt;$G$4), 0, IF(N534="RESTRINGIDO", AN608, 0))</f>
        <v/>
      </c>
      <c r="F685" s="12" t="inlineStr">
        <is>
          <t>U8X</t>
        </is>
      </c>
      <c r="G685" s="187" t="inlineStr">
        <is>
          <t>Kgf</t>
        </is>
      </c>
      <c r="H685" s="187">
        <f>N534</f>
        <v/>
      </c>
    </row>
    <row r="686" ht="26.4" customHeight="1" s="183">
      <c r="B686" s="11" t="inlineStr">
        <is>
          <t>R8Y</t>
        </is>
      </c>
      <c r="C686" s="12" t="inlineStr">
        <is>
          <t>U8Y</t>
        </is>
      </c>
      <c r="D686" s="187" t="inlineStr">
        <is>
          <t>=</t>
        </is>
      </c>
      <c r="E686" s="13">
        <f>IF(OR($G$4=0, 8&gt;$G$4), 0, IF(N535="RESTRINGIDO", AN609, 0))</f>
        <v/>
      </c>
      <c r="F686" s="12" t="inlineStr">
        <is>
          <t>U8Y</t>
        </is>
      </c>
      <c r="G686" s="187" t="inlineStr">
        <is>
          <t>Kgf</t>
        </is>
      </c>
      <c r="H686" s="187">
        <f>N535</f>
        <v/>
      </c>
    </row>
    <row r="687" ht="26.4" customHeight="1" s="183">
      <c r="B687" s="11" t="inlineStr">
        <is>
          <t>R8θ</t>
        </is>
      </c>
      <c r="C687" s="12" t="inlineStr">
        <is>
          <t>U8θ</t>
        </is>
      </c>
      <c r="D687" s="187" t="inlineStr">
        <is>
          <t>=</t>
        </is>
      </c>
      <c r="E687" s="13">
        <f>IF(OR($G$4=0, 8&gt;$G$4), 0, IF(N536="RESTRINGIDO", AN610, 0))</f>
        <v/>
      </c>
      <c r="F687" s="12" t="inlineStr">
        <is>
          <t>U8θ</t>
        </is>
      </c>
      <c r="G687" s="187" t="inlineStr">
        <is>
          <t>Kgf.cm</t>
        </is>
      </c>
      <c r="H687" s="187">
        <f>N536</f>
        <v/>
      </c>
    </row>
    <row r="688" ht="26.4" customHeight="1" s="183">
      <c r="B688" s="11" t="inlineStr">
        <is>
          <t>R9X</t>
        </is>
      </c>
      <c r="C688" s="12" t="inlineStr">
        <is>
          <t>U9X</t>
        </is>
      </c>
      <c r="D688" s="187" t="inlineStr">
        <is>
          <t>=</t>
        </is>
      </c>
      <c r="E688" s="13">
        <f>IF(OR($G$4=0, 9&gt;$G$4), 0, IF(N537="RESTRINGIDO", AN611, 0))</f>
        <v/>
      </c>
      <c r="F688" s="12" t="inlineStr">
        <is>
          <t>U9X</t>
        </is>
      </c>
      <c r="G688" s="187" t="inlineStr">
        <is>
          <t>Kgf</t>
        </is>
      </c>
      <c r="H688" s="187">
        <f>N537</f>
        <v/>
      </c>
    </row>
    <row r="689" ht="26.4" customHeight="1" s="183">
      <c r="B689" s="11" t="inlineStr">
        <is>
          <t>R9Y</t>
        </is>
      </c>
      <c r="C689" s="12" t="inlineStr">
        <is>
          <t>U9Y</t>
        </is>
      </c>
      <c r="D689" s="187" t="inlineStr">
        <is>
          <t>=</t>
        </is>
      </c>
      <c r="E689" s="13">
        <f>IF(OR($G$4=0, 9&gt;$G$4), 0, IF(N538="RESTRINGIDO", AN612, 0))</f>
        <v/>
      </c>
      <c r="F689" s="12" t="inlineStr">
        <is>
          <t>U9Y</t>
        </is>
      </c>
      <c r="G689" s="187" t="inlineStr">
        <is>
          <t>Kgf</t>
        </is>
      </c>
      <c r="H689" s="187">
        <f>N538</f>
        <v/>
      </c>
    </row>
    <row r="690" ht="26.4" customHeight="1" s="183">
      <c r="B690" s="11" t="inlineStr">
        <is>
          <t>R9θ</t>
        </is>
      </c>
      <c r="C690" s="12" t="inlineStr">
        <is>
          <t>U9θ</t>
        </is>
      </c>
      <c r="D690" s="187" t="inlineStr">
        <is>
          <t>=</t>
        </is>
      </c>
      <c r="E690" s="13">
        <f>IF(OR($G$4=0, 9&gt;$G$4), 0, IF(N539="RESTRINGIDO", AN613, 0))</f>
        <v/>
      </c>
      <c r="F690" s="12" t="inlineStr">
        <is>
          <t>U9θ</t>
        </is>
      </c>
      <c r="G690" s="187" t="inlineStr">
        <is>
          <t>Kgf.cm</t>
        </is>
      </c>
      <c r="H690" s="187">
        <f>N539</f>
        <v/>
      </c>
    </row>
    <row r="691" ht="26.4" customHeight="1" s="183">
      <c r="B691" s="11" t="inlineStr">
        <is>
          <t>R10X</t>
        </is>
      </c>
      <c r="C691" s="12" t="inlineStr">
        <is>
          <t>U10X</t>
        </is>
      </c>
      <c r="D691" s="187" t="inlineStr">
        <is>
          <t>=</t>
        </is>
      </c>
      <c r="E691" s="13">
        <f>IF(OR($G$4=0, 10&gt;$G$4), 0, IF(N540="RESTRINGIDO", AN614, 0))</f>
        <v/>
      </c>
      <c r="F691" s="12" t="inlineStr">
        <is>
          <t>U10X</t>
        </is>
      </c>
      <c r="G691" s="187" t="inlineStr">
        <is>
          <t>Kgf</t>
        </is>
      </c>
      <c r="H691" s="187">
        <f>N540</f>
        <v/>
      </c>
    </row>
    <row r="692" ht="26.4" customHeight="1" s="183">
      <c r="B692" s="11" t="inlineStr">
        <is>
          <t>R10Y</t>
        </is>
      </c>
      <c r="C692" s="12" t="inlineStr">
        <is>
          <t>U10Y</t>
        </is>
      </c>
      <c r="D692" s="187" t="inlineStr">
        <is>
          <t>=</t>
        </is>
      </c>
      <c r="E692" s="13">
        <f>IF(OR($G$4=0, 10&gt;$G$4), 0, IF(N541="RESTRINGIDO", AN615, 0))</f>
        <v/>
      </c>
      <c r="F692" s="12" t="inlineStr">
        <is>
          <t>U10Y</t>
        </is>
      </c>
      <c r="G692" s="187" t="inlineStr">
        <is>
          <t>Kgf</t>
        </is>
      </c>
      <c r="H692" s="187">
        <f>N541</f>
        <v/>
      </c>
    </row>
    <row r="693" ht="26.4" customHeight="1" s="183">
      <c r="B693" s="11" t="inlineStr">
        <is>
          <t>R10θ</t>
        </is>
      </c>
      <c r="C693" s="12" t="inlineStr">
        <is>
          <t>U10θ</t>
        </is>
      </c>
      <c r="D693" s="187" t="inlineStr">
        <is>
          <t>=</t>
        </is>
      </c>
      <c r="E693" s="13">
        <f>IF(OR($G$4=0, 10&gt;$G$4), 0, IF(N542="RESTRINGIDO", AN616, 0))</f>
        <v/>
      </c>
      <c r="F693" s="12" t="inlineStr">
        <is>
          <t>U10θ</t>
        </is>
      </c>
      <c r="G693" s="187" t="inlineStr">
        <is>
          <t>Kgf.cm</t>
        </is>
      </c>
      <c r="H693" s="187">
        <f>N542</f>
        <v/>
      </c>
    </row>
    <row r="694" ht="26.4" customHeight="1" s="183">
      <c r="B694" s="11" t="inlineStr">
        <is>
          <t>R11X</t>
        </is>
      </c>
      <c r="C694" s="12" t="inlineStr">
        <is>
          <t>U11X</t>
        </is>
      </c>
      <c r="D694" s="187" t="inlineStr">
        <is>
          <t>=</t>
        </is>
      </c>
      <c r="E694" s="13">
        <f>IF(OR($G$4=0, 11&gt;$G$4), 0, IF(N543="RESTRINGIDO", AN617, 0))</f>
        <v/>
      </c>
      <c r="F694" s="12" t="inlineStr">
        <is>
          <t>U11X</t>
        </is>
      </c>
      <c r="G694" s="187" t="inlineStr">
        <is>
          <t>Kgf</t>
        </is>
      </c>
      <c r="H694" s="187">
        <f>N543</f>
        <v/>
      </c>
    </row>
    <row r="695" ht="26.4" customHeight="1" s="183">
      <c r="B695" s="11" t="inlineStr">
        <is>
          <t>R11Y</t>
        </is>
      </c>
      <c r="C695" s="12" t="inlineStr">
        <is>
          <t>U11Y</t>
        </is>
      </c>
      <c r="D695" s="187" t="inlineStr">
        <is>
          <t>=</t>
        </is>
      </c>
      <c r="E695" s="13">
        <f>IF(OR($G$4=0, 11&gt;$G$4), 0, IF(N544="RESTRINGIDO", AN618, 0))</f>
        <v/>
      </c>
      <c r="F695" s="12" t="inlineStr">
        <is>
          <t>U11Y</t>
        </is>
      </c>
      <c r="G695" s="187" t="inlineStr">
        <is>
          <t>Kgf</t>
        </is>
      </c>
      <c r="H695" s="187">
        <f>N544</f>
        <v/>
      </c>
    </row>
    <row r="696" ht="26.4" customHeight="1" s="183">
      <c r="B696" s="11" t="inlineStr">
        <is>
          <t>R11θ</t>
        </is>
      </c>
      <c r="C696" s="12" t="inlineStr">
        <is>
          <t>U11θ</t>
        </is>
      </c>
      <c r="D696" s="187" t="inlineStr">
        <is>
          <t>=</t>
        </is>
      </c>
      <c r="E696" s="13">
        <f>IF(OR($G$4=0, 11&gt;$G$4), 0, IF(N545="RESTRINGIDO", AN619, 0))</f>
        <v/>
      </c>
      <c r="F696" s="12" t="inlineStr">
        <is>
          <t>U11θ</t>
        </is>
      </c>
      <c r="G696" s="187" t="inlineStr">
        <is>
          <t>Kgf.cm</t>
        </is>
      </c>
      <c r="H696" s="187">
        <f>N545</f>
        <v/>
      </c>
    </row>
    <row r="700">
      <c r="B700" s="53" t="inlineStr">
        <is>
          <t>DATOS PARA GRAFICAR LA CURVA ELÁSTICA</t>
        </is>
      </c>
      <c r="C700" s="190" t="n"/>
      <c r="D700" s="190" t="n"/>
      <c r="E700" s="191" t="n"/>
    </row>
    <row r="701">
      <c r="B701" s="17" t="inlineStr">
        <is>
          <t>Nudo</t>
        </is>
      </c>
      <c r="C701" s="17" t="inlineStr">
        <is>
          <t>X (cm)</t>
        </is>
      </c>
      <c r="D701" s="17" t="inlineStr">
        <is>
          <t>DY (cm)</t>
        </is>
      </c>
      <c r="E701" s="17" t="inlineStr">
        <is>
          <t>θ (rad)</t>
        </is>
      </c>
    </row>
    <row r="702">
      <c r="B702" s="187" t="n">
        <v>1</v>
      </c>
      <c r="C702" s="189" t="n">
        <v>0</v>
      </c>
      <c r="D702" s="188">
        <f>IF(E627="","", E627)</f>
        <v/>
      </c>
      <c r="E702" s="188">
        <f>IF(E628="","", E628)</f>
        <v/>
      </c>
    </row>
    <row r="703">
      <c r="B703" s="187" t="n">
        <v>2</v>
      </c>
      <c r="C703" s="189">
        <f>IF(I18="","", C702+I18)</f>
        <v/>
      </c>
      <c r="D703" s="188">
        <f>IF(I18="","", E630)</f>
        <v/>
      </c>
      <c r="E703" s="188">
        <f>IF(I18="","", E631)</f>
        <v/>
      </c>
    </row>
    <row r="704">
      <c r="B704" s="187" t="n">
        <v>3</v>
      </c>
      <c r="C704" s="189">
        <f>IF(I19="","", C703+I19)</f>
        <v/>
      </c>
      <c r="D704" s="188">
        <f>IF(I19="","", E633)</f>
        <v/>
      </c>
      <c r="E704" s="188">
        <f>IF(I19="","", E634)</f>
        <v/>
      </c>
    </row>
    <row r="705">
      <c r="B705" s="187" t="n">
        <v>4</v>
      </c>
      <c r="C705" s="189">
        <f>IF(I20="","", C704+I20)</f>
        <v/>
      </c>
      <c r="D705" s="188">
        <f>IF(I20="","", E636)</f>
        <v/>
      </c>
      <c r="E705" s="188">
        <f>IF(I20="","", E637)</f>
        <v/>
      </c>
    </row>
    <row r="706">
      <c r="B706" s="187" t="n">
        <v>5</v>
      </c>
      <c r="C706" s="189">
        <f>IF(I21="","", C705+I21)</f>
        <v/>
      </c>
      <c r="D706" s="188">
        <f>IF(I21="","", E639)</f>
        <v/>
      </c>
      <c r="E706" s="188">
        <f>IF(I21="","", E640)</f>
        <v/>
      </c>
    </row>
    <row r="707">
      <c r="B707" s="187" t="n">
        <v>6</v>
      </c>
      <c r="C707" s="189">
        <f>IF(I22="","", C706+I22)</f>
        <v/>
      </c>
      <c r="D707" s="188">
        <f>IF(I22="","", E642)</f>
        <v/>
      </c>
      <c r="E707" s="188">
        <f>IF(I22="","", E643)</f>
        <v/>
      </c>
    </row>
    <row r="708">
      <c r="B708" s="187" t="n">
        <v>7</v>
      </c>
      <c r="C708" s="189">
        <f>IF(I23="","", C707+I23)</f>
        <v/>
      </c>
      <c r="D708" s="188">
        <f>IF(I23="","", E645)</f>
        <v/>
      </c>
      <c r="E708" s="188">
        <f>IF(I23="","", E646)</f>
        <v/>
      </c>
    </row>
    <row r="709">
      <c r="B709" s="187" t="n">
        <v>8</v>
      </c>
      <c r="C709" s="189">
        <f>IF(I24="","", C708+I24)</f>
        <v/>
      </c>
      <c r="D709" s="188">
        <f>IF(I24="","", E648)</f>
        <v/>
      </c>
      <c r="E709" s="188">
        <f>IF(I24="","", E649)</f>
        <v/>
      </c>
    </row>
    <row r="710">
      <c r="B710" s="187" t="n">
        <v>9</v>
      </c>
      <c r="C710" s="189">
        <f>IF(I25="","", C709+I25)</f>
        <v/>
      </c>
      <c r="D710" s="188">
        <f>IF(I25="","", E651)</f>
        <v/>
      </c>
      <c r="E710" s="188">
        <f>IF(I25="","", E652)</f>
        <v/>
      </c>
    </row>
    <row r="711">
      <c r="B711" s="187" t="n">
        <v>10</v>
      </c>
      <c r="C711" s="189">
        <f>IF(I26="","", C710+I26)</f>
        <v/>
      </c>
      <c r="D711" s="188">
        <f>IF(I26="","", E654)</f>
        <v/>
      </c>
      <c r="E711" s="188">
        <f>IF(I26="","", E655)</f>
        <v/>
      </c>
    </row>
    <row r="712">
      <c r="B712" s="187" t="n">
        <v>11</v>
      </c>
      <c r="C712" s="189">
        <f>IF(I27="","", C711+I27)</f>
        <v/>
      </c>
      <c r="D712" s="188">
        <f>IF(I27="","", E657)</f>
        <v/>
      </c>
      <c r="E712" s="188">
        <f>IF(I27="","", E658)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69"/>
  <mergeCells count="16">
    <mergeCell ref="K7:P7"/>
    <mergeCell ref="B585:AH585"/>
    <mergeCell ref="B474:AH474"/>
    <mergeCell ref="B624:G624"/>
    <mergeCell ref="H512:L512"/>
    <mergeCell ref="B29:B30"/>
    <mergeCell ref="B1:D1"/>
    <mergeCell ref="B511:AH511"/>
    <mergeCell ref="B700:E700"/>
    <mergeCell ref="B548:AH548"/>
    <mergeCell ref="B662:H662"/>
    <mergeCell ref="B7:H7"/>
    <mergeCell ref="C29:E29"/>
    <mergeCell ref="B16:Q16"/>
    <mergeCell ref="F29:H29"/>
    <mergeCell ref="B512:F5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U831"/>
  <sheetViews>
    <sheetView topLeftCell="A37" workbookViewId="0">
      <selection activeCell="C20" sqref="C20"/>
    </sheetView>
  </sheetViews>
  <sheetFormatPr baseColWidth="10" defaultColWidth="8.88671875" defaultRowHeight="14.4"/>
  <cols>
    <col width="3" customWidth="1" style="183" min="1" max="1"/>
    <col width="18" customWidth="1" style="183" min="2" max="2"/>
    <col width="12" customWidth="1" style="183" min="3" max="38"/>
    <col width="10" customWidth="1" style="183" min="39" max="39"/>
    <col width="4" customWidth="1" style="183" min="40" max="40"/>
  </cols>
  <sheetData>
    <row r="1">
      <c r="B1" s="65" t="inlineStr">
        <is>
          <t>1A. PROPIEDADES DEL MATERIAL Y SELECTOR UNIVERSAL DE SECCIÓN (CON MENÚ DESPLEGABLE)</t>
        </is>
      </c>
      <c r="C1" s="66" t="n"/>
      <c r="D1" s="66" t="n"/>
      <c r="E1" s="66" t="n"/>
      <c r="F1" s="66" t="n"/>
      <c r="G1" s="66" t="n"/>
      <c r="H1" s="66" t="n"/>
      <c r="I1" s="67" t="n"/>
      <c r="K1" s="65" t="inlineStr">
        <is>
          <t>1B. CALCULADORA DE CUALQUIER SECCIÓN COMPUESTA POR TEOREMA DE STEINER: I_x = ∑(I_0i + A_i · d_yi²)</t>
        </is>
      </c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7" t="n"/>
    </row>
    <row r="2" ht="27.6" customHeight="1" s="183">
      <c r="B2" s="19" t="inlineStr">
        <is>
          <t>E (Elasticidad) =</t>
        </is>
      </c>
      <c r="C2" s="20" t="n">
        <v>150000</v>
      </c>
      <c r="D2" s="21" t="inlineStr">
        <is>
          <t>kgf/cm²</t>
        </is>
      </c>
      <c r="F2" s="19" t="inlineStr">
        <is>
          <t>Área Activa A =</t>
        </is>
      </c>
      <c r="G2" s="22">
        <f>IF(C3="RECTANGULAR",C4*C5,IF(C3="CIRCULAR",PI()*(C4^2)/4,IF(C3="TUBULAR_CIRCULAR",PI()*((C4^2)-(C5^2))/4,IF(C3="TRAPEZOIDAL",((C4+C6)/2)*C5,IF(C3="TRIANGULAR",(C4*C5)/2,IF(C3="CAJON_HUECO",(C4*C5)-(C6*C7),IF(C3="STEINER_COMPUESTA",R10,C4)))))))</f>
        <v/>
      </c>
      <c r="H2" s="21" t="inlineStr">
        <is>
          <t>cm²</t>
        </is>
      </c>
      <c r="I2" s="21" t="inlineStr">
        <is>
          <t>Calculado Auto</t>
        </is>
      </c>
      <c r="K2" s="23" t="inlineStr">
        <is>
          <t>Pieza</t>
        </is>
      </c>
      <c r="L2" s="23" t="inlineStr">
        <is>
          <t>Sub-Figura (Menú)</t>
        </is>
      </c>
      <c r="M2" s="23" t="inlineStr">
        <is>
          <t>b o D (cm)</t>
        </is>
      </c>
      <c r="N2" s="23" t="inlineStr">
        <is>
          <t>b_sup (Trap.)</t>
        </is>
      </c>
      <c r="O2" s="23" t="inlineStr">
        <is>
          <t>h (Altura cm)</t>
        </is>
      </c>
      <c r="P2" s="23" t="inlineStr">
        <is>
          <t>y_base (Cota Inf.)</t>
        </is>
      </c>
      <c r="Q2" s="23" t="inlineStr">
        <is>
          <t>x_c (Centro X)</t>
        </is>
      </c>
      <c r="R2" s="23" t="inlineStr">
        <is>
          <t>Área A_i (cm²)</t>
        </is>
      </c>
      <c r="S2" s="23" t="inlineStr">
        <is>
          <t>Centroide y_i (cm)</t>
        </is>
      </c>
      <c r="T2" s="23" t="inlineStr">
        <is>
          <t>A_i · y_i (cm³)</t>
        </is>
      </c>
      <c r="U2" s="23" t="inlineStr">
        <is>
          <t>I_0i Propia (cm⁴)</t>
        </is>
      </c>
      <c r="V2" s="23" t="inlineStr">
        <is>
          <t>Steiner A_i·d_y²</t>
        </is>
      </c>
      <c r="W2" s="23" t="inlineStr">
        <is>
          <t>I_xi Total (cm⁴)</t>
        </is>
      </c>
    </row>
    <row r="3" ht="27.6" customHeight="1" s="183">
      <c r="B3" s="19" t="inlineStr">
        <is>
          <t>Tipo de Sección =</t>
        </is>
      </c>
      <c r="C3" s="24" t="inlineStr">
        <is>
          <t>RECTANGULAR</t>
        </is>
      </c>
      <c r="D3" s="21" t="inlineStr">
        <is>
          <t>← Menú Desplegable</t>
        </is>
      </c>
      <c r="F3" s="19" t="inlineStr">
        <is>
          <t>Centroide Y_CG =</t>
        </is>
      </c>
      <c r="G3" s="25">
        <f>IF(C3="RECTANGULAR",C5/2,IF(C3="CIRCULAR",C4/2,IF(C3="TUBULAR_CIRCULAR",C4/2,IF(C3="TRAPEZOIDAL",IF((C4+C6)&gt;0,C5*(C4+2*C6)/(3*(C4+C6)),0),IF(C3="TRIANGULAR",C5/3,IF(C3="CAJON_HUECO",C5/2,IF(C3="STEINER_COMPUESTA",S10,0)))))))</f>
        <v/>
      </c>
      <c r="H3" s="21" t="inlineStr">
        <is>
          <t>cm</t>
        </is>
      </c>
      <c r="I3" s="21" t="inlineStr">
        <is>
          <t>Eje Neutro</t>
        </is>
      </c>
      <c r="K3" s="26" t="n">
        <v>1</v>
      </c>
      <c r="L3" s="24" t="inlineStr">
        <is>
          <t>NINGUNO</t>
        </is>
      </c>
      <c r="R3" s="27">
        <f>IF(OR(L3="NINGUNO",L3="",M3="",M3=0),"",IF(L3="RECTANGULO",M3*O3,IF(L3="TRIANGULO",(M3*O3)/2,IF(L3="TRAPECIO",((M3+N3)/2)*O3,IF(L3="CIRCULO",PI()*(M3^2)/4,IF(L3="SEMICIRCULO",PI()*((M3/2)^2)/2,IF(L3="HUECO_RECT",-M3*O3,IF(L3="HUECO_CIRC",-PI()*(M3^2)/4,""))))))))</f>
        <v/>
      </c>
      <c r="S3" s="28">
        <f>IF(R3="","",N(P3)+IF(OR(L3="RECTANGULO",L3="HUECO_RECT"),O3/2,IF(L3="TRIANGULO",O3/3,IF(L3="TRAPECIO",IF((M3+N3)&gt;0,O3*(M3+2*N3)/(3*(M3+N3)),0),IF(OR(L3="CIRCULO",L3="HUECO_CIRC"),M3/2,IF(L3="SEMICIRCULO",(4*(M3/2))/(3*PI()),0))))))</f>
        <v/>
      </c>
      <c r="T3" s="28">
        <f>IF(R3="","",R3*S3)</f>
        <v/>
      </c>
      <c r="U3" s="28">
        <f>IF(R3="","",IF(L3="RECTANGULO",(M3*(O3^3))/12,IF(L3="TRIANGULO",(M3*(O3^3))/36,IF(L3="TRAPECIO",IF((M3+N3)&gt;0,(O3^3)*((M3^2)+4*M3*N3+(N3^2))/(36*(M3+N3)),0),IF(L3="CIRCULO",PI()*(M3^4)/64,IF(L3="SEMICIRCULO",((PI()/8)-(8/(9*PI())))*((M3/2)^4),IF(L3="HUECO_RECT",-(M3*(O3^3))/12,IF(L3="HUECO_CIRC",-PI()*(M3^4)/64,0))))))))</f>
        <v/>
      </c>
      <c r="V3" s="28">
        <f>IF(R3="","",R3*((S3-$S$10)^2))</f>
        <v/>
      </c>
      <c r="W3" s="29">
        <f>IF(R3="","",U3+V3)</f>
        <v/>
      </c>
    </row>
    <row r="4" ht="27.6" customHeight="1" s="183">
      <c r="B4" s="19">
        <f>IF(OR(C3="RECTANGULAR",C3="TRIANGULAR"),"b (Base)",IF(C3="CIRCULAR","D (Diámetro)",IF(C3="TUBULAR_CIRCULAR","D_ext (Diám. Ext.)",IF(C3="TRAPEZOIDAL","B_inf (Base Inferior)",IF(C3="CAJON_HUECO","B_ext (Base Exterior)",IF(C3="STEINER_COMPUESTA","Usando Steiner →","A_directa (Área)"))))))</f>
        <v/>
      </c>
      <c r="C4" s="20" t="n">
        <v>5</v>
      </c>
      <c r="D4" s="21">
        <f>IF(C3="DIRECTO_A_I","cm²","cm")</f>
        <v/>
      </c>
      <c r="F4" s="19" t="inlineStr">
        <is>
          <t>Inercia Activa I =</t>
        </is>
      </c>
      <c r="G4" s="22">
        <f>IF(C3="RECTANGULAR",(C4*(C5^3))/12,IF(C3="CIRCULAR",PI()*(C4^4)/64,IF(C3="TUBULAR_CIRCULAR",PI()*((C4^4)-(C5^4))/64,IF(C3="TRAPEZOIDAL",IF((C4+C6)&gt;0,(C5^3)*((C4^2)+4*C4*C6+(C6^2))/(36*(C4+C6)),0),IF(C3="TRIANGULAR",(C4*(C5^3))/36,IF(C3="CAJON_HUECO",((C4*(C5^3))-(C6*(C7^3)))/12,IF(C3="STEINER_COMPUESTA",W10,C5)))))))</f>
        <v/>
      </c>
      <c r="H4" s="21" t="inlineStr">
        <is>
          <t>cm⁴</t>
        </is>
      </c>
      <c r="I4" s="21" t="inlineStr">
        <is>
          <t>Calculado Auto</t>
        </is>
      </c>
      <c r="K4" s="26" t="n">
        <v>2</v>
      </c>
      <c r="L4" s="24" t="inlineStr">
        <is>
          <t>NINGUNO</t>
        </is>
      </c>
      <c r="R4" s="27">
        <f>IF(OR(L4="NINGUNO",L4="",M4="",M4=0),"",IF(L4="RECTANGULO",M4*O4,IF(L4="TRIANGULO",(M4*O4)/2,IF(L4="TRAPECIO",((M4+N4)/2)*O4,IF(L4="CIRCULO",PI()*(M4^2)/4,IF(L4="SEMICIRCULO",PI()*((M4/2)^2)/2,IF(L4="HUECO_RECT",-M4*O4,IF(L4="HUECO_CIRC",-PI()*(M4^2)/4,""))))))))</f>
        <v/>
      </c>
      <c r="S4" s="28">
        <f>IF(R4="","",N(P4)+IF(OR(L4="RECTANGULO",L4="HUECO_RECT"),O4/2,IF(L4="TRIANGULO",O4/3,IF(L4="TRAPECIO",IF((M4+N4)&gt;0,O4*(M4+2*N4)/(3*(M4+N4)),0),IF(OR(L4="CIRCULO",L4="HUECO_CIRC"),M4/2,IF(L4="SEMICIRCULO",(4*(M4/2))/(3*PI()),0))))))</f>
        <v/>
      </c>
      <c r="T4" s="28">
        <f>IF(R4="","",R4*S4)</f>
        <v/>
      </c>
      <c r="U4" s="28">
        <f>IF(R4="","",IF(L4="RECTANGULO",(M4*(O4^3))/12,IF(L4="TRIANGULO",(M4*(O4^3))/36,IF(L4="TRAPECIO",IF((M4+N4)&gt;0,(O4^3)*((M4^2)+4*M4*N4+(N4^2))/(36*(M4+N4)),0),IF(L4="CIRCULO",PI()*(M4^4)/64,IF(L4="SEMICIRCULO",((PI()/8)-(8/(9*PI())))*((M4/2)^4),IF(L4="HUECO_RECT",-(M4*(O4^3))/12,IF(L4="HUECO_CIRC",-PI()*(M4^4)/64,0))))))))</f>
        <v/>
      </c>
      <c r="V4" s="28">
        <f>IF(R4="","",R4*((S4-$S$10)^2))</f>
        <v/>
      </c>
      <c r="W4" s="29">
        <f>IF(R4="","",U4+V4)</f>
        <v/>
      </c>
    </row>
    <row r="5" ht="41.4" customHeight="1" s="183">
      <c r="B5" s="19">
        <f>IF(OR(C3="RECTANGULAR",C3="TRIANGULAR",C3="TRAPEZOIDAL"),"h (Altura)",IF(C3="TUBULAR_CIRCULAR","d_int (Diám. Int.)",IF(C3="CAJON_HUECO","H_ext (Altura Exterior)",IF(C3="DIRECTO_A_I","I_directa (Inercia)","- (No requiere)"))))</f>
        <v/>
      </c>
      <c r="C5" s="20" t="n">
        <v>10</v>
      </c>
      <c r="D5" s="21">
        <f>IF(C3="DIRECTO_A_I","cm⁴","cm")</f>
        <v/>
      </c>
      <c r="F5" s="19" t="inlineStr">
        <is>
          <t>Modo Propiedades =</t>
        </is>
      </c>
      <c r="G5" s="24" t="inlineStr">
        <is>
          <t>CONSTANTE</t>
        </is>
      </c>
      <c r="H5" s="21" t="inlineStr">
        <is>
          <t>← Menú</t>
        </is>
      </c>
      <c r="I5" s="21" t="inlineStr">
        <is>
          <t>Global en barras</t>
        </is>
      </c>
      <c r="K5" s="26" t="n">
        <v>3</v>
      </c>
      <c r="L5" s="24" t="inlineStr">
        <is>
          <t>NINGUNO</t>
        </is>
      </c>
      <c r="R5" s="27">
        <f>IF(OR(L5="NINGUNO",L5="",M5="",M5=0),"",IF(L5="RECTANGULO",M5*O5,IF(L5="TRIANGULO",(M5*O5)/2,IF(L5="TRAPECIO",((M5+N5)/2)*O5,IF(L5="CIRCULO",PI()*(M5^2)/4,IF(L5="SEMICIRCULO",PI()*((M5/2)^2)/2,IF(L5="HUECO_RECT",-M5*O5,IF(L5="HUECO_CIRC",-PI()*(M5^2)/4,""))))))))</f>
        <v/>
      </c>
      <c r="S5" s="28">
        <f>IF(R5="","",N(P5)+IF(OR(L5="RECTANGULO",L5="HUECO_RECT"),O5/2,IF(L5="TRIANGULO",O5/3,IF(L5="TRAPECIO",IF((M5+N5)&gt;0,O5*(M5+2*N5)/(3*(M5+N5)),0),IF(OR(L5="CIRCULO",L5="HUECO_CIRC"),M5/2,IF(L5="SEMICIRCULO",(4*(M5/2))/(3*PI()),0))))))</f>
        <v/>
      </c>
      <c r="T5" s="28">
        <f>IF(R5="","",R5*S5)</f>
        <v/>
      </c>
      <c r="U5" s="28">
        <f>IF(R5="","",IF(L5="RECTANGULO",(M5*(O5^3))/12,IF(L5="TRIANGULO",(M5*(O5^3))/36,IF(L5="TRAPECIO",IF((M5+N5)&gt;0,(O5^3)*((M5^2)+4*M5*N5+(N5^2))/(36*(M5+N5)),0),IF(L5="CIRCULO",PI()*(M5^4)/64,IF(L5="SEMICIRCULO",((PI()/8)-(8/(9*PI())))*((M5/2)^4),IF(L5="HUECO_RECT",-(M5*(O5^3))/12,IF(L5="HUECO_CIRC",-PI()*(M5^4)/64,0))))))))</f>
        <v/>
      </c>
      <c r="V5" s="28">
        <f>IF(R5="","",R5*((S5-$S$10)^2))</f>
        <v/>
      </c>
      <c r="W5" s="29">
        <f>IF(R5="","",U5+V5)</f>
        <v/>
      </c>
    </row>
    <row r="6" ht="27.6" customHeight="1" s="183">
      <c r="B6" s="30">
        <f>IF(C3="TRAPEZOIDAL","b_sup (Base Superior)",IF(C3="CAJON_HUECO","b_int (Base Interior)","- (Opcional)"))</f>
        <v/>
      </c>
      <c r="C6" s="20" t="n">
        <v>0</v>
      </c>
      <c r="D6" s="21" t="inlineStr">
        <is>
          <t>cm</t>
        </is>
      </c>
      <c r="F6" s="30" t="inlineStr">
        <is>
          <t>Barras Activas =</t>
        </is>
      </c>
      <c r="G6" s="31">
        <f>COUNT(I14:I24)</f>
        <v/>
      </c>
      <c r="H6" s="21" t="inlineStr">
        <is>
          <t>barras</t>
        </is>
      </c>
      <c r="I6" s="21" t="inlineStr">
        <is>
          <t>Detectado Auto</t>
        </is>
      </c>
      <c r="K6" s="26" t="n">
        <v>4</v>
      </c>
      <c r="L6" s="24" t="inlineStr">
        <is>
          <t>NINGUNO</t>
        </is>
      </c>
      <c r="R6" s="27">
        <f>IF(OR(L6="NINGUNO",L6="",M6="",M6=0),"",IF(L6="RECTANGULO",M6*O6,IF(L6="TRIANGULO",(M6*O6)/2,IF(L6="TRAPECIO",((M6+N6)/2)*O6,IF(L6="CIRCULO",PI()*(M6^2)/4,IF(L6="SEMICIRCULO",PI()*((M6/2)^2)/2,IF(L6="HUECO_RECT",-M6*O6,IF(L6="HUECO_CIRC",-PI()*(M6^2)/4,""))))))))</f>
        <v/>
      </c>
      <c r="S6" s="28">
        <f>IF(R6="","",N(P6)+IF(OR(L6="RECTANGULO",L6="HUECO_RECT"),O6/2,IF(L6="TRIANGULO",O6/3,IF(L6="TRAPECIO",IF((M6+N6)&gt;0,O6*(M6+2*N6)/(3*(M6+N6)),0),IF(OR(L6="CIRCULO",L6="HUECO_CIRC"),M6/2,IF(L6="SEMICIRCULO",(4*(M6/2))/(3*PI()),0))))))</f>
        <v/>
      </c>
      <c r="T6" s="28">
        <f>IF(R6="","",R6*S6)</f>
        <v/>
      </c>
      <c r="U6" s="28">
        <f>IF(R6="","",IF(L6="RECTANGULO",(M6*(O6^3))/12,IF(L6="TRIANGULO",(M6*(O6^3))/36,IF(L6="TRAPECIO",IF((M6+N6)&gt;0,(O6^3)*((M6^2)+4*M6*N6+(N6^2))/(36*(M6+N6)),0),IF(L6="CIRCULO",PI()*(M6^4)/64,IF(L6="SEMICIRCULO",((PI()/8)-(8/(9*PI())))*((M6/2)^4),IF(L6="HUECO_RECT",-(M6*(O6^3))/12,IF(L6="HUECO_CIRC",-PI()*(M6^4)/64,0))))))))</f>
        <v/>
      </c>
      <c r="V6" s="28">
        <f>IF(R6="","",R6*((S6-$S$10)^2))</f>
        <v/>
      </c>
      <c r="W6" s="29">
        <f>IF(R6="","",U6+V6)</f>
        <v/>
      </c>
    </row>
    <row r="7" ht="27.6" customHeight="1" s="183">
      <c r="B7" s="30">
        <f>IF(C3="CAJON_HUECO","h_int (Altura Interior)","- (Opcional)")</f>
        <v/>
      </c>
      <c r="C7" s="20" t="n">
        <v>0</v>
      </c>
      <c r="D7" s="21" t="inlineStr">
        <is>
          <t>cm</t>
        </is>
      </c>
      <c r="F7" s="30" t="inlineStr">
        <is>
          <t>Nudos Activos =</t>
        </is>
      </c>
      <c r="G7" s="31">
        <f>IF(G6&gt;0,MAX(F28:H38),0)</f>
        <v/>
      </c>
      <c r="H7" s="21" t="inlineStr">
        <is>
          <t>nudos</t>
        </is>
      </c>
      <c r="I7" s="21" t="inlineStr">
        <is>
          <t>Correlacional</t>
        </is>
      </c>
      <c r="K7" s="26" t="n">
        <v>5</v>
      </c>
      <c r="L7" s="24" t="inlineStr">
        <is>
          <t>NINGUNO</t>
        </is>
      </c>
      <c r="R7" s="27">
        <f>IF(OR(L7="NINGUNO",L7="",M7="",M7=0),"",IF(L7="RECTANGULO",M7*O7,IF(L7="TRIANGULO",(M7*O7)/2,IF(L7="TRAPECIO",((M7+N7)/2)*O7,IF(L7="CIRCULO",PI()*(M7^2)/4,IF(L7="SEMICIRCULO",PI()*((M7/2)^2)/2,IF(L7="HUECO_RECT",-M7*O7,IF(L7="HUECO_CIRC",-PI()*(M7^2)/4,""))))))))</f>
        <v/>
      </c>
      <c r="S7" s="28">
        <f>IF(R7="","",N(P7)+IF(OR(L7="RECTANGULO",L7="HUECO_RECT"),O7/2,IF(L7="TRIANGULO",O7/3,IF(L7="TRAPECIO",IF((M7+N7)&gt;0,O7*(M7+2*N7)/(3*(M7+N7)),0),IF(OR(L7="CIRCULO",L7="HUECO_CIRC"),M7/2,IF(L7="SEMICIRCULO",(4*(M7/2))/(3*PI()),0))))))</f>
        <v/>
      </c>
      <c r="T7" s="28">
        <f>IF(R7="","",R7*S7)</f>
        <v/>
      </c>
      <c r="U7" s="28">
        <f>IF(R7="","",IF(L7="RECTANGULO",(M7*(O7^3))/12,IF(L7="TRIANGULO",(M7*(O7^3))/36,IF(L7="TRAPECIO",IF((M7+N7)&gt;0,(O7^3)*((M7^2)+4*M7*N7+(N7^2))/(36*(M7+N7)),0),IF(L7="CIRCULO",PI()*(M7^4)/64,IF(L7="SEMICIRCULO",((PI()/8)-(8/(9*PI())))*((M7/2)^4),IF(L7="HUECO_RECT",-(M7*(O7^3))/12,IF(L7="HUECO_CIRC",-PI()*(M7^4)/64,0))))))))</f>
        <v/>
      </c>
      <c r="V7" s="28">
        <f>IF(R7="","",R7*((S7-$S$10)^2))</f>
        <v/>
      </c>
      <c r="W7" s="29">
        <f>IF(R7="","",U7+V7)</f>
        <v/>
      </c>
    </row>
    <row r="8">
      <c r="K8" s="26" t="n">
        <v>6</v>
      </c>
      <c r="L8" s="24" t="inlineStr">
        <is>
          <t>NINGUNO</t>
        </is>
      </c>
      <c r="R8" s="27">
        <f>IF(OR(L8="NINGUNO",L8="",M8="",M8=0),"",IF(L8="RECTANGULO",M8*O8,IF(L8="TRIANGULO",(M8*O8)/2,IF(L8="TRAPECIO",((M8+N8)/2)*O8,IF(L8="CIRCULO",PI()*(M8^2)/4,IF(L8="SEMICIRCULO",PI()*((M8/2)^2)/2,IF(L8="HUECO_RECT",-M8*O8,IF(L8="HUECO_CIRC",-PI()*(M8^2)/4,""))))))))</f>
        <v/>
      </c>
      <c r="S8" s="28">
        <f>IF(R8="","",N(P8)+IF(OR(L8="RECTANGULO",L8="HUECO_RECT"),O8/2,IF(L8="TRIANGULO",O8/3,IF(L8="TRAPECIO",IF((M8+N8)&gt;0,O8*(M8+2*N8)/(3*(M8+N8)),0),IF(OR(L8="CIRCULO",L8="HUECO_CIRC"),M8/2,IF(L8="SEMICIRCULO",(4*(M8/2))/(3*PI()),0))))))</f>
        <v/>
      </c>
      <c r="T8" s="28">
        <f>IF(R8="","",R8*S8)</f>
        <v/>
      </c>
      <c r="U8" s="28">
        <f>IF(R8="","",IF(L8="RECTANGULO",(M8*(O8^3))/12,IF(L8="TRIANGULO",(M8*(O8^3))/36,IF(L8="TRAPECIO",IF((M8+N8)&gt;0,(O8^3)*((M8^2)+4*M8*N8+(N8^2))/(36*(M8+N8)),0),IF(L8="CIRCULO",PI()*(M8^4)/64,IF(L8="SEMICIRCULO",((PI()/8)-(8/(9*PI())))*((M8/2)^4),IF(L8="HUECO_RECT",-(M8*(O8^3))/12,IF(L8="HUECO_CIRC",-PI()*(M8^4)/64,0))))))))</f>
        <v/>
      </c>
      <c r="V8" s="28">
        <f>IF(R8="","",R8*((S8-$S$10)^2))</f>
        <v/>
      </c>
      <c r="W8" s="29">
        <f>IF(R8="","",U8+V8)</f>
        <v/>
      </c>
    </row>
    <row r="9">
      <c r="K9" s="26" t="n">
        <v>7</v>
      </c>
      <c r="L9" s="24" t="inlineStr">
        <is>
          <t>NINGUNO</t>
        </is>
      </c>
      <c r="R9" s="27">
        <f>IF(OR(L9="NINGUNO",L9="",M9="",M9=0),"",IF(L9="RECTANGULO",M9*O9,IF(L9="TRIANGULO",(M9*O9)/2,IF(L9="TRAPECIO",((M9+N9)/2)*O9,IF(L9="CIRCULO",PI()*(M9^2)/4,IF(L9="SEMICIRCULO",PI()*((M9/2)^2)/2,IF(L9="HUECO_RECT",-M9*O9,IF(L9="HUECO_CIRC",-PI()*(M9^2)/4,""))))))))</f>
        <v/>
      </c>
      <c r="S9" s="28">
        <f>IF(R9="","",N(P9)+IF(OR(L9="RECTANGULO",L9="HUECO_RECT"),O9/2,IF(L9="TRIANGULO",O9/3,IF(L9="TRAPECIO",IF((M9+N9)&gt;0,O9*(M9+2*N9)/(3*(M9+N9)),0),IF(OR(L9="CIRCULO",L9="HUECO_CIRC"),M9/2,IF(L9="SEMICIRCULO",(4*(M9/2))/(3*PI()),0))))))</f>
        <v/>
      </c>
      <c r="T9" s="28">
        <f>IF(R9="","",R9*S9)</f>
        <v/>
      </c>
      <c r="U9" s="28">
        <f>IF(R9="","",IF(L9="RECTANGULO",(M9*(O9^3))/12,IF(L9="TRIANGULO",(M9*(O9^3))/36,IF(L9="TRAPECIO",IF((M9+N9)&gt;0,(O9^3)*((M9^2)+4*M9*N9+(N9^2))/(36*(M9+N9)),0),IF(L9="CIRCULO",PI()*(M9^4)/64,IF(L9="SEMICIRCULO",((PI()/8)-(8/(9*PI())))*((M9/2)^4),IF(L9="HUECO_RECT",-(M9*(O9^3))/12,IF(L9="HUECO_CIRC",-PI()*(M9^4)/64,0))))))))</f>
        <v/>
      </c>
      <c r="V9" s="28">
        <f>IF(R9="","",R9*((S9-$S$10)^2))</f>
        <v/>
      </c>
      <c r="W9" s="29">
        <f>IF(R9="","",U9+V9)</f>
        <v/>
      </c>
    </row>
    <row r="10">
      <c r="K10" s="68" t="inlineStr">
        <is>
          <t>TOTALES SECCIÓN COMPUESTA POR STEINER (A_total, Y_CG, I_xx,Steiner) →</t>
        </is>
      </c>
      <c r="L10" s="69" t="n"/>
      <c r="M10" s="69" t="n"/>
      <c r="N10" s="69" t="n"/>
      <c r="O10" s="69" t="n"/>
      <c r="P10" s="69" t="n"/>
      <c r="Q10" s="70" t="n"/>
      <c r="R10" s="32">
        <f>SUM(R3:R9)</f>
        <v/>
      </c>
      <c r="S10" s="32">
        <f>IF(R10&lt;&gt;0,T10/R10,0)</f>
        <v/>
      </c>
      <c r="T10" s="32">
        <f>SUM(T3:T9)</f>
        <v/>
      </c>
      <c r="U10" s="32">
        <f>SUM(U3:U9)</f>
        <v/>
      </c>
      <c r="V10" s="32">
        <f>SUM(V3:V9)</f>
        <v/>
      </c>
      <c r="W10" s="32">
        <f>SUM(W3:W9)</f>
        <v/>
      </c>
    </row>
    <row r="12">
      <c r="B12" s="62" t="inlineStr">
        <is>
          <t>BARRA</t>
        </is>
      </c>
      <c r="C12" s="62" t="inlineStr">
        <is>
          <t>Nudo Inicio</t>
        </is>
      </c>
      <c r="D12" s="63" t="n"/>
      <c r="E12" s="62" t="inlineStr">
        <is>
          <t>Nudo Final</t>
        </is>
      </c>
      <c r="F12" s="63" t="n"/>
      <c r="G12" s="62" t="inlineStr">
        <is>
          <t>Dx</t>
        </is>
      </c>
      <c r="H12" s="62" t="inlineStr">
        <is>
          <t>Dy</t>
        </is>
      </c>
      <c r="I12" s="62" t="inlineStr">
        <is>
          <t>L</t>
        </is>
      </c>
      <c r="J12" s="62" t="inlineStr">
        <is>
          <t>Cosx</t>
        </is>
      </c>
      <c r="K12" s="62" t="inlineStr">
        <is>
          <t>Cosy</t>
        </is>
      </c>
      <c r="L12" s="62" t="inlineStr">
        <is>
          <t>A</t>
        </is>
      </c>
      <c r="M12" s="62" t="inlineStr">
        <is>
          <t>E</t>
        </is>
      </c>
      <c r="N12" s="62" t="inlineStr">
        <is>
          <t>I</t>
        </is>
      </c>
      <c r="O12" s="62" t="inlineStr">
        <is>
          <t>12EI/L^3</t>
        </is>
      </c>
      <c r="P12" s="62" t="inlineStr">
        <is>
          <t>6EI/L^2</t>
        </is>
      </c>
      <c r="Q12" s="62" t="inlineStr">
        <is>
          <t>4EI/L</t>
        </is>
      </c>
      <c r="R12" s="62" t="inlineStr">
        <is>
          <t>2EI/L</t>
        </is>
      </c>
      <c r="S12" s="62" t="inlineStr">
        <is>
          <t>EA/L</t>
        </is>
      </c>
      <c r="T12" s="62" t="inlineStr">
        <is>
          <t>q_dist (kgf/cm)</t>
        </is>
      </c>
      <c r="U12" s="62" t="inlineStr">
        <is>
          <t>P_tramo (kgf)</t>
        </is>
      </c>
      <c r="V12" s="62" t="inlineStr">
        <is>
          <t>a_dist (cm)</t>
        </is>
      </c>
      <c r="W12" s="62" t="inlineStr">
        <is>
          <t>V_ini (kgf)</t>
        </is>
      </c>
      <c r="X12" s="62" t="inlineStr">
        <is>
          <t>M_ini (kgf·cm)</t>
        </is>
      </c>
      <c r="Y12" s="62" t="inlineStr">
        <is>
          <t>V_fin (kgf)</t>
        </is>
      </c>
      <c r="Z12" s="62" t="inlineStr">
        <is>
          <t>M_fin (kgf·cm)</t>
        </is>
      </c>
    </row>
    <row r="13">
      <c r="B13" s="64" t="n"/>
      <c r="C13" s="34" t="inlineStr">
        <is>
          <t>Xi</t>
        </is>
      </c>
      <c r="D13" s="34" t="inlineStr">
        <is>
          <t>Yi</t>
        </is>
      </c>
      <c r="E13" s="34" t="inlineStr">
        <is>
          <t>Xf</t>
        </is>
      </c>
      <c r="F13" s="34" t="inlineStr">
        <is>
          <t>Yf</t>
        </is>
      </c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</row>
    <row r="14">
      <c r="B14" s="35" t="n">
        <v>1</v>
      </c>
      <c r="C14" s="20" t="n">
        <v>0</v>
      </c>
      <c r="D14" s="20" t="n">
        <v>0</v>
      </c>
      <c r="E14" s="20" t="n">
        <v>400</v>
      </c>
      <c r="F14" s="20" t="n">
        <v>0</v>
      </c>
      <c r="G14" s="28">
        <f>IF(COUNTA(C14:F14)=4,E14-C14,"")</f>
        <v/>
      </c>
      <c r="H14" s="28">
        <f>IF(COUNTA(C14:F14)=4,F14-D14,"")</f>
        <v/>
      </c>
      <c r="I14" s="28">
        <f>IF(COUNTA(C14:F14)=4,SQRT(G14^2+H14^2),"")</f>
        <v/>
      </c>
      <c r="J14" s="36">
        <f>IF(OR(I14="",I14=0),"",G14/I14)</f>
        <v/>
      </c>
      <c r="K14" s="36">
        <f>IF(OR(I14="",I14=0),"",H14/I14)</f>
        <v/>
      </c>
      <c r="L14" s="28">
        <f>IF(OR(I14="",I14=0),"",$G$2)</f>
        <v/>
      </c>
      <c r="M14" s="28">
        <f>IF(OR(I14="",I14=0),"",$C$2)</f>
        <v/>
      </c>
      <c r="N14" s="28">
        <f>IF(OR(I14="",I14=0),"",$G$4)</f>
        <v/>
      </c>
      <c r="O14" s="37">
        <f>IF(OR(I14="",I14=0),"",(12*M14*N14)/(I14^3))</f>
        <v/>
      </c>
      <c r="P14" s="37">
        <f>IF(OR(I14="",I14=0),"",(6*M14*N14)/(I14^2))</f>
        <v/>
      </c>
      <c r="Q14" s="37">
        <f>IF(OR(I14="",I14=0),"",(4*M14*N14)/I14)</f>
        <v/>
      </c>
      <c r="R14" s="37">
        <f>IF(OR(I14="",I14=0),"",(2*M14*N14)/I14)</f>
        <v/>
      </c>
      <c r="S14" s="37">
        <f>IF(OR(I14="",I14=0),"",(M14*L14)/I14)</f>
        <v/>
      </c>
      <c r="T14" s="20" t="n">
        <v>5</v>
      </c>
      <c r="U14" s="20" t="n">
        <v>0</v>
      </c>
      <c r="V14" s="20" t="n">
        <v>0</v>
      </c>
      <c r="W14" s="38">
        <f>IF(OR(I14="",I14=0),"",(N(T14)*I14/2)+IF(N(U14)&lt;&gt;0,N(U14)*((I14-IF(OR(V14="",V14=0),I14/2,V14))^2)*(3*IF(OR(V14="",V14=0),I14/2,V14)+(I14-IF(OR(V14="",V14=0),I14/2,V14)))/(I14^3),0))</f>
        <v/>
      </c>
      <c r="X14" s="38">
        <f>IF(OR(I14="",I14=0),"",(N(T14)*(I14^2)/12)+IF(N(U14)&lt;&gt;0,N(U14)*IF(OR(V14="",V14=0),I14/2,V14)*((I14-IF(OR(V14="",V14=0),I14/2,V14))^2)/(I14^2),0))</f>
        <v/>
      </c>
      <c r="Y14" s="38">
        <f>IF(OR(I14="",I14=0),"",(N(T14)*I14/2)+IF(N(U14)&lt;&gt;0,N(U14)*(IF(OR(V14="",V14=0),I14/2,V14)^2)*(IF(OR(V14="",V14=0),I14/2,V14)+3*(I14-IF(OR(V14="",V14=0),I14/2,V14)))/(I14^3),0))</f>
        <v/>
      </c>
      <c r="Z14" s="38">
        <f>IF(OR(I14="",I14=0),"",-(N(T14)*(I14^2)/12)-IF(N(U14)&lt;&gt;0,N(U14)*(IF(OR(V14="",V14=0),I14/2,V14)^2)*(I14-IF(OR(V14="",V14=0),I14/2,V14))/(I14^2),0))</f>
        <v/>
      </c>
    </row>
    <row r="15">
      <c r="B15" s="39" t="n">
        <v>2</v>
      </c>
      <c r="G15" s="28">
        <f>IF(COUNTA(C15:F15)=4,E15-C15,"")</f>
        <v/>
      </c>
      <c r="H15" s="28">
        <f>IF(COUNTA(C15:F15)=4,F15-D15,"")</f>
        <v/>
      </c>
      <c r="I15" s="28">
        <f>IF(COUNTA(C15:F15)=4,SQRT(G15^2+H15^2),"")</f>
        <v/>
      </c>
      <c r="J15" s="36">
        <f>IF(OR(I15="",I15=0),"",G15/I15)</f>
        <v/>
      </c>
      <c r="K15" s="36">
        <f>IF(OR(I15="",I15=0),"",H15/I15)</f>
        <v/>
      </c>
      <c r="L15" s="28">
        <f>IF(OR(I15="",I15=0),"",$G$2)</f>
        <v/>
      </c>
      <c r="M15" s="28">
        <f>IF(OR(I15="",I15=0),"",$C$2)</f>
        <v/>
      </c>
      <c r="N15" s="28">
        <f>IF(OR(I15="",I15=0),"",$G$4)</f>
        <v/>
      </c>
      <c r="O15" s="37">
        <f>IF(OR(I15="",I15=0),"",(12*M15*N15)/(I15^3))</f>
        <v/>
      </c>
      <c r="P15" s="37">
        <f>IF(OR(I15="",I15=0),"",(6*M15*N15)/(I15^2))</f>
        <v/>
      </c>
      <c r="Q15" s="37">
        <f>IF(OR(I15="",I15=0),"",(4*M15*N15)/I15)</f>
        <v/>
      </c>
      <c r="R15" s="37">
        <f>IF(OR(I15="",I15=0),"",(2*M15*N15)/I15)</f>
        <v/>
      </c>
      <c r="S15" s="37">
        <f>IF(OR(I15="",I15=0),"",(M15*L15)/I15)</f>
        <v/>
      </c>
      <c r="W15" s="38">
        <f>IF(OR(I15="",I15=0),"",(N(T15)*I15/2)+IF(N(U15)&lt;&gt;0,N(U15)*((I15-IF(OR(V15="",V15=0),I15/2,V15))^2)*(3*IF(OR(V15="",V15=0),I15/2,V15)+(I15-IF(OR(V15="",V15=0),I15/2,V15)))/(I15^3),0))</f>
        <v/>
      </c>
      <c r="X15" s="38">
        <f>IF(OR(I15="",I15=0),"",(N(T15)*(I15^2)/12)+IF(N(U15)&lt;&gt;0,N(U15)*IF(OR(V15="",V15=0),I15/2,V15)*((I15-IF(OR(V15="",V15=0),I15/2,V15))^2)/(I15^2),0))</f>
        <v/>
      </c>
      <c r="Y15" s="38">
        <f>IF(OR(I15="",I15=0),"",(N(T15)*I15/2)+IF(N(U15)&lt;&gt;0,N(U15)*(IF(OR(V15="",V15=0),I15/2,V15)^2)*(IF(OR(V15="",V15=0),I15/2,V15)+3*(I15-IF(OR(V15="",V15=0),I15/2,V15)))/(I15^3),0))</f>
        <v/>
      </c>
      <c r="Z15" s="38">
        <f>IF(OR(I15="",I15=0),"",-(N(T15)*(I15^2)/12)-IF(N(U15)&lt;&gt;0,N(U15)*(IF(OR(V15="",V15=0),I15/2,V15)^2)*(I15-IF(OR(V15="",V15=0),I15/2,V15))/(I15^2),0))</f>
        <v/>
      </c>
    </row>
    <row r="16">
      <c r="B16" s="24" t="n">
        <v>3</v>
      </c>
      <c r="G16" s="28">
        <f>IF(COUNTA(C16:F16)=4,E16-C16,"")</f>
        <v/>
      </c>
      <c r="H16" s="28">
        <f>IF(COUNTA(C16:F16)=4,F16-D16,"")</f>
        <v/>
      </c>
      <c r="I16" s="28">
        <f>IF(COUNTA(C16:F16)=4,SQRT(G16^2+H16^2),"")</f>
        <v/>
      </c>
      <c r="J16" s="36">
        <f>IF(OR(I16="",I16=0),"",G16/I16)</f>
        <v/>
      </c>
      <c r="K16" s="36">
        <f>IF(OR(I16="",I16=0),"",H16/I16)</f>
        <v/>
      </c>
      <c r="L16" s="28">
        <f>IF(OR(I16="",I16=0),"",$G$2)</f>
        <v/>
      </c>
      <c r="M16" s="28">
        <f>IF(OR(I16="",I16=0),"",$C$2)</f>
        <v/>
      </c>
      <c r="N16" s="28">
        <f>IF(OR(I16="",I16=0),"",$G$4)</f>
        <v/>
      </c>
      <c r="O16" s="37">
        <f>IF(OR(I16="",I16=0),"",(12*M16*N16)/(I16^3))</f>
        <v/>
      </c>
      <c r="P16" s="37">
        <f>IF(OR(I16="",I16=0),"",(6*M16*N16)/(I16^2))</f>
        <v/>
      </c>
      <c r="Q16" s="37">
        <f>IF(OR(I16="",I16=0),"",(4*M16*N16)/I16)</f>
        <v/>
      </c>
      <c r="R16" s="37">
        <f>IF(OR(I16="",I16=0),"",(2*M16*N16)/I16)</f>
        <v/>
      </c>
      <c r="S16" s="37">
        <f>IF(OR(I16="",I16=0),"",(M16*L16)/I16)</f>
        <v/>
      </c>
      <c r="W16" s="38">
        <f>IF(OR(I16="",I16=0),"",(N(T16)*I16/2)+IF(N(U16)&lt;&gt;0,N(U16)*((I16-IF(OR(V16="",V16=0),I16/2,V16))^2)*(3*IF(OR(V16="",V16=0),I16/2,V16)+(I16-IF(OR(V16="",V16=0),I16/2,V16)))/(I16^3),0))</f>
        <v/>
      </c>
      <c r="X16" s="38">
        <f>IF(OR(I16="",I16=0),"",(N(T16)*(I16^2)/12)+IF(N(U16)&lt;&gt;0,N(U16)*IF(OR(V16="",V16=0),I16/2,V16)*((I16-IF(OR(V16="",V16=0),I16/2,V16))^2)/(I16^2),0))</f>
        <v/>
      </c>
      <c r="Y16" s="38">
        <f>IF(OR(I16="",I16=0),"",(N(T16)*I16/2)+IF(N(U16)&lt;&gt;0,N(U16)*(IF(OR(V16="",V16=0),I16/2,V16)^2)*(IF(OR(V16="",V16=0),I16/2,V16)+3*(I16-IF(OR(V16="",V16=0),I16/2,V16)))/(I16^3),0))</f>
        <v/>
      </c>
      <c r="Z16" s="38">
        <f>IF(OR(I16="",I16=0),"",-(N(T16)*(I16^2)/12)-IF(N(U16)&lt;&gt;0,N(U16)*(IF(OR(V16="",V16=0),I16/2,V16)^2)*(I16-IF(OR(V16="",V16=0),I16/2,V16))/(I16^2),0))</f>
        <v/>
      </c>
    </row>
    <row r="17">
      <c r="B17" s="40" t="n">
        <v>4</v>
      </c>
      <c r="G17" s="28">
        <f>IF(COUNTA(C17:F17)=4,E17-C17,"")</f>
        <v/>
      </c>
      <c r="H17" s="28">
        <f>IF(COUNTA(C17:F17)=4,F17-D17,"")</f>
        <v/>
      </c>
      <c r="I17" s="28">
        <f>IF(COUNTA(C17:F17)=4,SQRT(G17^2+H17^2),"")</f>
        <v/>
      </c>
      <c r="J17" s="36">
        <f>IF(OR(I17="",I17=0),"",G17/I17)</f>
        <v/>
      </c>
      <c r="K17" s="36">
        <f>IF(OR(I17="",I17=0),"",H17/I17)</f>
        <v/>
      </c>
      <c r="L17" s="28">
        <f>IF(OR(I17="",I17=0),"",$G$2)</f>
        <v/>
      </c>
      <c r="M17" s="28">
        <f>IF(OR(I17="",I17=0),"",$C$2)</f>
        <v/>
      </c>
      <c r="N17" s="28">
        <f>IF(OR(I17="",I17=0),"",$G$4)</f>
        <v/>
      </c>
      <c r="O17" s="37">
        <f>IF(OR(I17="",I17=0),"",(12*M17*N17)/(I17^3))</f>
        <v/>
      </c>
      <c r="P17" s="37">
        <f>IF(OR(I17="",I17=0),"",(6*M17*N17)/(I17^2))</f>
        <v/>
      </c>
      <c r="Q17" s="37">
        <f>IF(OR(I17="",I17=0),"",(4*M17*N17)/I17)</f>
        <v/>
      </c>
      <c r="R17" s="37">
        <f>IF(OR(I17="",I17=0),"",(2*M17*N17)/I17)</f>
        <v/>
      </c>
      <c r="S17" s="37">
        <f>IF(OR(I17="",I17=0),"",(M17*L17)/I17)</f>
        <v/>
      </c>
      <c r="W17" s="38">
        <f>IF(OR(I17="",I17=0),"",(N(T17)*I17/2)+IF(N(U17)&lt;&gt;0,N(U17)*((I17-IF(OR(V17="",V17=0),I17/2,V17))^2)*(3*IF(OR(V17="",V17=0),I17/2,V17)+(I17-IF(OR(V17="",V17=0),I17/2,V17)))/(I17^3),0))</f>
        <v/>
      </c>
      <c r="X17" s="38">
        <f>IF(OR(I17="",I17=0),"",(N(T17)*(I17^2)/12)+IF(N(U17)&lt;&gt;0,N(U17)*IF(OR(V17="",V17=0),I17/2,V17)*((I17-IF(OR(V17="",V17=0),I17/2,V17))^2)/(I17^2),0))</f>
        <v/>
      </c>
      <c r="Y17" s="38">
        <f>IF(OR(I17="",I17=0),"",(N(T17)*I17/2)+IF(N(U17)&lt;&gt;0,N(U17)*(IF(OR(V17="",V17=0),I17/2,V17)^2)*(IF(OR(V17="",V17=0),I17/2,V17)+3*(I17-IF(OR(V17="",V17=0),I17/2,V17)))/(I17^3),0))</f>
        <v/>
      </c>
      <c r="Z17" s="38">
        <f>IF(OR(I17="",I17=0),"",-(N(T17)*(I17^2)/12)-IF(N(U17)&lt;&gt;0,N(U17)*(IF(OR(V17="",V17=0),I17/2,V17)^2)*(I17-IF(OR(V17="",V17=0),I17/2,V17))/(I17^2),0))</f>
        <v/>
      </c>
    </row>
    <row r="18">
      <c r="B18" s="41" t="n">
        <v>5</v>
      </c>
      <c r="G18" s="28">
        <f>IF(COUNTA(C18:F18)=4,E18-C18,"")</f>
        <v/>
      </c>
      <c r="H18" s="28">
        <f>IF(COUNTA(C18:F18)=4,F18-D18,"")</f>
        <v/>
      </c>
      <c r="I18" s="28">
        <f>IF(COUNTA(C18:F18)=4,SQRT(G18^2+H18^2),"")</f>
        <v/>
      </c>
      <c r="J18" s="36">
        <f>IF(OR(I18="",I18=0),"",G18/I18)</f>
        <v/>
      </c>
      <c r="K18" s="36">
        <f>IF(OR(I18="",I18=0),"",H18/I18)</f>
        <v/>
      </c>
      <c r="L18" s="28">
        <f>IF(OR(I18="",I18=0),"",$G$2)</f>
        <v/>
      </c>
      <c r="M18" s="28">
        <f>IF(OR(I18="",I18=0),"",$C$2)</f>
        <v/>
      </c>
      <c r="N18" s="28">
        <f>IF(OR(I18="",I18=0),"",$G$4)</f>
        <v/>
      </c>
      <c r="O18" s="37">
        <f>IF(OR(I18="",I18=0),"",(12*M18*N18)/(I18^3))</f>
        <v/>
      </c>
      <c r="P18" s="37">
        <f>IF(OR(I18="",I18=0),"",(6*M18*N18)/(I18^2))</f>
        <v/>
      </c>
      <c r="Q18" s="37">
        <f>IF(OR(I18="",I18=0),"",(4*M18*N18)/I18)</f>
        <v/>
      </c>
      <c r="R18" s="37">
        <f>IF(OR(I18="",I18=0),"",(2*M18*N18)/I18)</f>
        <v/>
      </c>
      <c r="S18" s="37">
        <f>IF(OR(I18="",I18=0),"",(M18*L18)/I18)</f>
        <v/>
      </c>
      <c r="W18" s="38">
        <f>IF(OR(I18="",I18=0),"",(N(T18)*I18/2)+IF(N(U18)&lt;&gt;0,N(U18)*((I18-IF(OR(V18="",V18=0),I18/2,V18))^2)*(3*IF(OR(V18="",V18=0),I18/2,V18)+(I18-IF(OR(V18="",V18=0),I18/2,V18)))/(I18^3),0))</f>
        <v/>
      </c>
      <c r="X18" s="38">
        <f>IF(OR(I18="",I18=0),"",(N(T18)*(I18^2)/12)+IF(N(U18)&lt;&gt;0,N(U18)*IF(OR(V18="",V18=0),I18/2,V18)*((I18-IF(OR(V18="",V18=0),I18/2,V18))^2)/(I18^2),0))</f>
        <v/>
      </c>
      <c r="Y18" s="38">
        <f>IF(OR(I18="",I18=0),"",(N(T18)*I18/2)+IF(N(U18)&lt;&gt;0,N(U18)*(IF(OR(V18="",V18=0),I18/2,V18)^2)*(IF(OR(V18="",V18=0),I18/2,V18)+3*(I18-IF(OR(V18="",V18=0),I18/2,V18)))/(I18^3),0))</f>
        <v/>
      </c>
      <c r="Z18" s="38">
        <f>IF(OR(I18="",I18=0),"",-(N(T18)*(I18^2)/12)-IF(N(U18)&lt;&gt;0,N(U18)*(IF(OR(V18="",V18=0),I18/2,V18)^2)*(I18-IF(OR(V18="",V18=0),I18/2,V18))/(I18^2),0))</f>
        <v/>
      </c>
    </row>
    <row r="19">
      <c r="B19" s="26" t="n">
        <v>6</v>
      </c>
      <c r="G19" s="28">
        <f>IF(COUNTA(C19:F19)=4,E19-C19,"")</f>
        <v/>
      </c>
      <c r="H19" s="28">
        <f>IF(COUNTA(C19:F19)=4,F19-D19,"")</f>
        <v/>
      </c>
      <c r="I19" s="28">
        <f>IF(COUNTA(C19:F19)=4,SQRT(G19^2+H19^2),"")</f>
        <v/>
      </c>
      <c r="J19" s="36">
        <f>IF(OR(I19="",I19=0),"",G19/I19)</f>
        <v/>
      </c>
      <c r="K19" s="36">
        <f>IF(OR(I19="",I19=0),"",H19/I19)</f>
        <v/>
      </c>
      <c r="L19" s="28">
        <f>IF(OR(I19="",I19=0),"",$G$2)</f>
        <v/>
      </c>
      <c r="M19" s="28">
        <f>IF(OR(I19="",I19=0),"",$C$2)</f>
        <v/>
      </c>
      <c r="N19" s="28">
        <f>IF(OR(I19="",I19=0),"",$G$4)</f>
        <v/>
      </c>
      <c r="O19" s="37">
        <f>IF(OR(I19="",I19=0),"",(12*M19*N19)/(I19^3))</f>
        <v/>
      </c>
      <c r="P19" s="37">
        <f>IF(OR(I19="",I19=0),"",(6*M19*N19)/(I19^2))</f>
        <v/>
      </c>
      <c r="Q19" s="37">
        <f>IF(OR(I19="",I19=0),"",(4*M19*N19)/I19)</f>
        <v/>
      </c>
      <c r="R19" s="37">
        <f>IF(OR(I19="",I19=0),"",(2*M19*N19)/I19)</f>
        <v/>
      </c>
      <c r="S19" s="37">
        <f>IF(OR(I19="",I19=0),"",(M19*L19)/I19)</f>
        <v/>
      </c>
      <c r="W19" s="38">
        <f>IF(OR(I19="",I19=0),"",(N(T19)*I19/2)+IF(N(U19)&lt;&gt;0,N(U19)*((I19-IF(OR(V19="",V19=0),I19/2,V19))^2)*(3*IF(OR(V19="",V19=0),I19/2,V19)+(I19-IF(OR(V19="",V19=0),I19/2,V19)))/(I19^3),0))</f>
        <v/>
      </c>
      <c r="X19" s="38">
        <f>IF(OR(I19="",I19=0),"",(N(T19)*(I19^2)/12)+IF(N(U19)&lt;&gt;0,N(U19)*IF(OR(V19="",V19=0),I19/2,V19)*((I19-IF(OR(V19="",V19=0),I19/2,V19))^2)/(I19^2),0))</f>
        <v/>
      </c>
      <c r="Y19" s="38">
        <f>IF(OR(I19="",I19=0),"",(N(T19)*I19/2)+IF(N(U19)&lt;&gt;0,N(U19)*(IF(OR(V19="",V19=0),I19/2,V19)^2)*(IF(OR(V19="",V19=0),I19/2,V19)+3*(I19-IF(OR(V19="",V19=0),I19/2,V19)))/(I19^3),0))</f>
        <v/>
      </c>
      <c r="Z19" s="38">
        <f>IF(OR(I19="",I19=0),"",-(N(T19)*(I19^2)/12)-IF(N(U19)&lt;&gt;0,N(U19)*(IF(OR(V19="",V19=0),I19/2,V19)^2)*(I19-IF(OR(V19="",V19=0),I19/2,V19))/(I19^2),0))</f>
        <v/>
      </c>
    </row>
    <row r="20">
      <c r="B20" s="42" t="n">
        <v>7</v>
      </c>
      <c r="G20" s="28">
        <f>IF(COUNTA(C20:F20)=4,E20-C20,"")</f>
        <v/>
      </c>
      <c r="H20" s="28">
        <f>IF(COUNTA(C20:F20)=4,F20-D20,"")</f>
        <v/>
      </c>
      <c r="I20" s="28">
        <f>IF(COUNTA(C20:F20)=4,SQRT(G20^2+H20^2),"")</f>
        <v/>
      </c>
      <c r="J20" s="36">
        <f>IF(OR(I20="",I20=0),"",G20/I20)</f>
        <v/>
      </c>
      <c r="K20" s="36">
        <f>IF(OR(I20="",I20=0),"",H20/I20)</f>
        <v/>
      </c>
      <c r="L20" s="28">
        <f>IF(OR(I20="",I20=0),"",$G$2)</f>
        <v/>
      </c>
      <c r="M20" s="28">
        <f>IF(OR(I20="",I20=0),"",$C$2)</f>
        <v/>
      </c>
      <c r="N20" s="28">
        <f>IF(OR(I20="",I20=0),"",$G$4)</f>
        <v/>
      </c>
      <c r="O20" s="37">
        <f>IF(OR(I20="",I20=0),"",(12*M20*N20)/(I20^3))</f>
        <v/>
      </c>
      <c r="P20" s="37">
        <f>IF(OR(I20="",I20=0),"",(6*M20*N20)/(I20^2))</f>
        <v/>
      </c>
      <c r="Q20" s="37">
        <f>IF(OR(I20="",I20=0),"",(4*M20*N20)/I20)</f>
        <v/>
      </c>
      <c r="R20" s="37">
        <f>IF(OR(I20="",I20=0),"",(2*M20*N20)/I20)</f>
        <v/>
      </c>
      <c r="S20" s="37">
        <f>IF(OR(I20="",I20=0),"",(M20*L20)/I20)</f>
        <v/>
      </c>
      <c r="W20" s="38">
        <f>IF(OR(I20="",I20=0),"",(N(T20)*I20/2)+IF(N(U20)&lt;&gt;0,N(U20)*((I20-IF(OR(V20="",V20=0),I20/2,V20))^2)*(3*IF(OR(V20="",V20=0),I20/2,V20)+(I20-IF(OR(V20="",V20=0),I20/2,V20)))/(I20^3),0))</f>
        <v/>
      </c>
      <c r="X20" s="38">
        <f>IF(OR(I20="",I20=0),"",(N(T20)*(I20^2)/12)+IF(N(U20)&lt;&gt;0,N(U20)*IF(OR(V20="",V20=0),I20/2,V20)*((I20-IF(OR(V20="",V20=0),I20/2,V20))^2)/(I20^2),0))</f>
        <v/>
      </c>
      <c r="Y20" s="38">
        <f>IF(OR(I20="",I20=0),"",(N(T20)*I20/2)+IF(N(U20)&lt;&gt;0,N(U20)*(IF(OR(V20="",V20=0),I20/2,V20)^2)*(IF(OR(V20="",V20=0),I20/2,V20)+3*(I20-IF(OR(V20="",V20=0),I20/2,V20)))/(I20^3),0))</f>
        <v/>
      </c>
      <c r="Z20" s="38">
        <f>IF(OR(I20="",I20=0),"",-(N(T20)*(I20^2)/12)-IF(N(U20)&lt;&gt;0,N(U20)*(IF(OR(V20="",V20=0),I20/2,V20)^2)*(I20-IF(OR(V20="",V20=0),I20/2,V20))/(I20^2),0))</f>
        <v/>
      </c>
    </row>
    <row r="21">
      <c r="B21" s="43" t="n">
        <v>8</v>
      </c>
      <c r="G21" s="28">
        <f>IF(COUNTA(C21:F21)=4,E21-C21,"")</f>
        <v/>
      </c>
      <c r="H21" s="28">
        <f>IF(COUNTA(C21:F21)=4,F21-D21,"")</f>
        <v/>
      </c>
      <c r="I21" s="28">
        <f>IF(COUNTA(C21:F21)=4,SQRT(G21^2+H21^2),"")</f>
        <v/>
      </c>
      <c r="J21" s="36">
        <f>IF(OR(I21="",I21=0),"",G21/I21)</f>
        <v/>
      </c>
      <c r="K21" s="36">
        <f>IF(OR(I21="",I21=0),"",H21/I21)</f>
        <v/>
      </c>
      <c r="L21" s="28">
        <f>IF(OR(I21="",I21=0),"",$G$2)</f>
        <v/>
      </c>
      <c r="M21" s="28">
        <f>IF(OR(I21="",I21=0),"",$C$2)</f>
        <v/>
      </c>
      <c r="N21" s="28">
        <f>IF(OR(I21="",I21=0),"",$G$4)</f>
        <v/>
      </c>
      <c r="O21" s="37">
        <f>IF(OR(I21="",I21=0),"",(12*M21*N21)/(I21^3))</f>
        <v/>
      </c>
      <c r="P21" s="37">
        <f>IF(OR(I21="",I21=0),"",(6*M21*N21)/(I21^2))</f>
        <v/>
      </c>
      <c r="Q21" s="37">
        <f>IF(OR(I21="",I21=0),"",(4*M21*N21)/I21)</f>
        <v/>
      </c>
      <c r="R21" s="37">
        <f>IF(OR(I21="",I21=0),"",(2*M21*N21)/I21)</f>
        <v/>
      </c>
      <c r="S21" s="37">
        <f>IF(OR(I21="",I21=0),"",(M21*L21)/I21)</f>
        <v/>
      </c>
      <c r="W21" s="38">
        <f>IF(OR(I21="",I21=0),"",(N(T21)*I21/2)+IF(N(U21)&lt;&gt;0,N(U21)*((I21-IF(OR(V21="",V21=0),I21/2,V21))^2)*(3*IF(OR(V21="",V21=0),I21/2,V21)+(I21-IF(OR(V21="",V21=0),I21/2,V21)))/(I21^3),0))</f>
        <v/>
      </c>
      <c r="X21" s="38">
        <f>IF(OR(I21="",I21=0),"",(N(T21)*(I21^2)/12)+IF(N(U21)&lt;&gt;0,N(U21)*IF(OR(V21="",V21=0),I21/2,V21)*((I21-IF(OR(V21="",V21=0),I21/2,V21))^2)/(I21^2),0))</f>
        <v/>
      </c>
      <c r="Y21" s="38">
        <f>IF(OR(I21="",I21=0),"",(N(T21)*I21/2)+IF(N(U21)&lt;&gt;0,N(U21)*(IF(OR(V21="",V21=0),I21/2,V21)^2)*(IF(OR(V21="",V21=0),I21/2,V21)+3*(I21-IF(OR(V21="",V21=0),I21/2,V21)))/(I21^3),0))</f>
        <v/>
      </c>
      <c r="Z21" s="38">
        <f>IF(OR(I21="",I21=0),"",-(N(T21)*(I21^2)/12)-IF(N(U21)&lt;&gt;0,N(U21)*(IF(OR(V21="",V21=0),I21/2,V21)^2)*(I21-IF(OR(V21="",V21=0),I21/2,V21))/(I21^2),0))</f>
        <v/>
      </c>
    </row>
    <row r="22">
      <c r="B22" s="44" t="n">
        <v>9</v>
      </c>
      <c r="G22" s="28">
        <f>IF(COUNTA(C22:F22)=4,E22-C22,"")</f>
        <v/>
      </c>
      <c r="H22" s="28">
        <f>IF(COUNTA(C22:F22)=4,F22-D22,"")</f>
        <v/>
      </c>
      <c r="I22" s="28">
        <f>IF(COUNTA(C22:F22)=4,SQRT(G22^2+H22^2),"")</f>
        <v/>
      </c>
      <c r="J22" s="36">
        <f>IF(OR(I22="",I22=0),"",G22/I22)</f>
        <v/>
      </c>
      <c r="K22" s="36">
        <f>IF(OR(I22="",I22=0),"",H22/I22)</f>
        <v/>
      </c>
      <c r="L22" s="28">
        <f>IF(OR(I22="",I22=0),"",$G$2)</f>
        <v/>
      </c>
      <c r="M22" s="28">
        <f>IF(OR(I22="",I22=0),"",$C$2)</f>
        <v/>
      </c>
      <c r="N22" s="28">
        <f>IF(OR(I22="",I22=0),"",$G$4)</f>
        <v/>
      </c>
      <c r="O22" s="37">
        <f>IF(OR(I22="",I22=0),"",(12*M22*N22)/(I22^3))</f>
        <v/>
      </c>
      <c r="P22" s="37">
        <f>IF(OR(I22="",I22=0),"",(6*M22*N22)/(I22^2))</f>
        <v/>
      </c>
      <c r="Q22" s="37">
        <f>IF(OR(I22="",I22=0),"",(4*M22*N22)/I22)</f>
        <v/>
      </c>
      <c r="R22" s="37">
        <f>IF(OR(I22="",I22=0),"",(2*M22*N22)/I22)</f>
        <v/>
      </c>
      <c r="S22" s="37">
        <f>IF(OR(I22="",I22=0),"",(M22*L22)/I22)</f>
        <v/>
      </c>
      <c r="W22" s="38">
        <f>IF(OR(I22="",I22=0),"",(N(T22)*I22/2)+IF(N(U22)&lt;&gt;0,N(U22)*((I22-IF(OR(V22="",V22=0),I22/2,V22))^2)*(3*IF(OR(V22="",V22=0),I22/2,V22)+(I22-IF(OR(V22="",V22=0),I22/2,V22)))/(I22^3),0))</f>
        <v/>
      </c>
      <c r="X22" s="38">
        <f>IF(OR(I22="",I22=0),"",(N(T22)*(I22^2)/12)+IF(N(U22)&lt;&gt;0,N(U22)*IF(OR(V22="",V22=0),I22/2,V22)*((I22-IF(OR(V22="",V22=0),I22/2,V22))^2)/(I22^2),0))</f>
        <v/>
      </c>
      <c r="Y22" s="38">
        <f>IF(OR(I22="",I22=0),"",(N(T22)*I22/2)+IF(N(U22)&lt;&gt;0,N(U22)*(IF(OR(V22="",V22=0),I22/2,V22)^2)*(IF(OR(V22="",V22=0),I22/2,V22)+3*(I22-IF(OR(V22="",V22=0),I22/2,V22)))/(I22^3),0))</f>
        <v/>
      </c>
      <c r="Z22" s="38">
        <f>IF(OR(I22="",I22=0),"",-(N(T22)*(I22^2)/12)-IF(N(U22)&lt;&gt;0,N(U22)*(IF(OR(V22="",V22=0),I22/2,V22)^2)*(I22-IF(OR(V22="",V22=0),I22/2,V22))/(I22^2),0))</f>
        <v/>
      </c>
    </row>
    <row r="23">
      <c r="B23" s="45" t="n">
        <v>10</v>
      </c>
      <c r="G23" s="28">
        <f>IF(COUNTA(C23:F23)=4,E23-C23,"")</f>
        <v/>
      </c>
      <c r="H23" s="28">
        <f>IF(COUNTA(C23:F23)=4,F23-D23,"")</f>
        <v/>
      </c>
      <c r="I23" s="28">
        <f>IF(COUNTA(C23:F23)=4,SQRT(G23^2+H23^2),"")</f>
        <v/>
      </c>
      <c r="J23" s="36">
        <f>IF(OR(I23="",I23=0),"",G23/I23)</f>
        <v/>
      </c>
      <c r="K23" s="36">
        <f>IF(OR(I23="",I23=0),"",H23/I23)</f>
        <v/>
      </c>
      <c r="L23" s="28">
        <f>IF(OR(I23="",I23=0),"",$G$2)</f>
        <v/>
      </c>
      <c r="M23" s="28">
        <f>IF(OR(I23="",I23=0),"",$C$2)</f>
        <v/>
      </c>
      <c r="N23" s="28">
        <f>IF(OR(I23="",I23=0),"",$G$4)</f>
        <v/>
      </c>
      <c r="O23" s="37">
        <f>IF(OR(I23="",I23=0),"",(12*M23*N23)/(I23^3))</f>
        <v/>
      </c>
      <c r="P23" s="37">
        <f>IF(OR(I23="",I23=0),"",(6*M23*N23)/(I23^2))</f>
        <v/>
      </c>
      <c r="Q23" s="37">
        <f>IF(OR(I23="",I23=0),"",(4*M23*N23)/I23)</f>
        <v/>
      </c>
      <c r="R23" s="37">
        <f>IF(OR(I23="",I23=0),"",(2*M23*N23)/I23)</f>
        <v/>
      </c>
      <c r="S23" s="37">
        <f>IF(OR(I23="",I23=0),"",(M23*L23)/I23)</f>
        <v/>
      </c>
      <c r="W23" s="38">
        <f>IF(OR(I23="",I23=0),"",(N(T23)*I23/2)+IF(N(U23)&lt;&gt;0,N(U23)*((I23-IF(OR(V23="",V23=0),I23/2,V23))^2)*(3*IF(OR(V23="",V23=0),I23/2,V23)+(I23-IF(OR(V23="",V23=0),I23/2,V23)))/(I23^3),0))</f>
        <v/>
      </c>
      <c r="X23" s="38">
        <f>IF(OR(I23="",I23=0),"",(N(T23)*(I23^2)/12)+IF(N(U23)&lt;&gt;0,N(U23)*IF(OR(V23="",V23=0),I23/2,V23)*((I23-IF(OR(V23="",V23=0),I23/2,V23))^2)/(I23^2),0))</f>
        <v/>
      </c>
      <c r="Y23" s="38">
        <f>IF(OR(I23="",I23=0),"",(N(T23)*I23/2)+IF(N(U23)&lt;&gt;0,N(U23)*(IF(OR(V23="",V23=0),I23/2,V23)^2)*(IF(OR(V23="",V23=0),I23/2,V23)+3*(I23-IF(OR(V23="",V23=0),I23/2,V23)))/(I23^3),0))</f>
        <v/>
      </c>
      <c r="Z23" s="38">
        <f>IF(OR(I23="",I23=0),"",-(N(T23)*(I23^2)/12)-IF(N(U23)&lt;&gt;0,N(U23)*(IF(OR(V23="",V23=0),I23/2,V23)^2)*(I23-IF(OR(V23="",V23=0),I23/2,V23))/(I23^2),0))</f>
        <v/>
      </c>
    </row>
    <row r="24">
      <c r="B24" s="46" t="n">
        <v>11</v>
      </c>
      <c r="G24" s="28">
        <f>IF(COUNTA(C24:F24)=4,E24-C24,"")</f>
        <v/>
      </c>
      <c r="H24" s="28">
        <f>IF(COUNTA(C24:F24)=4,F24-D24,"")</f>
        <v/>
      </c>
      <c r="I24" s="28">
        <f>IF(COUNTA(C24:F24)=4,SQRT(G24^2+H24^2),"")</f>
        <v/>
      </c>
      <c r="J24" s="36">
        <f>IF(OR(I24="",I24=0),"",G24/I24)</f>
        <v/>
      </c>
      <c r="K24" s="36">
        <f>IF(OR(I24="",I24=0),"",H24/I24)</f>
        <v/>
      </c>
      <c r="L24" s="28">
        <f>IF(OR(I24="",I24=0),"",$G$2)</f>
        <v/>
      </c>
      <c r="M24" s="28">
        <f>IF(OR(I24="",I24=0),"",$C$2)</f>
        <v/>
      </c>
      <c r="N24" s="28">
        <f>IF(OR(I24="",I24=0),"",$G$4)</f>
        <v/>
      </c>
      <c r="O24" s="37">
        <f>IF(OR(I24="",I24=0),"",(12*M24*N24)/(I24^3))</f>
        <v/>
      </c>
      <c r="P24" s="37">
        <f>IF(OR(I24="",I24=0),"",(6*M24*N24)/(I24^2))</f>
        <v/>
      </c>
      <c r="Q24" s="37">
        <f>IF(OR(I24="",I24=0),"",(4*M24*N24)/I24)</f>
        <v/>
      </c>
      <c r="R24" s="37">
        <f>IF(OR(I24="",I24=0),"",(2*M24*N24)/I24)</f>
        <v/>
      </c>
      <c r="S24" s="37">
        <f>IF(OR(I24="",I24=0),"",(M24*L24)/I24)</f>
        <v/>
      </c>
      <c r="W24" s="38">
        <f>IF(OR(I24="",I24=0),"",(N(T24)*I24/2)+IF(N(U24)&lt;&gt;0,N(U24)*((I24-IF(OR(V24="",V24=0),I24/2,V24))^2)*(3*IF(OR(V24="",V24=0),I24/2,V24)+(I24-IF(OR(V24="",V24=0),I24/2,V24)))/(I24^3),0))</f>
        <v/>
      </c>
      <c r="X24" s="38">
        <f>IF(OR(I24="",I24=0),"",(N(T24)*(I24^2)/12)+IF(N(U24)&lt;&gt;0,N(U24)*IF(OR(V24="",V24=0),I24/2,V24)*((I24-IF(OR(V24="",V24=0),I24/2,V24))^2)/(I24^2),0))</f>
        <v/>
      </c>
      <c r="Y24" s="38">
        <f>IF(OR(I24="",I24=0),"",(N(T24)*I24/2)+IF(N(U24)&lt;&gt;0,N(U24)*(IF(OR(V24="",V24=0),I24/2,V24)^2)*(IF(OR(V24="",V24=0),I24/2,V24)+3*(I24-IF(OR(V24="",V24=0),I24/2,V24)))/(I24^3),0))</f>
        <v/>
      </c>
      <c r="Z24" s="38">
        <f>IF(OR(I24="",I24=0),"",-(N(T24)*(I24^2)/12)-IF(N(U24)&lt;&gt;0,N(U24)*(IF(OR(V24="",V24=0),I24/2,V24)^2)*(I24-IF(OR(V24="",V24=0),I24/2,V24))/(I24^2),0))</f>
        <v/>
      </c>
    </row>
    <row r="26">
      <c r="B26" s="62" t="inlineStr">
        <is>
          <t>BARRA</t>
        </is>
      </c>
      <c r="C26" s="62" t="inlineStr">
        <is>
          <t>Grado de Libertad Inicio (Automático)</t>
        </is>
      </c>
      <c r="D26" s="66" t="n"/>
      <c r="E26" s="63" t="n"/>
      <c r="F26" s="62" t="inlineStr">
        <is>
          <t>Grado de Libertad Fin (Automático)</t>
        </is>
      </c>
      <c r="G26" s="66" t="n"/>
      <c r="H26" s="63" t="n"/>
      <c r="K26" s="65" t="inlineStr">
        <is>
          <t>2B. HERRAMIENTA AUTOMÁTICA DE DESCOMPOSICIÓN DE CARGAS PUNTUALES OBLICUAS EN NUDOS</t>
        </is>
      </c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7" t="n"/>
    </row>
    <row r="27">
      <c r="B27" s="64" t="n"/>
      <c r="C27" s="34" t="inlineStr">
        <is>
          <t>X</t>
        </is>
      </c>
      <c r="D27" s="34" t="inlineStr">
        <is>
          <t>Y</t>
        </is>
      </c>
      <c r="E27" s="34" t="inlineStr">
        <is>
          <t>θ</t>
        </is>
      </c>
      <c r="F27" s="34" t="inlineStr">
        <is>
          <t>X</t>
        </is>
      </c>
      <c r="G27" s="34" t="inlineStr">
        <is>
          <t>Y</t>
        </is>
      </c>
      <c r="H27" s="34" t="inlineStr">
        <is>
          <t>θ</t>
        </is>
      </c>
      <c r="K27" s="23" t="inlineStr">
        <is>
          <t>N°</t>
        </is>
      </c>
      <c r="L27" s="23" t="inlineStr">
        <is>
          <t>Nudo Destino</t>
        </is>
      </c>
      <c r="M27" s="23" t="inlineStr">
        <is>
          <t>Carga P (kgf)</t>
        </is>
      </c>
      <c r="N27" s="23" t="inlineStr">
        <is>
          <t>Método (Menú)</t>
        </is>
      </c>
      <c r="O27" s="23" t="inlineStr">
        <is>
          <t>dx o Ángulo α°</t>
        </is>
      </c>
      <c r="P27" s="23" t="inlineStr">
        <is>
          <t>dy (Vert.)</t>
        </is>
      </c>
      <c r="Q27" s="23" t="inlineStr">
        <is>
          <t>Hipotenusa L</t>
        </is>
      </c>
      <c r="R27" s="23" t="inlineStr">
        <is>
          <t>Cos α (X)</t>
        </is>
      </c>
      <c r="S27" s="23" t="inlineStr">
        <is>
          <t>Sen α (Y)</t>
        </is>
      </c>
      <c r="T27" s="23" t="inlineStr">
        <is>
          <t>Sentido X</t>
        </is>
      </c>
      <c r="U27" s="23" t="inlineStr">
        <is>
          <t>Sentido Y</t>
        </is>
      </c>
      <c r="V27" s="23" t="inlineStr">
        <is>
          <t>Px Nudo (kgf)</t>
        </is>
      </c>
      <c r="W27" s="23" t="inlineStr">
        <is>
          <t>Py Nudo (kgf)</t>
        </is>
      </c>
    </row>
    <row r="28" ht="27.6" customHeight="1" s="183">
      <c r="B28" s="35">
        <f>IF(I14="","",B14)</f>
        <v/>
      </c>
      <c r="C28" s="47">
        <f>IF(I14="","",B14)</f>
        <v/>
      </c>
      <c r="D28" s="47">
        <f>IF(I14="","",B14)</f>
        <v/>
      </c>
      <c r="E28" s="47">
        <f>IF(I14="","",B14)</f>
        <v/>
      </c>
      <c r="F28" s="47">
        <f>IF(I14="","",B14+1)</f>
        <v/>
      </c>
      <c r="G28" s="47">
        <f>IF(I14="","",B14+1)</f>
        <v/>
      </c>
      <c r="H28" s="47">
        <f>IF(I14="","",B14+1)</f>
        <v/>
      </c>
      <c r="K28" s="26" t="n">
        <v>1</v>
      </c>
      <c r="N28" s="24" t="inlineStr">
        <is>
          <t>PENDIENTE_dx_dy</t>
        </is>
      </c>
      <c r="Q28" s="36">
        <f>IF(OR(L28="",M28="",M28=0),"",IF(N28="PENDIENTE_dx_dy",SQRT(O28^2+P28^2),1))</f>
        <v/>
      </c>
      <c r="R28" s="36">
        <f>IF(Q28="","",IF(N28="PENDIENTE_dx_dy",O28/Q28,COS(RADIANS(O28))))</f>
        <v/>
      </c>
      <c r="S28" s="36">
        <f>IF(Q28="","",IF(N28="PENDIENTE_dx_dy",P28/Q28,SIN(RADIANS(O28))))</f>
        <v/>
      </c>
      <c r="T28" s="24" t="inlineStr">
        <is>
          <t>-X (IZQ)</t>
        </is>
      </c>
      <c r="U28" s="24" t="inlineStr">
        <is>
          <t>-Y (ABAJO)</t>
        </is>
      </c>
      <c r="V28" s="22">
        <f>IF(Q28="","",M28*R28*IF(T28="-X (IZQ)",-1,1))</f>
        <v/>
      </c>
      <c r="W28" s="22">
        <f>IF(Q28="","",M28*S28*IF(U28="-Y (ABAJO)",-1,1))</f>
        <v/>
      </c>
    </row>
    <row r="29" ht="27.6" customHeight="1" s="183">
      <c r="B29" s="39">
        <f>IF(I15="","",B15)</f>
        <v/>
      </c>
      <c r="C29" s="47">
        <f>IF(I15="","",B15)</f>
        <v/>
      </c>
      <c r="D29" s="47">
        <f>IF(I15="","",B15)</f>
        <v/>
      </c>
      <c r="E29" s="47">
        <f>IF(I15="","",B15)</f>
        <v/>
      </c>
      <c r="F29" s="47">
        <f>IF(I15="","",B15+1)</f>
        <v/>
      </c>
      <c r="G29" s="47">
        <f>IF(I15="","",B15+1)</f>
        <v/>
      </c>
      <c r="H29" s="47">
        <f>IF(I15="","",B15+1)</f>
        <v/>
      </c>
      <c r="K29" s="26" t="n">
        <v>2</v>
      </c>
      <c r="N29" s="24" t="inlineStr">
        <is>
          <t>PENDIENTE_dx_dy</t>
        </is>
      </c>
      <c r="Q29" s="36">
        <f>IF(OR(L29="",M29="",M29=0),"",IF(N29="PENDIENTE_dx_dy",SQRT(O29^2+P29^2),1))</f>
        <v/>
      </c>
      <c r="R29" s="36">
        <f>IF(Q29="","",IF(N29="PENDIENTE_dx_dy",O29/Q29,COS(RADIANS(O29))))</f>
        <v/>
      </c>
      <c r="S29" s="36">
        <f>IF(Q29="","",IF(N29="PENDIENTE_dx_dy",P29/Q29,SIN(RADIANS(O29))))</f>
        <v/>
      </c>
      <c r="T29" s="24" t="inlineStr">
        <is>
          <t>-X (IZQ)</t>
        </is>
      </c>
      <c r="U29" s="24" t="inlineStr">
        <is>
          <t>-Y (ABAJO)</t>
        </is>
      </c>
      <c r="V29" s="22">
        <f>IF(Q29="","",M29*R29*IF(T29="-X (IZQ)",-1,1))</f>
        <v/>
      </c>
      <c r="W29" s="22">
        <f>IF(Q29="","",M29*S29*IF(U29="-Y (ABAJO)",-1,1))</f>
        <v/>
      </c>
    </row>
    <row r="30" ht="27.6" customHeight="1" s="183">
      <c r="B30" s="24">
        <f>IF(I16="","",B16)</f>
        <v/>
      </c>
      <c r="C30" s="47">
        <f>IF(I16="","",B16)</f>
        <v/>
      </c>
      <c r="D30" s="47">
        <f>IF(I16="","",B16)</f>
        <v/>
      </c>
      <c r="E30" s="47">
        <f>IF(I16="","",B16)</f>
        <v/>
      </c>
      <c r="F30" s="47">
        <f>IF(I16="","",B16+1)</f>
        <v/>
      </c>
      <c r="G30" s="47">
        <f>IF(I16="","",B16+1)</f>
        <v/>
      </c>
      <c r="H30" s="47">
        <f>IF(I16="","",B16+1)</f>
        <v/>
      </c>
      <c r="K30" s="26" t="n">
        <v>3</v>
      </c>
      <c r="N30" s="24" t="inlineStr">
        <is>
          <t>PENDIENTE_dx_dy</t>
        </is>
      </c>
      <c r="Q30" s="36">
        <f>IF(OR(L30="",M30="",M30=0),"",IF(N30="PENDIENTE_dx_dy",SQRT(O30^2+P30^2),1))</f>
        <v/>
      </c>
      <c r="R30" s="36">
        <f>IF(Q30="","",IF(N30="PENDIENTE_dx_dy",O30/Q30,COS(RADIANS(O30))))</f>
        <v/>
      </c>
      <c r="S30" s="36">
        <f>IF(Q30="","",IF(N30="PENDIENTE_dx_dy",P30/Q30,SIN(RADIANS(O30))))</f>
        <v/>
      </c>
      <c r="T30" s="24" t="inlineStr">
        <is>
          <t>-X (IZQ)</t>
        </is>
      </c>
      <c r="U30" s="24" t="inlineStr">
        <is>
          <t>-Y (ABAJO)</t>
        </is>
      </c>
      <c r="V30" s="22">
        <f>IF(Q30="","",M30*R30*IF(T30="-X (IZQ)",-1,1))</f>
        <v/>
      </c>
      <c r="W30" s="22">
        <f>IF(Q30="","",M30*S30*IF(U30="-Y (ABAJO)",-1,1))</f>
        <v/>
      </c>
    </row>
    <row r="31" ht="27.6" customHeight="1" s="183">
      <c r="B31" s="40">
        <f>IF(I17="","",B17)</f>
        <v/>
      </c>
      <c r="C31" s="47">
        <f>IF(I17="","",B17)</f>
        <v/>
      </c>
      <c r="D31" s="47">
        <f>IF(I17="","",B17)</f>
        <v/>
      </c>
      <c r="E31" s="47">
        <f>IF(I17="","",B17)</f>
        <v/>
      </c>
      <c r="F31" s="47">
        <f>IF(I17="","",B17+1)</f>
        <v/>
      </c>
      <c r="G31" s="47">
        <f>IF(I17="","",B17+1)</f>
        <v/>
      </c>
      <c r="H31" s="47">
        <f>IF(I17="","",B17+1)</f>
        <v/>
      </c>
      <c r="K31" s="26" t="n">
        <v>4</v>
      </c>
      <c r="N31" s="24" t="inlineStr">
        <is>
          <t>PENDIENTE_dx_dy</t>
        </is>
      </c>
      <c r="Q31" s="36">
        <f>IF(OR(L31="",M31="",M31=0),"",IF(N31="PENDIENTE_dx_dy",SQRT(O31^2+P31^2),1))</f>
        <v/>
      </c>
      <c r="R31" s="36">
        <f>IF(Q31="","",IF(N31="PENDIENTE_dx_dy",O31/Q31,COS(RADIANS(O31))))</f>
        <v/>
      </c>
      <c r="S31" s="36">
        <f>IF(Q31="","",IF(N31="PENDIENTE_dx_dy",P31/Q31,SIN(RADIANS(O31))))</f>
        <v/>
      </c>
      <c r="T31" s="24" t="inlineStr">
        <is>
          <t>-X (IZQ)</t>
        </is>
      </c>
      <c r="U31" s="24" t="inlineStr">
        <is>
          <t>-Y (ABAJO)</t>
        </is>
      </c>
      <c r="V31" s="22">
        <f>IF(Q31="","",M31*R31*IF(T31="-X (IZQ)",-1,1))</f>
        <v/>
      </c>
      <c r="W31" s="22">
        <f>IF(Q31="","",M31*S31*IF(U31="-Y (ABAJO)",-1,1))</f>
        <v/>
      </c>
    </row>
    <row r="32" ht="27.6" customHeight="1" s="183">
      <c r="B32" s="41">
        <f>IF(I18="","",B18)</f>
        <v/>
      </c>
      <c r="C32" s="47">
        <f>IF(I18="","",B18)</f>
        <v/>
      </c>
      <c r="D32" s="47">
        <f>IF(I18="","",B18)</f>
        <v/>
      </c>
      <c r="E32" s="47">
        <f>IF(I18="","",B18)</f>
        <v/>
      </c>
      <c r="F32" s="47">
        <f>IF(I18="","",B18+1)</f>
        <v/>
      </c>
      <c r="G32" s="47">
        <f>IF(I18="","",B18+1)</f>
        <v/>
      </c>
      <c r="H32" s="47">
        <f>IF(I18="","",B18+1)</f>
        <v/>
      </c>
      <c r="K32" s="26" t="n">
        <v>5</v>
      </c>
      <c r="N32" s="24" t="inlineStr">
        <is>
          <t>PENDIENTE_dx_dy</t>
        </is>
      </c>
      <c r="Q32" s="36">
        <f>IF(OR(L32="",M32="",M32=0),"",IF(N32="PENDIENTE_dx_dy",SQRT(O32^2+P32^2),1))</f>
        <v/>
      </c>
      <c r="R32" s="36">
        <f>IF(Q32="","",IF(N32="PENDIENTE_dx_dy",O32/Q32,COS(RADIANS(O32))))</f>
        <v/>
      </c>
      <c r="S32" s="36">
        <f>IF(Q32="","",IF(N32="PENDIENTE_dx_dy",P32/Q32,SIN(RADIANS(O32))))</f>
        <v/>
      </c>
      <c r="T32" s="24" t="inlineStr">
        <is>
          <t>-X (IZQ)</t>
        </is>
      </c>
      <c r="U32" s="24" t="inlineStr">
        <is>
          <t>-Y (ABAJO)</t>
        </is>
      </c>
      <c r="V32" s="22">
        <f>IF(Q32="","",M32*R32*IF(T32="-X (IZQ)",-1,1))</f>
        <v/>
      </c>
      <c r="W32" s="22">
        <f>IF(Q32="","",M32*S32*IF(U32="-Y (ABAJO)",-1,1))</f>
        <v/>
      </c>
    </row>
    <row r="33">
      <c r="B33" s="26">
        <f>IF(I19="","",B19)</f>
        <v/>
      </c>
      <c r="C33" s="47">
        <f>IF(I19="","",B19)</f>
        <v/>
      </c>
      <c r="D33" s="47">
        <f>IF(I19="","",B19)</f>
        <v/>
      </c>
      <c r="E33" s="47">
        <f>IF(I19="","",B19)</f>
        <v/>
      </c>
      <c r="F33" s="47">
        <f>IF(I19="","",B19+1)</f>
        <v/>
      </c>
      <c r="G33" s="47">
        <f>IF(I19="","",B19+1)</f>
        <v/>
      </c>
      <c r="H33" s="47">
        <f>IF(I19="","",B19+1)</f>
        <v/>
      </c>
    </row>
    <row r="34">
      <c r="B34" s="42">
        <f>IF(I20="","",B20)</f>
        <v/>
      </c>
      <c r="C34" s="47">
        <f>IF(I20="","",B20)</f>
        <v/>
      </c>
      <c r="D34" s="47">
        <f>IF(I20="","",B20)</f>
        <v/>
      </c>
      <c r="E34" s="47">
        <f>IF(I20="","",B20)</f>
        <v/>
      </c>
      <c r="F34" s="47">
        <f>IF(I20="","",B20+1)</f>
        <v/>
      </c>
      <c r="G34" s="47">
        <f>IF(I20="","",B20+1)</f>
        <v/>
      </c>
      <c r="H34" s="47">
        <f>IF(I20="","",B20+1)</f>
        <v/>
      </c>
      <c r="K34" s="71" t="inlineStr">
        <is>
          <t>2C. AUXILIAR DE GEOMETRÍA PARA BARRAS OBLICUAS (DADA LONGITUD L Y ÁNGULO α O PENDIENTE → HALLAR Xf, Yf)</t>
        </is>
      </c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7" t="n"/>
    </row>
    <row r="35">
      <c r="B35" s="43">
        <f>IF(I21="","",B21)</f>
        <v/>
      </c>
      <c r="C35" s="47">
        <f>IF(I21="","",B21)</f>
        <v/>
      </c>
      <c r="D35" s="47">
        <f>IF(I21="","",B21)</f>
        <v/>
      </c>
      <c r="E35" s="47">
        <f>IF(I21="","",B21)</f>
        <v/>
      </c>
      <c r="F35" s="47">
        <f>IF(I21="","",B21+1)</f>
        <v/>
      </c>
      <c r="G35" s="47">
        <f>IF(I21="","",B21+1)</f>
        <v/>
      </c>
      <c r="H35" s="47">
        <f>IF(I21="","",B21+1)</f>
        <v/>
      </c>
      <c r="K35" s="23" t="inlineStr">
        <is>
          <t>Barra</t>
        </is>
      </c>
      <c r="L35" s="23" t="inlineStr">
        <is>
          <t>Xi</t>
        </is>
      </c>
      <c r="M35" s="23" t="inlineStr">
        <is>
          <t>Yi</t>
        </is>
      </c>
      <c r="N35" s="23" t="inlineStr">
        <is>
          <t>Longitud L</t>
        </is>
      </c>
      <c r="O35" s="23" t="inlineStr">
        <is>
          <t>Modo</t>
        </is>
      </c>
      <c r="P35" s="23" t="inlineStr">
        <is>
          <t>Ángulo α° o dx</t>
        </is>
      </c>
      <c r="Q35" s="23" t="inlineStr">
        <is>
          <t>dy</t>
        </is>
      </c>
      <c r="R35" s="23" t="inlineStr">
        <is>
          <t>Cos x</t>
        </is>
      </c>
      <c r="S35" s="23" t="inlineStr">
        <is>
          <t>Cos y</t>
        </is>
      </c>
      <c r="T35" s="23" t="inlineStr">
        <is>
          <t>Dx = L·Cosx</t>
        </is>
      </c>
      <c r="U35" s="23" t="inlineStr">
        <is>
          <t>Dy = L·Cosy</t>
        </is>
      </c>
      <c r="V35" s="23" t="inlineStr">
        <is>
          <t>Xf = Xi+Dx</t>
        </is>
      </c>
      <c r="W35" s="23" t="inlineStr">
        <is>
          <t>Yf = Yi+Dy</t>
        </is>
      </c>
    </row>
    <row r="36" ht="27.6" customHeight="1" s="183">
      <c r="B36" s="44">
        <f>IF(I22="","",B22)</f>
        <v/>
      </c>
      <c r="C36" s="47">
        <f>IF(I22="","",B22)</f>
        <v/>
      </c>
      <c r="D36" s="47">
        <f>IF(I22="","",B22)</f>
        <v/>
      </c>
      <c r="E36" s="47">
        <f>IF(I22="","",B22)</f>
        <v/>
      </c>
      <c r="F36" s="47">
        <f>IF(I22="","",B22+1)</f>
        <v/>
      </c>
      <c r="G36" s="47">
        <f>IF(I22="","",B22+1)</f>
        <v/>
      </c>
      <c r="H36" s="47">
        <f>IF(I22="","",B22+1)</f>
        <v/>
      </c>
      <c r="K36" s="26" t="n">
        <v>1</v>
      </c>
      <c r="O36" s="48" t="inlineStr">
        <is>
          <t>ANGULO_GRADOS</t>
        </is>
      </c>
      <c r="R36" s="49">
        <f>IF(OR(N36="",N36=0),"",IF(O36="ANGULO_GRADOS",COS(RADIANS(P36)),P36/SQRT(P36^2+Q36^2)))</f>
        <v/>
      </c>
      <c r="S36" s="49">
        <f>IF(OR(N36="",N36=0),"",IF(O36="ANGULO_GRADOS",SIN(RADIANS(P36)),Q36/SQRT(P36^2+Q36^2)))</f>
        <v/>
      </c>
      <c r="T36" s="49">
        <f>IF(R36="","",N36*R36)</f>
        <v/>
      </c>
      <c r="U36" s="49">
        <f>IF(S36="","",N36*S36)</f>
        <v/>
      </c>
      <c r="V36" s="42">
        <f>IF(T36="","",L36+T36)</f>
        <v/>
      </c>
      <c r="W36" s="42">
        <f>IF(U36="","",M36+U36)</f>
        <v/>
      </c>
    </row>
    <row r="37" ht="27.6" customHeight="1" s="183">
      <c r="B37" s="45">
        <f>IF(I23="","",B23)</f>
        <v/>
      </c>
      <c r="C37" s="47">
        <f>IF(I23="","",B23)</f>
        <v/>
      </c>
      <c r="D37" s="47">
        <f>IF(I23="","",B23)</f>
        <v/>
      </c>
      <c r="E37" s="47">
        <f>IF(I23="","",B23)</f>
        <v/>
      </c>
      <c r="F37" s="47">
        <f>IF(I23="","",B23+1)</f>
        <v/>
      </c>
      <c r="G37" s="47">
        <f>IF(I23="","",B23+1)</f>
        <v/>
      </c>
      <c r="H37" s="47">
        <f>IF(I23="","",B23+1)</f>
        <v/>
      </c>
      <c r="K37" s="26" t="n">
        <v>2</v>
      </c>
      <c r="O37" s="48" t="inlineStr">
        <is>
          <t>ANGULO_GRADOS</t>
        </is>
      </c>
      <c r="R37" s="49">
        <f>IF(OR(N37="",N37=0),"",IF(O37="ANGULO_GRADOS",COS(RADIANS(P37)),P37/SQRT(P37^2+Q37^2)))</f>
        <v/>
      </c>
      <c r="S37" s="49">
        <f>IF(OR(N37="",N37=0),"",IF(O37="ANGULO_GRADOS",SIN(RADIANS(P37)),Q37/SQRT(P37^2+Q37^2)))</f>
        <v/>
      </c>
      <c r="T37" s="49">
        <f>IF(R37="","",N37*R37)</f>
        <v/>
      </c>
      <c r="U37" s="49">
        <f>IF(S37="","",N37*S37)</f>
        <v/>
      </c>
      <c r="V37" s="42">
        <f>IF(T37="","",L37+T37)</f>
        <v/>
      </c>
      <c r="W37" s="42">
        <f>IF(U37="","",M37+U37)</f>
        <v/>
      </c>
    </row>
    <row r="38" ht="27.6" customHeight="1" s="183">
      <c r="B38" s="46">
        <f>IF(I24="","",B24)</f>
        <v/>
      </c>
      <c r="C38" s="47">
        <f>IF(I24="","",B24)</f>
        <v/>
      </c>
      <c r="D38" s="47">
        <f>IF(I24="","",B24)</f>
        <v/>
      </c>
      <c r="E38" s="47">
        <f>IF(I24="","",B24)</f>
        <v/>
      </c>
      <c r="F38" s="47">
        <f>IF(I24="","",B24+1)</f>
        <v/>
      </c>
      <c r="G38" s="47">
        <f>IF(I24="","",B24+1)</f>
        <v/>
      </c>
      <c r="H38" s="47">
        <f>IF(I24="","",B24+1)</f>
        <v/>
      </c>
      <c r="K38" s="26" t="n">
        <v>3</v>
      </c>
      <c r="O38" s="48" t="inlineStr">
        <is>
          <t>ANGULO_GRADOS</t>
        </is>
      </c>
      <c r="R38" s="49">
        <f>IF(OR(N38="",N38=0),"",IF(O38="ANGULO_GRADOS",COS(RADIANS(P38)),P38/SQRT(P38^2+Q38^2)))</f>
        <v/>
      </c>
      <c r="S38" s="49">
        <f>IF(OR(N38="",N38=0),"",IF(O38="ANGULO_GRADOS",SIN(RADIANS(P38)),Q38/SQRT(P38^2+Q38^2)))</f>
        <v/>
      </c>
      <c r="T38" s="49">
        <f>IF(R38="","",N38*R38)</f>
        <v/>
      </c>
      <c r="U38" s="49">
        <f>IF(S38="","",N38*S38)</f>
        <v/>
      </c>
      <c r="V38" s="42">
        <f>IF(T38="","",L38+T38)</f>
        <v/>
      </c>
      <c r="W38" s="42">
        <f>IF(U38="","",M38+U38)</f>
        <v/>
      </c>
    </row>
    <row r="40">
      <c r="B40" s="65" t="inlineStr">
        <is>
          <t>3. TABLA DE EVALUACIÓN NODAL: MENÚ DE APOYOS (FIJO / LIBRE / RODILLO / EMPOTRADO), CUADRO DE DESPLAZAMIENTOS Y CARGAS PUNTUALES</t>
        </is>
      </c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7" t="n"/>
    </row>
    <row r="41" ht="27.6" customHeight="1" s="183">
      <c r="B41" s="62" t="inlineStr">
        <is>
          <t>NUDO</t>
        </is>
      </c>
      <c r="C41" s="62" t="inlineStr">
        <is>
          <t>CONDICIÓN (Menú)</t>
        </is>
      </c>
      <c r="D41" s="62" t="inlineStr">
        <is>
          <t>¿Hay Dx?</t>
        </is>
      </c>
      <c r="E41" s="62" t="inlineStr">
        <is>
          <t>¿Hay Dy?</t>
        </is>
      </c>
      <c r="F41" s="62" t="inlineStr">
        <is>
          <t>¿Hay Dθ?</t>
        </is>
      </c>
      <c r="G41" s="62" t="inlineStr">
        <is>
          <t>Cuadro Dx</t>
        </is>
      </c>
      <c r="H41" s="62" t="inlineStr">
        <is>
          <t>Cuadro Dy</t>
        </is>
      </c>
      <c r="I41" s="62" t="inlineStr">
        <is>
          <t>Cuadro Dθ</t>
        </is>
      </c>
      <c r="J41" s="62" t="inlineStr">
        <is>
          <t>Px Directa (kgf)</t>
        </is>
      </c>
      <c r="K41" s="62" t="inlineStr">
        <is>
          <t>Py Directa (kgf)</t>
        </is>
      </c>
      <c r="L41" s="62" t="inlineStr">
        <is>
          <t>Mz Directo (kgf·cm)</t>
        </is>
      </c>
      <c r="M41" s="62" t="inlineStr">
        <is>
          <t>Px Oblicua Auto</t>
        </is>
      </c>
      <c r="N41" s="62" t="inlineStr">
        <is>
          <t>Py Oblicua Auto</t>
        </is>
      </c>
      <c r="O41" s="62" t="inlineStr">
        <is>
          <t>Px Total Nudo</t>
        </is>
      </c>
      <c r="P41" s="62" t="inlineStr">
        <is>
          <t>Py Total Nudo</t>
        </is>
      </c>
      <c r="Q41" s="62" t="inlineStr">
        <is>
          <t>Mz Total Nudo</t>
        </is>
      </c>
    </row>
    <row r="42">
      <c r="B42" s="26" t="n">
        <v>1</v>
      </c>
      <c r="C42" s="24" t="inlineStr">
        <is>
          <t>FIJO</t>
        </is>
      </c>
      <c r="D42" s="47">
        <f>IF(OR(B42&gt;$G$7,C42=""),"",IF(OR(C42="LIBRE",C42="RODILLO"),"SÍ","NO"))</f>
        <v/>
      </c>
      <c r="E42" s="47">
        <f>IF(OR(B42&gt;$G$7,C42=""),"",IF(OR(C42="LIBRE",C42="RODILLO_V"),"SÍ","NO"))</f>
        <v/>
      </c>
      <c r="F42" s="47">
        <f>IF(OR(B42&gt;$G$7,C42=""),"",IF(C42="EMPOTRADO","NO","SÍ"))</f>
        <v/>
      </c>
      <c r="G42" s="42">
        <f>IF(D42="","",IF(D42="NO",0,"D"&amp;B42&amp;"X"))</f>
        <v/>
      </c>
      <c r="H42" s="42">
        <f>IF(E42="","",IF(E42="NO",0,"D"&amp;B42&amp;"Y"))</f>
        <v/>
      </c>
      <c r="I42" s="42">
        <f>IF(F42="","",IF(F42="NO",0,"D"&amp;B42&amp;"θ"))</f>
        <v/>
      </c>
      <c r="J42" s="20" t="n">
        <v>0</v>
      </c>
      <c r="K42" s="20" t="n">
        <v>0</v>
      </c>
      <c r="L42" s="20" t="n">
        <v>0</v>
      </c>
      <c r="M42" s="28">
        <f>IF(D42="","",SUMIF($L$28:$L$32,B42,$V$28:$V$32))</f>
        <v/>
      </c>
      <c r="N42" s="28">
        <f>IF(D42="","",SUMIF($L$28:$L$32,B42,$W$28:$W$32))</f>
        <v/>
      </c>
      <c r="O42" s="50">
        <f>IF(D42="","",N(J42)+N(M42))</f>
        <v/>
      </c>
      <c r="P42" s="50">
        <f>IF(D42="","",N(K42)+N(N42))</f>
        <v/>
      </c>
      <c r="Q42" s="50">
        <f>IF(D42="","",N(L42))</f>
        <v/>
      </c>
    </row>
    <row r="43">
      <c r="B43" s="26" t="n">
        <v>2</v>
      </c>
      <c r="C43" s="24" t="inlineStr">
        <is>
          <t>RODILLO</t>
        </is>
      </c>
      <c r="D43" s="47">
        <f>IF(OR(B43&gt;$G$7,C43=""),"",IF(OR(C43="LIBRE",C43="RODILLO"),"SÍ","NO"))</f>
        <v/>
      </c>
      <c r="E43" s="47">
        <f>IF(OR(B43&gt;$G$7,C43=""),"",IF(OR(C43="LIBRE",C43="RODILLO_V"),"SÍ","NO"))</f>
        <v/>
      </c>
      <c r="F43" s="47">
        <f>IF(OR(B43&gt;$G$7,C43=""),"",IF(C43="EMPOTRADO","NO","SÍ"))</f>
        <v/>
      </c>
      <c r="G43" s="42">
        <f>IF(D43="","",IF(D43="NO",0,"D"&amp;B43&amp;"X"))</f>
        <v/>
      </c>
      <c r="H43" s="42">
        <f>IF(E43="","",IF(E43="NO",0,"D"&amp;B43&amp;"Y"))</f>
        <v/>
      </c>
      <c r="I43" s="42">
        <f>IF(F43="","",IF(F43="NO",0,"D"&amp;B43&amp;"θ"))</f>
        <v/>
      </c>
      <c r="J43" s="20" t="n">
        <v>0</v>
      </c>
      <c r="K43" s="20" t="n">
        <v>0</v>
      </c>
      <c r="L43" s="20" t="n">
        <v>0</v>
      </c>
      <c r="M43" s="28">
        <f>IF(D43="","",SUMIF($L$28:$L$32,B43,$V$28:$V$32))</f>
        <v/>
      </c>
      <c r="N43" s="28">
        <f>IF(D43="","",SUMIF($L$28:$L$32,B43,$W$28:$W$32))</f>
        <v/>
      </c>
      <c r="O43" s="50">
        <f>IF(D43="","",N(J43)+N(M43))</f>
        <v/>
      </c>
      <c r="P43" s="50">
        <f>IF(D43="","",N(K43)+N(N43))</f>
        <v/>
      </c>
      <c r="Q43" s="50">
        <f>IF(D43="","",N(L43))</f>
        <v/>
      </c>
    </row>
    <row r="44">
      <c r="B44" s="26" t="n">
        <v>3</v>
      </c>
      <c r="D44" s="47">
        <f>IF(OR(B44&gt;$G$7,C44=""),"",IF(OR(C44="LIBRE",C44="RODILLO"),"SÍ","NO"))</f>
        <v/>
      </c>
      <c r="E44" s="47">
        <f>IF(OR(B44&gt;$G$7,C44=""),"",IF(OR(C44="LIBRE",C44="RODILLO_V"),"SÍ","NO"))</f>
        <v/>
      </c>
      <c r="F44" s="47">
        <f>IF(OR(B44&gt;$G$7,C44=""),"",IF(C44="EMPOTRADO","NO","SÍ"))</f>
        <v/>
      </c>
      <c r="G44" s="42">
        <f>IF(D44="","",IF(D44="NO",0,"D"&amp;B44&amp;"X"))</f>
        <v/>
      </c>
      <c r="H44" s="42">
        <f>IF(E44="","",IF(E44="NO",0,"D"&amp;B44&amp;"Y"))</f>
        <v/>
      </c>
      <c r="I44" s="42">
        <f>IF(F44="","",IF(F44="NO",0,"D"&amp;B44&amp;"θ"))</f>
        <v/>
      </c>
      <c r="M44" s="28">
        <f>IF(D44="","",SUMIF($L$28:$L$32,B44,$V$28:$V$32))</f>
        <v/>
      </c>
      <c r="N44" s="28">
        <f>IF(D44="","",SUMIF($L$28:$L$32,B44,$W$28:$W$32))</f>
        <v/>
      </c>
      <c r="O44" s="50">
        <f>IF(D44="","",N(J44)+N(M44))</f>
        <v/>
      </c>
      <c r="P44" s="50">
        <f>IF(D44="","",N(K44)+N(N44))</f>
        <v/>
      </c>
      <c r="Q44" s="50">
        <f>IF(D44="","",N(L44))</f>
        <v/>
      </c>
    </row>
    <row r="45">
      <c r="B45" s="26" t="n">
        <v>4</v>
      </c>
      <c r="D45" s="47">
        <f>IF(OR(B45&gt;$G$7,C45=""),"",IF(OR(C45="LIBRE",C45="RODILLO"),"SÍ","NO"))</f>
        <v/>
      </c>
      <c r="E45" s="47">
        <f>IF(OR(B45&gt;$G$7,C45=""),"",IF(OR(C45="LIBRE",C45="RODILLO_V"),"SÍ","NO"))</f>
        <v/>
      </c>
      <c r="F45" s="47">
        <f>IF(OR(B45&gt;$G$7,C45=""),"",IF(C45="EMPOTRADO","NO","SÍ"))</f>
        <v/>
      </c>
      <c r="G45" s="42">
        <f>IF(D45="","",IF(D45="NO",0,"D"&amp;B45&amp;"X"))</f>
        <v/>
      </c>
      <c r="H45" s="42">
        <f>IF(E45="","",IF(E45="NO",0,"D"&amp;B45&amp;"Y"))</f>
        <v/>
      </c>
      <c r="I45" s="42">
        <f>IF(F45="","",IF(F45="NO",0,"D"&amp;B45&amp;"θ"))</f>
        <v/>
      </c>
      <c r="M45" s="28">
        <f>IF(D45="","",SUMIF($L$28:$L$32,B45,$V$28:$V$32))</f>
        <v/>
      </c>
      <c r="N45" s="28">
        <f>IF(D45="","",SUMIF($L$28:$L$32,B45,$W$28:$W$32))</f>
        <v/>
      </c>
      <c r="O45" s="50">
        <f>IF(D45="","",N(J45)+N(M45))</f>
        <v/>
      </c>
      <c r="P45" s="50">
        <f>IF(D45="","",N(K45)+N(N45))</f>
        <v/>
      </c>
      <c r="Q45" s="50">
        <f>IF(D45="","",N(L45))</f>
        <v/>
      </c>
    </row>
    <row r="46">
      <c r="B46" s="26" t="n">
        <v>5</v>
      </c>
      <c r="D46" s="47">
        <f>IF(OR(B46&gt;$G$7,C46=""),"",IF(OR(C46="LIBRE",C46="RODILLO"),"SÍ","NO"))</f>
        <v/>
      </c>
      <c r="E46" s="47">
        <f>IF(OR(B46&gt;$G$7,C46=""),"",IF(OR(C46="LIBRE",C46="RODILLO_V"),"SÍ","NO"))</f>
        <v/>
      </c>
      <c r="F46" s="47">
        <f>IF(OR(B46&gt;$G$7,C46=""),"",IF(C46="EMPOTRADO","NO","SÍ"))</f>
        <v/>
      </c>
      <c r="G46" s="42">
        <f>IF(D46="","",IF(D46="NO",0,"D"&amp;B46&amp;"X"))</f>
        <v/>
      </c>
      <c r="H46" s="42">
        <f>IF(E46="","",IF(E46="NO",0,"D"&amp;B46&amp;"Y"))</f>
        <v/>
      </c>
      <c r="I46" s="42">
        <f>IF(F46="","",IF(F46="NO",0,"D"&amp;B46&amp;"θ"))</f>
        <v/>
      </c>
      <c r="M46" s="28">
        <f>IF(D46="","",SUMIF($L$28:$L$32,B46,$V$28:$V$32))</f>
        <v/>
      </c>
      <c r="N46" s="28">
        <f>IF(D46="","",SUMIF($L$28:$L$32,B46,$W$28:$W$32))</f>
        <v/>
      </c>
      <c r="O46" s="50">
        <f>IF(D46="","",N(J46)+N(M46))</f>
        <v/>
      </c>
      <c r="P46" s="50">
        <f>IF(D46="","",N(K46)+N(N46))</f>
        <v/>
      </c>
      <c r="Q46" s="50">
        <f>IF(D46="","",N(L46))</f>
        <v/>
      </c>
    </row>
    <row r="47">
      <c r="B47" s="26" t="n">
        <v>6</v>
      </c>
      <c r="D47" s="47">
        <f>IF(OR(B47&gt;$G$7,C47=""),"",IF(OR(C47="LIBRE",C47="RODILLO"),"SÍ","NO"))</f>
        <v/>
      </c>
      <c r="E47" s="47">
        <f>IF(OR(B47&gt;$G$7,C47=""),"",IF(OR(C47="LIBRE",C47="RODILLO_V"),"SÍ","NO"))</f>
        <v/>
      </c>
      <c r="F47" s="47">
        <f>IF(OR(B47&gt;$G$7,C47=""),"",IF(C47="EMPOTRADO","NO","SÍ"))</f>
        <v/>
      </c>
      <c r="G47" s="42">
        <f>IF(D47="","",IF(D47="NO",0,"D"&amp;B47&amp;"X"))</f>
        <v/>
      </c>
      <c r="H47" s="42">
        <f>IF(E47="","",IF(E47="NO",0,"D"&amp;B47&amp;"Y"))</f>
        <v/>
      </c>
      <c r="I47" s="42">
        <f>IF(F47="","",IF(F47="NO",0,"D"&amp;B47&amp;"θ"))</f>
        <v/>
      </c>
      <c r="M47" s="28">
        <f>IF(D47="","",SUMIF($L$28:$L$32,B47,$V$28:$V$32))</f>
        <v/>
      </c>
      <c r="N47" s="28">
        <f>IF(D47="","",SUMIF($L$28:$L$32,B47,$W$28:$W$32))</f>
        <v/>
      </c>
      <c r="O47" s="50">
        <f>IF(D47="","",N(J47)+N(M47))</f>
        <v/>
      </c>
      <c r="P47" s="50">
        <f>IF(D47="","",N(K47)+N(N47))</f>
        <v/>
      </c>
      <c r="Q47" s="50">
        <f>IF(D47="","",N(L47))</f>
        <v/>
      </c>
    </row>
    <row r="48">
      <c r="B48" s="26" t="n">
        <v>7</v>
      </c>
      <c r="D48" s="47">
        <f>IF(OR(B48&gt;$G$7,C48=""),"",IF(OR(C48="LIBRE",C48="RODILLO"),"SÍ","NO"))</f>
        <v/>
      </c>
      <c r="E48" s="47">
        <f>IF(OR(B48&gt;$G$7,C48=""),"",IF(OR(C48="LIBRE",C48="RODILLO_V"),"SÍ","NO"))</f>
        <v/>
      </c>
      <c r="F48" s="47">
        <f>IF(OR(B48&gt;$G$7,C48=""),"",IF(C48="EMPOTRADO","NO","SÍ"))</f>
        <v/>
      </c>
      <c r="G48" s="42">
        <f>IF(D48="","",IF(D48="NO",0,"D"&amp;B48&amp;"X"))</f>
        <v/>
      </c>
      <c r="H48" s="42">
        <f>IF(E48="","",IF(E48="NO",0,"D"&amp;B48&amp;"Y"))</f>
        <v/>
      </c>
      <c r="I48" s="42">
        <f>IF(F48="","",IF(F48="NO",0,"D"&amp;B48&amp;"θ"))</f>
        <v/>
      </c>
      <c r="M48" s="28">
        <f>IF(D48="","",SUMIF($L$28:$L$32,B48,$V$28:$V$32))</f>
        <v/>
      </c>
      <c r="N48" s="28">
        <f>IF(D48="","",SUMIF($L$28:$L$32,B48,$W$28:$W$32))</f>
        <v/>
      </c>
      <c r="O48" s="50">
        <f>IF(D48="","",N(J48)+N(M48))</f>
        <v/>
      </c>
      <c r="P48" s="50">
        <f>IF(D48="","",N(K48)+N(N48))</f>
        <v/>
      </c>
      <c r="Q48" s="50">
        <f>IF(D48="","",N(L48))</f>
        <v/>
      </c>
    </row>
    <row r="49">
      <c r="B49" s="26" t="n">
        <v>8</v>
      </c>
      <c r="D49" s="47">
        <f>IF(OR(B49&gt;$G$7,C49=""),"",IF(OR(C49="LIBRE",C49="RODILLO"),"SÍ","NO"))</f>
        <v/>
      </c>
      <c r="E49" s="47">
        <f>IF(OR(B49&gt;$G$7,C49=""),"",IF(OR(C49="LIBRE",C49="RODILLO_V"),"SÍ","NO"))</f>
        <v/>
      </c>
      <c r="F49" s="47">
        <f>IF(OR(B49&gt;$G$7,C49=""),"",IF(C49="EMPOTRADO","NO","SÍ"))</f>
        <v/>
      </c>
      <c r="G49" s="42">
        <f>IF(D49="","",IF(D49="NO",0,"D"&amp;B49&amp;"X"))</f>
        <v/>
      </c>
      <c r="H49" s="42">
        <f>IF(E49="","",IF(E49="NO",0,"D"&amp;B49&amp;"Y"))</f>
        <v/>
      </c>
      <c r="I49" s="42">
        <f>IF(F49="","",IF(F49="NO",0,"D"&amp;B49&amp;"θ"))</f>
        <v/>
      </c>
      <c r="M49" s="28">
        <f>IF(D49="","",SUMIF($L$28:$L$32,B49,$V$28:$V$32))</f>
        <v/>
      </c>
      <c r="N49" s="28">
        <f>IF(D49="","",SUMIF($L$28:$L$32,B49,$W$28:$W$32))</f>
        <v/>
      </c>
      <c r="O49" s="50">
        <f>IF(D49="","",N(J49)+N(M49))</f>
        <v/>
      </c>
      <c r="P49" s="50">
        <f>IF(D49="","",N(K49)+N(N49))</f>
        <v/>
      </c>
      <c r="Q49" s="50">
        <f>IF(D49="","",N(L49))</f>
        <v/>
      </c>
    </row>
    <row r="50">
      <c r="B50" s="26" t="n">
        <v>9</v>
      </c>
      <c r="D50" s="47">
        <f>IF(OR(B50&gt;$G$7,C50=""),"",IF(OR(C50="LIBRE",C50="RODILLO"),"SÍ","NO"))</f>
        <v/>
      </c>
      <c r="E50" s="47">
        <f>IF(OR(B50&gt;$G$7,C50=""),"",IF(OR(C50="LIBRE",C50="RODILLO_V"),"SÍ","NO"))</f>
        <v/>
      </c>
      <c r="F50" s="47">
        <f>IF(OR(B50&gt;$G$7,C50=""),"",IF(C50="EMPOTRADO","NO","SÍ"))</f>
        <v/>
      </c>
      <c r="G50" s="42">
        <f>IF(D50="","",IF(D50="NO",0,"D"&amp;B50&amp;"X"))</f>
        <v/>
      </c>
      <c r="H50" s="42">
        <f>IF(E50="","",IF(E50="NO",0,"D"&amp;B50&amp;"Y"))</f>
        <v/>
      </c>
      <c r="I50" s="42">
        <f>IF(F50="","",IF(F50="NO",0,"D"&amp;B50&amp;"θ"))</f>
        <v/>
      </c>
      <c r="M50" s="28">
        <f>IF(D50="","",SUMIF($L$28:$L$32,B50,$V$28:$V$32))</f>
        <v/>
      </c>
      <c r="N50" s="28">
        <f>IF(D50="","",SUMIF($L$28:$L$32,B50,$W$28:$W$32))</f>
        <v/>
      </c>
      <c r="O50" s="50">
        <f>IF(D50="","",N(J50)+N(M50))</f>
        <v/>
      </c>
      <c r="P50" s="50">
        <f>IF(D50="","",N(K50)+N(N50))</f>
        <v/>
      </c>
      <c r="Q50" s="50">
        <f>IF(D50="","",N(L50))</f>
        <v/>
      </c>
    </row>
    <row r="51">
      <c r="B51" s="26" t="n">
        <v>10</v>
      </c>
      <c r="D51" s="47">
        <f>IF(OR(B51&gt;$G$7,C51=""),"",IF(OR(C51="LIBRE",C51="RODILLO"),"SÍ","NO"))</f>
        <v/>
      </c>
      <c r="E51" s="47">
        <f>IF(OR(B51&gt;$G$7,C51=""),"",IF(OR(C51="LIBRE",C51="RODILLO_V"),"SÍ","NO"))</f>
        <v/>
      </c>
      <c r="F51" s="47">
        <f>IF(OR(B51&gt;$G$7,C51=""),"",IF(C51="EMPOTRADO","NO","SÍ"))</f>
        <v/>
      </c>
      <c r="G51" s="42">
        <f>IF(D51="","",IF(D51="NO",0,"D"&amp;B51&amp;"X"))</f>
        <v/>
      </c>
      <c r="H51" s="42">
        <f>IF(E51="","",IF(E51="NO",0,"D"&amp;B51&amp;"Y"))</f>
        <v/>
      </c>
      <c r="I51" s="42">
        <f>IF(F51="","",IF(F51="NO",0,"D"&amp;B51&amp;"θ"))</f>
        <v/>
      </c>
      <c r="M51" s="28">
        <f>IF(D51="","",SUMIF($L$28:$L$32,B51,$V$28:$V$32))</f>
        <v/>
      </c>
      <c r="N51" s="28">
        <f>IF(D51="","",SUMIF($L$28:$L$32,B51,$W$28:$W$32))</f>
        <v/>
      </c>
      <c r="O51" s="50">
        <f>IF(D51="","",N(J51)+N(M51))</f>
        <v/>
      </c>
      <c r="P51" s="50">
        <f>IF(D51="","",N(K51)+N(N51))</f>
        <v/>
      </c>
      <c r="Q51" s="50">
        <f>IF(D51="","",N(L51))</f>
        <v/>
      </c>
    </row>
    <row r="52">
      <c r="B52" s="26" t="n">
        <v>11</v>
      </c>
      <c r="D52" s="47">
        <f>IF(OR(B52&gt;$G$7,C52=""),"",IF(OR(C52="LIBRE",C52="RODILLO"),"SÍ","NO"))</f>
        <v/>
      </c>
      <c r="E52" s="47">
        <f>IF(OR(B52&gt;$G$7,C52=""),"",IF(OR(C52="LIBRE",C52="RODILLO_V"),"SÍ","NO"))</f>
        <v/>
      </c>
      <c r="F52" s="47">
        <f>IF(OR(B52&gt;$G$7,C52=""),"",IF(C52="EMPOTRADO","NO","SÍ"))</f>
        <v/>
      </c>
      <c r="G52" s="42">
        <f>IF(D52="","",IF(D52="NO",0,"D"&amp;B52&amp;"X"))</f>
        <v/>
      </c>
      <c r="H52" s="42">
        <f>IF(E52="","",IF(E52="NO",0,"D"&amp;B52&amp;"Y"))</f>
        <v/>
      </c>
      <c r="I52" s="42">
        <f>IF(F52="","",IF(F52="NO",0,"D"&amp;B52&amp;"θ"))</f>
        <v/>
      </c>
      <c r="M52" s="28">
        <f>IF(D52="","",SUMIF($L$28:$L$32,B52,$V$28:$V$32))</f>
        <v/>
      </c>
      <c r="N52" s="28">
        <f>IF(D52="","",SUMIF($L$28:$L$32,B52,$W$28:$W$32))</f>
        <v/>
      </c>
      <c r="O52" s="50">
        <f>IF(D52="","",N(J52)+N(M52))</f>
        <v/>
      </c>
      <c r="P52" s="50">
        <f>IF(D52="","",N(K52)+N(N52))</f>
        <v/>
      </c>
      <c r="Q52" s="50">
        <f>IF(D52="","",N(L52))</f>
        <v/>
      </c>
    </row>
    <row r="53">
      <c r="B53" s="26" t="n">
        <v>12</v>
      </c>
      <c r="D53" s="47">
        <f>IF(OR(B53&gt;$G$7,C53=""),"",IF(OR(C53="LIBRE",C53="RODILLO"),"SÍ","NO"))</f>
        <v/>
      </c>
      <c r="E53" s="47">
        <f>IF(OR(B53&gt;$G$7,C53=""),"",IF(OR(C53="LIBRE",C53="RODILLO_V"),"SÍ","NO"))</f>
        <v/>
      </c>
      <c r="F53" s="47">
        <f>IF(OR(B53&gt;$G$7,C53=""),"",IF(C53="EMPOTRADO","NO","SÍ"))</f>
        <v/>
      </c>
      <c r="G53" s="42">
        <f>IF(D53="","",IF(D53="NO",0,"D"&amp;B53&amp;"X"))</f>
        <v/>
      </c>
      <c r="H53" s="42">
        <f>IF(E53="","",IF(E53="NO",0,"D"&amp;B53&amp;"Y"))</f>
        <v/>
      </c>
      <c r="I53" s="42">
        <f>IF(F53="","",IF(F53="NO",0,"D"&amp;B53&amp;"θ"))</f>
        <v/>
      </c>
      <c r="M53" s="28">
        <f>IF(D53="","",SUMIF($L$28:$L$32,B53,$V$28:$V$32))</f>
        <v/>
      </c>
      <c r="N53" s="28">
        <f>IF(D53="","",SUMIF($L$28:$L$32,B53,$W$28:$W$32))</f>
        <v/>
      </c>
      <c r="O53" s="50">
        <f>IF(D53="","",N(J53)+N(M53))</f>
        <v/>
      </c>
      <c r="P53" s="50">
        <f>IF(D53="","",N(K53)+N(N53))</f>
        <v/>
      </c>
      <c r="Q53" s="50">
        <f>IF(D53="","",N(L53))</f>
        <v/>
      </c>
    </row>
    <row r="56">
      <c r="C56" s="51">
        <f>IF(C28="","", CONCATENATE("U",C28,C$27))</f>
        <v/>
      </c>
      <c r="D56" s="51">
        <f>IF(D28="","", CONCATENATE("U",D28,D$27))</f>
        <v/>
      </c>
      <c r="E56" s="51">
        <f>IF(E28="","", CONCATENATE("U",E28,E$27))</f>
        <v/>
      </c>
      <c r="F56" s="51">
        <f>IF(F28="","", CONCATENATE("U",F28,F$27))</f>
        <v/>
      </c>
      <c r="G56" s="51">
        <f>IF(G28="","", CONCATENATE("U",G28,G$27))</f>
        <v/>
      </c>
      <c r="H56" s="51">
        <f>IF(H28="","", CONCATENATE("U",H28,H$27))</f>
        <v/>
      </c>
    </row>
    <row r="57">
      <c r="C57" s="8">
        <f>IF(I14="", 0, (S14*(J14^2))+(O14*(K14^2)))</f>
        <v/>
      </c>
      <c r="D57" s="189">
        <f>IF(I14="", 0, (S14-O14)*J14*K14)</f>
        <v/>
      </c>
      <c r="E57" s="189">
        <f>IF(I14="", 0, -P14*K14)</f>
        <v/>
      </c>
      <c r="F57" s="189">
        <f>-1*C57</f>
        <v/>
      </c>
      <c r="G57" s="189">
        <f>-1*D57</f>
        <v/>
      </c>
      <c r="H57" s="189">
        <f>E57</f>
        <v/>
      </c>
      <c r="I57" s="51">
        <f>C56</f>
        <v/>
      </c>
    </row>
    <row r="58">
      <c r="C58" s="189">
        <f>D57</f>
        <v/>
      </c>
      <c r="D58" s="8">
        <f>IF(I14="", 0, (S14*(K14^2))+(O14*(J14^2)))</f>
        <v/>
      </c>
      <c r="E58" s="189">
        <f>IF(I14="", 0, P14*J14)</f>
        <v/>
      </c>
      <c r="F58" s="189">
        <f>-1*D57</f>
        <v/>
      </c>
      <c r="G58" s="189">
        <f>-1*D58</f>
        <v/>
      </c>
      <c r="H58" s="189">
        <f>E58</f>
        <v/>
      </c>
      <c r="I58" s="51">
        <f>D56</f>
        <v/>
      </c>
    </row>
    <row r="59">
      <c r="B59" s="118" t="inlineStr">
        <is>
          <t>K1 =</t>
        </is>
      </c>
      <c r="C59" s="189">
        <f>E57</f>
        <v/>
      </c>
      <c r="D59" s="189">
        <f>E58</f>
        <v/>
      </c>
      <c r="E59" s="8">
        <f>IF(I14="", 0, Q14)</f>
        <v/>
      </c>
      <c r="F59" s="189">
        <f>-1*E57</f>
        <v/>
      </c>
      <c r="G59" s="189">
        <f>-1*E58</f>
        <v/>
      </c>
      <c r="H59" s="189">
        <f>IF(I14="", 0, R14)</f>
        <v/>
      </c>
      <c r="I59" s="51">
        <f>E56</f>
        <v/>
      </c>
    </row>
    <row r="60">
      <c r="C60" s="189">
        <f>F57</f>
        <v/>
      </c>
      <c r="D60" s="189">
        <f>F58</f>
        <v/>
      </c>
      <c r="E60" s="189">
        <f>F59</f>
        <v/>
      </c>
      <c r="F60" s="8">
        <f>C57</f>
        <v/>
      </c>
      <c r="G60" s="189">
        <f>D57</f>
        <v/>
      </c>
      <c r="H60" s="189">
        <f>-1*E57</f>
        <v/>
      </c>
      <c r="I60" s="51">
        <f>F56</f>
        <v/>
      </c>
    </row>
    <row r="61">
      <c r="C61" s="189">
        <f>G57</f>
        <v/>
      </c>
      <c r="D61" s="189">
        <f>G58</f>
        <v/>
      </c>
      <c r="E61" s="189">
        <f>G59</f>
        <v/>
      </c>
      <c r="F61" s="189">
        <f>G60</f>
        <v/>
      </c>
      <c r="G61" s="8">
        <f>D58</f>
        <v/>
      </c>
      <c r="H61" s="189">
        <f>-1*E58</f>
        <v/>
      </c>
      <c r="I61" s="51">
        <f>G56</f>
        <v/>
      </c>
    </row>
    <row r="62">
      <c r="C62" s="189">
        <f>H57</f>
        <v/>
      </c>
      <c r="D62" s="189">
        <f>H58</f>
        <v/>
      </c>
      <c r="E62" s="189">
        <f>H59</f>
        <v/>
      </c>
      <c r="F62" s="189">
        <f>H60</f>
        <v/>
      </c>
      <c r="G62" s="189">
        <f>H61</f>
        <v/>
      </c>
      <c r="H62" s="8">
        <f>E59</f>
        <v/>
      </c>
      <c r="I62" s="51">
        <f>H56</f>
        <v/>
      </c>
    </row>
    <row r="64">
      <c r="C64" s="51" t="inlineStr">
        <is>
          <t>U1X</t>
        </is>
      </c>
      <c r="D64" s="51" t="inlineStr">
        <is>
          <t>U1Y</t>
        </is>
      </c>
      <c r="E64" s="51" t="inlineStr">
        <is>
          <t>U1θ</t>
        </is>
      </c>
      <c r="F64" s="51" t="inlineStr">
        <is>
          <t>U2X</t>
        </is>
      </c>
      <c r="G64" s="51" t="inlineStr">
        <is>
          <t>U2Y</t>
        </is>
      </c>
      <c r="H64" s="51" t="inlineStr">
        <is>
          <t>U2θ</t>
        </is>
      </c>
      <c r="I64" s="51" t="inlineStr">
        <is>
          <t>U3X</t>
        </is>
      </c>
      <c r="J64" s="51" t="inlineStr">
        <is>
          <t>U3Y</t>
        </is>
      </c>
      <c r="K64" s="51" t="inlineStr">
        <is>
          <t>U3θ</t>
        </is>
      </c>
      <c r="L64" s="51" t="inlineStr">
        <is>
          <t>U4X</t>
        </is>
      </c>
      <c r="M64" s="51" t="inlineStr">
        <is>
          <t>U4Y</t>
        </is>
      </c>
      <c r="N64" s="51" t="inlineStr">
        <is>
          <t>U4θ</t>
        </is>
      </c>
      <c r="O64" s="51" t="inlineStr">
        <is>
          <t>U5X</t>
        </is>
      </c>
      <c r="P64" s="51" t="inlineStr">
        <is>
          <t>U5Y</t>
        </is>
      </c>
      <c r="Q64" s="51" t="inlineStr">
        <is>
          <t>U5θ</t>
        </is>
      </c>
      <c r="R64" s="51" t="inlineStr">
        <is>
          <t>U6X</t>
        </is>
      </c>
      <c r="S64" s="51" t="inlineStr">
        <is>
          <t>U6Y</t>
        </is>
      </c>
      <c r="T64" s="51" t="inlineStr">
        <is>
          <t>U6θ</t>
        </is>
      </c>
      <c r="U64" s="51" t="inlineStr">
        <is>
          <t>U7X</t>
        </is>
      </c>
      <c r="V64" s="51" t="inlineStr">
        <is>
          <t>U7Y</t>
        </is>
      </c>
      <c r="W64" s="51" t="inlineStr">
        <is>
          <t>U7θ</t>
        </is>
      </c>
      <c r="X64" s="51" t="inlineStr">
        <is>
          <t>U8X</t>
        </is>
      </c>
      <c r="Y64" s="51" t="inlineStr">
        <is>
          <t>U8Y</t>
        </is>
      </c>
      <c r="Z64" s="51" t="inlineStr">
        <is>
          <t>U8θ</t>
        </is>
      </c>
      <c r="AA64" s="51" t="inlineStr">
        <is>
          <t>U9X</t>
        </is>
      </c>
      <c r="AB64" s="51" t="inlineStr">
        <is>
          <t>U9Y</t>
        </is>
      </c>
      <c r="AC64" s="51" t="inlineStr">
        <is>
          <t>U9θ</t>
        </is>
      </c>
      <c r="AD64" s="51" t="inlineStr">
        <is>
          <t>U10X</t>
        </is>
      </c>
      <c r="AE64" s="51" t="inlineStr">
        <is>
          <t>U10Y</t>
        </is>
      </c>
      <c r="AF64" s="51" t="inlineStr">
        <is>
          <t>U10θ</t>
        </is>
      </c>
      <c r="AG64" s="51" t="inlineStr">
        <is>
          <t>U11X</t>
        </is>
      </c>
      <c r="AH64" s="51" t="inlineStr">
        <is>
          <t>U11Y</t>
        </is>
      </c>
      <c r="AI64" s="51" t="inlineStr">
        <is>
          <t>U11θ</t>
        </is>
      </c>
      <c r="AJ64" s="51" t="inlineStr">
        <is>
          <t>U12X</t>
        </is>
      </c>
      <c r="AK64" s="51" t="inlineStr">
        <is>
          <t>U12Y</t>
        </is>
      </c>
      <c r="AL64" s="51" t="inlineStr">
        <is>
          <t>U12θ</t>
        </is>
      </c>
    </row>
    <row r="65">
      <c r="C65" s="189">
        <f>C57</f>
        <v/>
      </c>
      <c r="D65" s="189">
        <f>D57</f>
        <v/>
      </c>
      <c r="E65" s="189">
        <f>E57</f>
        <v/>
      </c>
      <c r="F65" s="189">
        <f>F57</f>
        <v/>
      </c>
      <c r="G65" s="189">
        <f>G57</f>
        <v/>
      </c>
      <c r="H65" s="189">
        <f>H57</f>
        <v/>
      </c>
      <c r="I65" s="189" t="n"/>
      <c r="J65" s="189" t="n"/>
      <c r="K65" s="189" t="n"/>
      <c r="L65" s="189" t="n"/>
      <c r="M65" s="189" t="n"/>
      <c r="N65" s="189" t="n"/>
      <c r="O65" s="189" t="n"/>
      <c r="P65" s="189" t="n"/>
      <c r="Q65" s="189" t="n"/>
      <c r="R65" s="189" t="n"/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189" t="n"/>
      <c r="AJ65" s="189" t="n"/>
      <c r="AK65" s="189" t="n"/>
      <c r="AL65" s="189" t="n"/>
      <c r="AM65" s="51" t="inlineStr">
        <is>
          <t>U1X</t>
        </is>
      </c>
    </row>
    <row r="66">
      <c r="C66" s="189">
        <f>C58</f>
        <v/>
      </c>
      <c r="D66" s="189">
        <f>D58</f>
        <v/>
      </c>
      <c r="E66" s="189">
        <f>E58</f>
        <v/>
      </c>
      <c r="F66" s="189">
        <f>F58</f>
        <v/>
      </c>
      <c r="G66" s="189">
        <f>G58</f>
        <v/>
      </c>
      <c r="H66" s="189">
        <f>H58</f>
        <v/>
      </c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89" t="n"/>
      <c r="S66" s="189" t="n"/>
      <c r="T66" s="189" t="n"/>
      <c r="U66" s="189" t="n"/>
      <c r="V66" s="189" t="n"/>
      <c r="W66" s="189" t="n"/>
      <c r="X66" s="189" t="n"/>
      <c r="Y66" s="189" t="n"/>
      <c r="Z66" s="189" t="n"/>
      <c r="AA66" s="189" t="n"/>
      <c r="AB66" s="189" t="n"/>
      <c r="AC66" s="189" t="n"/>
      <c r="AD66" s="189" t="n"/>
      <c r="AE66" s="189" t="n"/>
      <c r="AF66" s="189" t="n"/>
      <c r="AG66" s="189" t="n"/>
      <c r="AH66" s="189" t="n"/>
      <c r="AI66" s="189" t="n"/>
      <c r="AJ66" s="189" t="n"/>
      <c r="AK66" s="189" t="n"/>
      <c r="AL66" s="189" t="n"/>
      <c r="AM66" s="51" t="inlineStr">
        <is>
          <t>U1Y</t>
        </is>
      </c>
    </row>
    <row r="67">
      <c r="C67" s="189">
        <f>C59</f>
        <v/>
      </c>
      <c r="D67" s="189">
        <f>D59</f>
        <v/>
      </c>
      <c r="E67" s="189">
        <f>E59</f>
        <v/>
      </c>
      <c r="F67" s="189">
        <f>F59</f>
        <v/>
      </c>
      <c r="G67" s="189">
        <f>G59</f>
        <v/>
      </c>
      <c r="H67" s="189">
        <f>H59</f>
        <v/>
      </c>
      <c r="I67" s="189" t="n"/>
      <c r="J67" s="189" t="n"/>
      <c r="K67" s="189" t="n"/>
      <c r="L67" s="189" t="n"/>
      <c r="M67" s="189" t="n"/>
      <c r="N67" s="189" t="n"/>
      <c r="O67" s="189" t="n"/>
      <c r="P67" s="189" t="n"/>
      <c r="Q67" s="189" t="n"/>
      <c r="R67" s="189" t="n"/>
      <c r="S67" s="189" t="n"/>
      <c r="T67" s="189" t="n"/>
      <c r="U67" s="189" t="n"/>
      <c r="V67" s="189" t="n"/>
      <c r="W67" s="189" t="n"/>
      <c r="X67" s="189" t="n"/>
      <c r="Y67" s="189" t="n"/>
      <c r="Z67" s="189" t="n"/>
      <c r="AA67" s="189" t="n"/>
      <c r="AB67" s="189" t="n"/>
      <c r="AC67" s="189" t="n"/>
      <c r="AD67" s="189" t="n"/>
      <c r="AE67" s="189" t="n"/>
      <c r="AF67" s="189" t="n"/>
      <c r="AG67" s="189" t="n"/>
      <c r="AH67" s="189" t="n"/>
      <c r="AI67" s="189" t="n"/>
      <c r="AJ67" s="189" t="n"/>
      <c r="AK67" s="189" t="n"/>
      <c r="AL67" s="189" t="n"/>
      <c r="AM67" s="51" t="inlineStr">
        <is>
          <t>U1θ</t>
        </is>
      </c>
    </row>
    <row r="68">
      <c r="C68" s="189">
        <f>C60</f>
        <v/>
      </c>
      <c r="D68" s="189">
        <f>D60</f>
        <v/>
      </c>
      <c r="E68" s="189">
        <f>E60</f>
        <v/>
      </c>
      <c r="F68" s="189">
        <f>F60</f>
        <v/>
      </c>
      <c r="G68" s="189">
        <f>G60</f>
        <v/>
      </c>
      <c r="H68" s="189">
        <f>H60</f>
        <v/>
      </c>
      <c r="I68" s="189" t="n"/>
      <c r="J68" s="189" t="n"/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189" t="n"/>
      <c r="AJ68" s="189" t="n"/>
      <c r="AK68" s="189" t="n"/>
      <c r="AL68" s="189" t="n"/>
      <c r="AM68" s="51" t="inlineStr">
        <is>
          <t>U2X</t>
        </is>
      </c>
    </row>
    <row r="69">
      <c r="C69" s="189">
        <f>C61</f>
        <v/>
      </c>
      <c r="D69" s="189">
        <f>D61</f>
        <v/>
      </c>
      <c r="E69" s="189">
        <f>E61</f>
        <v/>
      </c>
      <c r="F69" s="189">
        <f>F61</f>
        <v/>
      </c>
      <c r="G69" s="189">
        <f>G61</f>
        <v/>
      </c>
      <c r="H69" s="189">
        <f>H61</f>
        <v/>
      </c>
      <c r="I69" s="189" t="n"/>
      <c r="J69" s="189" t="n"/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 t="n"/>
      <c r="AL69" s="189" t="n"/>
      <c r="AM69" s="51" t="inlineStr">
        <is>
          <t>U2Y</t>
        </is>
      </c>
    </row>
    <row r="70">
      <c r="C70" s="189">
        <f>C62</f>
        <v/>
      </c>
      <c r="D70" s="189">
        <f>D62</f>
        <v/>
      </c>
      <c r="E70" s="189">
        <f>E62</f>
        <v/>
      </c>
      <c r="F70" s="189">
        <f>F62</f>
        <v/>
      </c>
      <c r="G70" s="189">
        <f>G62</f>
        <v/>
      </c>
      <c r="H70" s="189">
        <f>H62</f>
        <v/>
      </c>
      <c r="I70" s="189" t="n"/>
      <c r="J70" s="189" t="n"/>
      <c r="K70" s="189" t="n"/>
      <c r="L70" s="189" t="n"/>
      <c r="M70" s="189" t="n"/>
      <c r="N70" s="189" t="n"/>
      <c r="O70" s="189" t="n"/>
      <c r="P70" s="189" t="n"/>
      <c r="Q70" s="189" t="n"/>
      <c r="R70" s="189" t="n"/>
      <c r="S70" s="189" t="n"/>
      <c r="T70" s="189" t="n"/>
      <c r="U70" s="189" t="n"/>
      <c r="V70" s="189" t="n"/>
      <c r="W70" s="189" t="n"/>
      <c r="X70" s="189" t="n"/>
      <c r="Y70" s="189" t="n"/>
      <c r="Z70" s="189" t="n"/>
      <c r="AA70" s="189" t="n"/>
      <c r="AB70" s="189" t="n"/>
      <c r="AC70" s="189" t="n"/>
      <c r="AD70" s="189" t="n"/>
      <c r="AE70" s="189" t="n"/>
      <c r="AF70" s="189" t="n"/>
      <c r="AG70" s="189" t="n"/>
      <c r="AH70" s="189" t="n"/>
      <c r="AI70" s="189" t="n"/>
      <c r="AJ70" s="189" t="n"/>
      <c r="AK70" s="189" t="n"/>
      <c r="AL70" s="189" t="n"/>
      <c r="AM70" s="51" t="inlineStr">
        <is>
          <t>U2θ</t>
        </is>
      </c>
    </row>
    <row r="71">
      <c r="C71" s="189" t="n"/>
      <c r="D71" s="189" t="n"/>
      <c r="E71" s="189" t="n"/>
      <c r="F71" s="189" t="n"/>
      <c r="G71" s="189" t="n"/>
      <c r="H71" s="189" t="n"/>
      <c r="I71" s="189" t="n"/>
      <c r="J71" s="189" t="n"/>
      <c r="K71" s="189" t="n"/>
      <c r="L71" s="189" t="n"/>
      <c r="M71" s="189" t="n"/>
      <c r="N71" s="189" t="n"/>
      <c r="O71" s="189" t="n"/>
      <c r="P71" s="189" t="n"/>
      <c r="Q71" s="189" t="n"/>
      <c r="R71" s="189" t="n"/>
      <c r="S71" s="189" t="n"/>
      <c r="T71" s="189" t="n"/>
      <c r="U71" s="189" t="n"/>
      <c r="V71" s="189" t="n"/>
      <c r="W71" s="189" t="n"/>
      <c r="X71" s="189" t="n"/>
      <c r="Y71" s="189" t="n"/>
      <c r="Z71" s="189" t="n"/>
      <c r="AA71" s="189" t="n"/>
      <c r="AB71" s="189" t="n"/>
      <c r="AC71" s="189" t="n"/>
      <c r="AD71" s="189" t="n"/>
      <c r="AE71" s="189" t="n"/>
      <c r="AF71" s="189" t="n"/>
      <c r="AG71" s="189" t="n"/>
      <c r="AH71" s="189" t="n"/>
      <c r="AI71" s="189" t="n"/>
      <c r="AJ71" s="189" t="n"/>
      <c r="AK71" s="189" t="n"/>
      <c r="AL71" s="189" t="n"/>
      <c r="AM71" s="51" t="inlineStr">
        <is>
          <t>U3X</t>
        </is>
      </c>
    </row>
    <row r="72">
      <c r="C72" s="189" t="n"/>
      <c r="D72" s="189" t="n"/>
      <c r="E72" s="189" t="n"/>
      <c r="F72" s="189" t="n"/>
      <c r="G72" s="189" t="n"/>
      <c r="H72" s="189" t="n"/>
      <c r="I72" s="189" t="n"/>
      <c r="J72" s="189" t="n"/>
      <c r="K72" s="189" t="n"/>
      <c r="L72" s="189" t="n"/>
      <c r="M72" s="189" t="n"/>
      <c r="N72" s="189" t="n"/>
      <c r="O72" s="189" t="n"/>
      <c r="P72" s="189" t="n"/>
      <c r="Q72" s="189" t="n"/>
      <c r="R72" s="189" t="n"/>
      <c r="S72" s="189" t="n"/>
      <c r="T72" s="189" t="n"/>
      <c r="U72" s="189" t="n"/>
      <c r="V72" s="189" t="n"/>
      <c r="W72" s="189" t="n"/>
      <c r="X72" s="189" t="n"/>
      <c r="Y72" s="189" t="n"/>
      <c r="Z72" s="189" t="n"/>
      <c r="AA72" s="189" t="n"/>
      <c r="AB72" s="189" t="n"/>
      <c r="AC72" s="189" t="n"/>
      <c r="AD72" s="189" t="n"/>
      <c r="AE72" s="189" t="n"/>
      <c r="AF72" s="189" t="n"/>
      <c r="AG72" s="189" t="n"/>
      <c r="AH72" s="189" t="n"/>
      <c r="AI72" s="189" t="n"/>
      <c r="AJ72" s="189" t="n"/>
      <c r="AK72" s="189" t="n"/>
      <c r="AL72" s="189" t="n"/>
      <c r="AM72" s="51" t="inlineStr">
        <is>
          <t>U3Y</t>
        </is>
      </c>
    </row>
    <row r="73">
      <c r="C73" s="189" t="n"/>
      <c r="D73" s="189" t="n"/>
      <c r="E73" s="189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189" t="n"/>
      <c r="AJ73" s="189" t="n"/>
      <c r="AK73" s="189" t="n"/>
      <c r="AL73" s="189" t="n"/>
      <c r="AM73" s="51" t="inlineStr">
        <is>
          <t>U3θ</t>
        </is>
      </c>
    </row>
    <row r="74">
      <c r="C74" s="189" t="n"/>
      <c r="D74" s="189" t="n"/>
      <c r="E74" s="189" t="n"/>
      <c r="F74" s="189" t="n"/>
      <c r="G74" s="189" t="n"/>
      <c r="H74" s="189" t="n"/>
      <c r="I74" s="189" t="n"/>
      <c r="J74" s="189" t="n"/>
      <c r="K74" s="189" t="n"/>
      <c r="L74" s="189" t="n"/>
      <c r="M74" s="189" t="n"/>
      <c r="N74" s="189" t="n"/>
      <c r="O74" s="189" t="n"/>
      <c r="P74" s="189" t="n"/>
      <c r="Q74" s="189" t="n"/>
      <c r="R74" s="189" t="n"/>
      <c r="S74" s="189" t="n"/>
      <c r="T74" s="189" t="n"/>
      <c r="U74" s="189" t="n"/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189" t="n"/>
      <c r="AJ74" s="189" t="n"/>
      <c r="AK74" s="189" t="n"/>
      <c r="AL74" s="189" t="n"/>
      <c r="AM74" s="51" t="inlineStr">
        <is>
          <t>U4X</t>
        </is>
      </c>
    </row>
    <row r="75">
      <c r="C75" s="189" t="n"/>
      <c r="D75" s="189" t="n"/>
      <c r="E75" s="189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9" t="n"/>
      <c r="Y75" s="189" t="n"/>
      <c r="Z75" s="189" t="n"/>
      <c r="AA75" s="189" t="n"/>
      <c r="AB75" s="189" t="n"/>
      <c r="AC75" s="189" t="n"/>
      <c r="AD75" s="189" t="n"/>
      <c r="AE75" s="189" t="n"/>
      <c r="AF75" s="189" t="n"/>
      <c r="AG75" s="189" t="n"/>
      <c r="AH75" s="189" t="n"/>
      <c r="AI75" s="189" t="n"/>
      <c r="AJ75" s="189" t="n"/>
      <c r="AK75" s="189" t="n"/>
      <c r="AL75" s="189" t="n"/>
      <c r="AM75" s="51" t="inlineStr">
        <is>
          <t>U4Y</t>
        </is>
      </c>
    </row>
    <row r="76">
      <c r="C76" s="189" t="n"/>
      <c r="D76" s="189" t="n"/>
      <c r="E76" s="189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9" t="n"/>
      <c r="Y76" s="189" t="n"/>
      <c r="Z76" s="189" t="n"/>
      <c r="AA76" s="189" t="n"/>
      <c r="AB76" s="189" t="n"/>
      <c r="AC76" s="189" t="n"/>
      <c r="AD76" s="189" t="n"/>
      <c r="AE76" s="189" t="n"/>
      <c r="AF76" s="189" t="n"/>
      <c r="AG76" s="189" t="n"/>
      <c r="AH76" s="189" t="n"/>
      <c r="AI76" s="189" t="n"/>
      <c r="AJ76" s="189" t="n"/>
      <c r="AK76" s="189" t="n"/>
      <c r="AL76" s="189" t="n"/>
      <c r="AM76" s="51" t="inlineStr">
        <is>
          <t>U4θ</t>
        </is>
      </c>
    </row>
    <row r="77">
      <c r="C77" s="189" t="n"/>
      <c r="D77" s="189" t="n"/>
      <c r="E77" s="189" t="n"/>
      <c r="F77" s="189" t="n"/>
      <c r="G77" s="189" t="n"/>
      <c r="H77" s="189" t="n"/>
      <c r="I77" s="189" t="n"/>
      <c r="J77" s="189" t="n"/>
      <c r="K77" s="189" t="n"/>
      <c r="L77" s="189" t="n"/>
      <c r="M77" s="189" t="n"/>
      <c r="N77" s="189" t="n"/>
      <c r="O77" s="189" t="n"/>
      <c r="P77" s="189" t="n"/>
      <c r="Q77" s="189" t="n"/>
      <c r="R77" s="189" t="n"/>
      <c r="S77" s="189" t="n"/>
      <c r="T77" s="189" t="n"/>
      <c r="U77" s="189" t="n"/>
      <c r="V77" s="189" t="n"/>
      <c r="W77" s="189" t="n"/>
      <c r="X77" s="189" t="n"/>
      <c r="Y77" s="189" t="n"/>
      <c r="Z77" s="189" t="n"/>
      <c r="AA77" s="189" t="n"/>
      <c r="AB77" s="189" t="n"/>
      <c r="AC77" s="189" t="n"/>
      <c r="AD77" s="189" t="n"/>
      <c r="AE77" s="189" t="n"/>
      <c r="AF77" s="189" t="n"/>
      <c r="AG77" s="189" t="n"/>
      <c r="AH77" s="189" t="n"/>
      <c r="AI77" s="189" t="n"/>
      <c r="AJ77" s="189" t="n"/>
      <c r="AK77" s="189" t="n"/>
      <c r="AL77" s="189" t="n"/>
      <c r="AM77" s="51" t="inlineStr">
        <is>
          <t>U5X</t>
        </is>
      </c>
    </row>
    <row r="78">
      <c r="C78" s="189" t="n"/>
      <c r="D78" s="189" t="n"/>
      <c r="E78" s="189" t="n"/>
      <c r="F78" s="189" t="n"/>
      <c r="G78" s="189" t="n"/>
      <c r="H78" s="189" t="n"/>
      <c r="I78" s="189" t="n"/>
      <c r="J78" s="189" t="n"/>
      <c r="K78" s="189" t="n"/>
      <c r="L78" s="189" t="n"/>
      <c r="M78" s="189" t="n"/>
      <c r="N78" s="189" t="n"/>
      <c r="O78" s="189" t="n"/>
      <c r="P78" s="189" t="n"/>
      <c r="Q78" s="189" t="n"/>
      <c r="R78" s="189" t="n"/>
      <c r="S78" s="189" t="n"/>
      <c r="T78" s="189" t="n"/>
      <c r="U78" s="189" t="n"/>
      <c r="V78" s="189" t="n"/>
      <c r="W78" s="189" t="n"/>
      <c r="X78" s="189" t="n"/>
      <c r="Y78" s="189" t="n"/>
      <c r="Z78" s="189" t="n"/>
      <c r="AA78" s="189" t="n"/>
      <c r="AB78" s="189" t="n"/>
      <c r="AC78" s="189" t="n"/>
      <c r="AD78" s="189" t="n"/>
      <c r="AE78" s="189" t="n"/>
      <c r="AF78" s="189" t="n"/>
      <c r="AG78" s="189" t="n"/>
      <c r="AH78" s="189" t="n"/>
      <c r="AI78" s="189" t="n"/>
      <c r="AJ78" s="189" t="n"/>
      <c r="AK78" s="189" t="n"/>
      <c r="AL78" s="189" t="n"/>
      <c r="AM78" s="51" t="inlineStr">
        <is>
          <t>U5Y</t>
        </is>
      </c>
    </row>
    <row r="79">
      <c r="C79" s="189" t="n"/>
      <c r="D79" s="189" t="n"/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9" t="n"/>
      <c r="Y79" s="189" t="n"/>
      <c r="Z79" s="189" t="n"/>
      <c r="AA79" s="189" t="n"/>
      <c r="AB79" s="189" t="n"/>
      <c r="AC79" s="189" t="n"/>
      <c r="AD79" s="189" t="n"/>
      <c r="AE79" s="189" t="n"/>
      <c r="AF79" s="189" t="n"/>
      <c r="AG79" s="189" t="n"/>
      <c r="AH79" s="189" t="n"/>
      <c r="AI79" s="189" t="n"/>
      <c r="AJ79" s="189" t="n"/>
      <c r="AK79" s="189" t="n"/>
      <c r="AL79" s="189" t="n"/>
      <c r="AM79" s="51" t="inlineStr">
        <is>
          <t>U5θ</t>
        </is>
      </c>
    </row>
    <row r="80">
      <c r="C80" s="189" t="n"/>
      <c r="D80" s="189" t="n"/>
      <c r="E80" s="189" t="n"/>
      <c r="F80" s="189" t="n"/>
      <c r="G80" s="189" t="n"/>
      <c r="H80" s="189" t="n"/>
      <c r="I80" s="189" t="n"/>
      <c r="J80" s="189" t="n"/>
      <c r="K80" s="189" t="n"/>
      <c r="L80" s="189" t="n"/>
      <c r="M80" s="189" t="n"/>
      <c r="N80" s="189" t="n"/>
      <c r="O80" s="189" t="n"/>
      <c r="P80" s="189" t="n"/>
      <c r="Q80" s="189" t="n"/>
      <c r="R80" s="189" t="n"/>
      <c r="S80" s="189" t="n"/>
      <c r="T80" s="189" t="n"/>
      <c r="U80" s="189" t="n"/>
      <c r="V80" s="189" t="n"/>
      <c r="W80" s="189" t="n"/>
      <c r="X80" s="189" t="n"/>
      <c r="Y80" s="189" t="n"/>
      <c r="Z80" s="189" t="n"/>
      <c r="AA80" s="189" t="n"/>
      <c r="AB80" s="189" t="n"/>
      <c r="AC80" s="189" t="n"/>
      <c r="AD80" s="189" t="n"/>
      <c r="AE80" s="189" t="n"/>
      <c r="AF80" s="189" t="n"/>
      <c r="AG80" s="189" t="n"/>
      <c r="AH80" s="189" t="n"/>
      <c r="AI80" s="189" t="n"/>
      <c r="AJ80" s="189" t="n"/>
      <c r="AK80" s="189" t="n"/>
      <c r="AL80" s="189" t="n"/>
      <c r="AM80" s="51" t="inlineStr">
        <is>
          <t>U6X</t>
        </is>
      </c>
    </row>
    <row r="81">
      <c r="C81" s="189" t="n"/>
      <c r="D81" s="189" t="n"/>
      <c r="E81" s="189" t="n"/>
      <c r="F81" s="189" t="n"/>
      <c r="G81" s="189" t="n"/>
      <c r="H81" s="189" t="n"/>
      <c r="I81" s="189" t="n"/>
      <c r="J81" s="189" t="n"/>
      <c r="K81" s="189" t="n"/>
      <c r="L81" s="189" t="n"/>
      <c r="M81" s="189" t="n"/>
      <c r="N81" s="189" t="n"/>
      <c r="O81" s="189" t="n"/>
      <c r="P81" s="189" t="n"/>
      <c r="Q81" s="189" t="n"/>
      <c r="R81" s="189" t="n"/>
      <c r="S81" s="189" t="n"/>
      <c r="T81" s="189" t="n"/>
      <c r="U81" s="189" t="n"/>
      <c r="V81" s="189" t="n"/>
      <c r="W81" s="189" t="n"/>
      <c r="X81" s="189" t="n"/>
      <c r="Y81" s="189" t="n"/>
      <c r="Z81" s="189" t="n"/>
      <c r="AA81" s="189" t="n"/>
      <c r="AB81" s="189" t="n"/>
      <c r="AC81" s="189" t="n"/>
      <c r="AD81" s="189" t="n"/>
      <c r="AE81" s="189" t="n"/>
      <c r="AF81" s="189" t="n"/>
      <c r="AG81" s="189" t="n"/>
      <c r="AH81" s="189" t="n"/>
      <c r="AI81" s="189" t="n"/>
      <c r="AJ81" s="189" t="n"/>
      <c r="AK81" s="189" t="n"/>
      <c r="AL81" s="189" t="n"/>
      <c r="AM81" s="51" t="inlineStr">
        <is>
          <t>U6Y</t>
        </is>
      </c>
    </row>
    <row r="82">
      <c r="B82" s="118" t="inlineStr">
        <is>
          <t>K1 =</t>
        </is>
      </c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9" t="n"/>
      <c r="Y82" s="189" t="n"/>
      <c r="Z82" s="189" t="n"/>
      <c r="AA82" s="189" t="n"/>
      <c r="AB82" s="189" t="n"/>
      <c r="AC82" s="189" t="n"/>
      <c r="AD82" s="189" t="n"/>
      <c r="AE82" s="189" t="n"/>
      <c r="AF82" s="189" t="n"/>
      <c r="AG82" s="189" t="n"/>
      <c r="AH82" s="189" t="n"/>
      <c r="AI82" s="189" t="n"/>
      <c r="AJ82" s="189" t="n"/>
      <c r="AK82" s="189" t="n"/>
      <c r="AL82" s="189" t="n"/>
      <c r="AM82" s="51" t="inlineStr">
        <is>
          <t>U6θ</t>
        </is>
      </c>
    </row>
    <row r="83"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9" t="n"/>
      <c r="Y83" s="189" t="n"/>
      <c r="Z83" s="189" t="n"/>
      <c r="AA83" s="189" t="n"/>
      <c r="AB83" s="189" t="n"/>
      <c r="AC83" s="189" t="n"/>
      <c r="AD83" s="189" t="n"/>
      <c r="AE83" s="189" t="n"/>
      <c r="AF83" s="189" t="n"/>
      <c r="AG83" s="189" t="n"/>
      <c r="AH83" s="189" t="n"/>
      <c r="AI83" s="189" t="n"/>
      <c r="AJ83" s="189" t="n"/>
      <c r="AK83" s="189" t="n"/>
      <c r="AL83" s="189" t="n"/>
      <c r="AM83" s="51" t="inlineStr">
        <is>
          <t>U7X</t>
        </is>
      </c>
    </row>
    <row r="84">
      <c r="C84" s="189" t="n"/>
      <c r="D84" s="189" t="n"/>
      <c r="E84" s="189" t="n"/>
      <c r="F84" s="189" t="n"/>
      <c r="G84" s="189" t="n"/>
      <c r="H84" s="189" t="n"/>
      <c r="I84" s="189" t="n"/>
      <c r="J84" s="189" t="n"/>
      <c r="K84" s="189" t="n"/>
      <c r="L84" s="189" t="n"/>
      <c r="M84" s="189" t="n"/>
      <c r="N84" s="189" t="n"/>
      <c r="O84" s="189" t="n"/>
      <c r="P84" s="189" t="n"/>
      <c r="Q84" s="189" t="n"/>
      <c r="R84" s="189" t="n"/>
      <c r="S84" s="189" t="n"/>
      <c r="T84" s="189" t="n"/>
      <c r="U84" s="189" t="n"/>
      <c r="V84" s="189" t="n"/>
      <c r="W84" s="189" t="n"/>
      <c r="X84" s="189" t="n"/>
      <c r="Y84" s="189" t="n"/>
      <c r="Z84" s="189" t="n"/>
      <c r="AA84" s="189" t="n"/>
      <c r="AB84" s="189" t="n"/>
      <c r="AC84" s="189" t="n"/>
      <c r="AD84" s="189" t="n"/>
      <c r="AE84" s="189" t="n"/>
      <c r="AF84" s="189" t="n"/>
      <c r="AG84" s="189" t="n"/>
      <c r="AH84" s="189" t="n"/>
      <c r="AI84" s="189" t="n"/>
      <c r="AJ84" s="189" t="n"/>
      <c r="AK84" s="189" t="n"/>
      <c r="AL84" s="189" t="n"/>
      <c r="AM84" s="51" t="inlineStr">
        <is>
          <t>U7Y</t>
        </is>
      </c>
    </row>
    <row r="85">
      <c r="C85" s="189" t="n"/>
      <c r="D85" s="189" t="n"/>
      <c r="E85" s="189" t="n"/>
      <c r="F85" s="189" t="n"/>
      <c r="G85" s="189" t="n"/>
      <c r="H85" s="189" t="n"/>
      <c r="I85" s="189" t="n"/>
      <c r="J85" s="189" t="n"/>
      <c r="K85" s="189" t="n"/>
      <c r="L85" s="189" t="n"/>
      <c r="M85" s="189" t="n"/>
      <c r="N85" s="189" t="n"/>
      <c r="O85" s="189" t="n"/>
      <c r="P85" s="189" t="n"/>
      <c r="Q85" s="189" t="n"/>
      <c r="R85" s="189" t="n"/>
      <c r="S85" s="189" t="n"/>
      <c r="T85" s="189" t="n"/>
      <c r="U85" s="189" t="n"/>
      <c r="V85" s="189" t="n"/>
      <c r="W85" s="189" t="n"/>
      <c r="X85" s="189" t="n"/>
      <c r="Y85" s="189" t="n"/>
      <c r="Z85" s="189" t="n"/>
      <c r="AA85" s="189" t="n"/>
      <c r="AB85" s="189" t="n"/>
      <c r="AC85" s="189" t="n"/>
      <c r="AD85" s="189" t="n"/>
      <c r="AE85" s="189" t="n"/>
      <c r="AF85" s="189" t="n"/>
      <c r="AG85" s="189" t="n"/>
      <c r="AH85" s="189" t="n"/>
      <c r="AI85" s="189" t="n"/>
      <c r="AJ85" s="189" t="n"/>
      <c r="AK85" s="189" t="n"/>
      <c r="AL85" s="189" t="n"/>
      <c r="AM85" s="51" t="inlineStr">
        <is>
          <t>U7θ</t>
        </is>
      </c>
    </row>
    <row r="86">
      <c r="C86" s="189" t="n"/>
      <c r="D86" s="189" t="n"/>
      <c r="E86" s="189" t="n"/>
      <c r="F86" s="189" t="n"/>
      <c r="G86" s="189" t="n"/>
      <c r="H86" s="189" t="n"/>
      <c r="I86" s="189" t="n"/>
      <c r="J86" s="189" t="n"/>
      <c r="K86" s="189" t="n"/>
      <c r="L86" s="189" t="n"/>
      <c r="M86" s="189" t="n"/>
      <c r="N86" s="189" t="n"/>
      <c r="O86" s="189" t="n"/>
      <c r="P86" s="189" t="n"/>
      <c r="Q86" s="189" t="n"/>
      <c r="R86" s="189" t="n"/>
      <c r="S86" s="189" t="n"/>
      <c r="T86" s="189" t="n"/>
      <c r="U86" s="189" t="n"/>
      <c r="V86" s="189" t="n"/>
      <c r="W86" s="189" t="n"/>
      <c r="X86" s="189" t="n"/>
      <c r="Y86" s="189" t="n"/>
      <c r="Z86" s="189" t="n"/>
      <c r="AA86" s="189" t="n"/>
      <c r="AB86" s="189" t="n"/>
      <c r="AC86" s="189" t="n"/>
      <c r="AD86" s="189" t="n"/>
      <c r="AE86" s="189" t="n"/>
      <c r="AF86" s="189" t="n"/>
      <c r="AG86" s="189" t="n"/>
      <c r="AH86" s="189" t="n"/>
      <c r="AI86" s="189" t="n"/>
      <c r="AJ86" s="189" t="n"/>
      <c r="AK86" s="189" t="n"/>
      <c r="AL86" s="189" t="n"/>
      <c r="AM86" s="51" t="inlineStr">
        <is>
          <t>U8X</t>
        </is>
      </c>
    </row>
    <row r="87">
      <c r="C87" s="189" t="n"/>
      <c r="D87" s="189" t="n"/>
      <c r="E87" s="189" t="n"/>
      <c r="F87" s="189" t="n"/>
      <c r="G87" s="189" t="n"/>
      <c r="H87" s="189" t="n"/>
      <c r="I87" s="189" t="n"/>
      <c r="J87" s="189" t="n"/>
      <c r="K87" s="189" t="n"/>
      <c r="L87" s="189" t="n"/>
      <c r="M87" s="189" t="n"/>
      <c r="N87" s="189" t="n"/>
      <c r="O87" s="189" t="n"/>
      <c r="P87" s="189" t="n"/>
      <c r="Q87" s="189" t="n"/>
      <c r="R87" s="189" t="n"/>
      <c r="S87" s="189" t="n"/>
      <c r="T87" s="189" t="n"/>
      <c r="U87" s="189" t="n"/>
      <c r="V87" s="189" t="n"/>
      <c r="W87" s="189" t="n"/>
      <c r="X87" s="189" t="n"/>
      <c r="Y87" s="189" t="n"/>
      <c r="Z87" s="189" t="n"/>
      <c r="AA87" s="189" t="n"/>
      <c r="AB87" s="189" t="n"/>
      <c r="AC87" s="189" t="n"/>
      <c r="AD87" s="189" t="n"/>
      <c r="AE87" s="189" t="n"/>
      <c r="AF87" s="189" t="n"/>
      <c r="AG87" s="189" t="n"/>
      <c r="AH87" s="189" t="n"/>
      <c r="AI87" s="189" t="n"/>
      <c r="AJ87" s="189" t="n"/>
      <c r="AK87" s="189" t="n"/>
      <c r="AL87" s="189" t="n"/>
      <c r="AM87" s="51" t="inlineStr">
        <is>
          <t>U8Y</t>
        </is>
      </c>
    </row>
    <row r="88">
      <c r="C88" s="189" t="n"/>
      <c r="D88" s="189" t="n"/>
      <c r="E88" s="189" t="n"/>
      <c r="F88" s="189" t="n"/>
      <c r="G88" s="189" t="n"/>
      <c r="H88" s="189" t="n"/>
      <c r="I88" s="189" t="n"/>
      <c r="J88" s="189" t="n"/>
      <c r="K88" s="189" t="n"/>
      <c r="L88" s="189" t="n"/>
      <c r="M88" s="189" t="n"/>
      <c r="N88" s="189" t="n"/>
      <c r="O88" s="189" t="n"/>
      <c r="P88" s="189" t="n"/>
      <c r="Q88" s="189" t="n"/>
      <c r="R88" s="189" t="n"/>
      <c r="S88" s="189" t="n"/>
      <c r="T88" s="189" t="n"/>
      <c r="U88" s="189" t="n"/>
      <c r="V88" s="189" t="n"/>
      <c r="W88" s="189" t="n"/>
      <c r="X88" s="189" t="n"/>
      <c r="Y88" s="189" t="n"/>
      <c r="Z88" s="189" t="n"/>
      <c r="AA88" s="189" t="n"/>
      <c r="AB88" s="189" t="n"/>
      <c r="AC88" s="189" t="n"/>
      <c r="AD88" s="189" t="n"/>
      <c r="AE88" s="189" t="n"/>
      <c r="AF88" s="189" t="n"/>
      <c r="AG88" s="189" t="n"/>
      <c r="AH88" s="189" t="n"/>
      <c r="AI88" s="189" t="n"/>
      <c r="AJ88" s="189" t="n"/>
      <c r="AK88" s="189" t="n"/>
      <c r="AL88" s="189" t="n"/>
      <c r="AM88" s="51" t="inlineStr">
        <is>
          <t>U8θ</t>
        </is>
      </c>
    </row>
    <row r="89">
      <c r="C89" s="189" t="n"/>
      <c r="D89" s="189" t="n"/>
      <c r="E89" s="189" t="n"/>
      <c r="F89" s="189" t="n"/>
      <c r="G89" s="189" t="n"/>
      <c r="H89" s="189" t="n"/>
      <c r="I89" s="189" t="n"/>
      <c r="J89" s="189" t="n"/>
      <c r="K89" s="189" t="n"/>
      <c r="L89" s="189" t="n"/>
      <c r="M89" s="189" t="n"/>
      <c r="N89" s="189" t="n"/>
      <c r="O89" s="189" t="n"/>
      <c r="P89" s="189" t="n"/>
      <c r="Q89" s="189" t="n"/>
      <c r="R89" s="189" t="n"/>
      <c r="S89" s="189" t="n"/>
      <c r="T89" s="189" t="n"/>
      <c r="U89" s="189" t="n"/>
      <c r="V89" s="189" t="n"/>
      <c r="W89" s="189" t="n"/>
      <c r="X89" s="189" t="n"/>
      <c r="Y89" s="189" t="n"/>
      <c r="Z89" s="189" t="n"/>
      <c r="AA89" s="189" t="n"/>
      <c r="AB89" s="189" t="n"/>
      <c r="AC89" s="189" t="n"/>
      <c r="AD89" s="189" t="n"/>
      <c r="AE89" s="189" t="n"/>
      <c r="AF89" s="189" t="n"/>
      <c r="AG89" s="189" t="n"/>
      <c r="AH89" s="189" t="n"/>
      <c r="AI89" s="189" t="n"/>
      <c r="AJ89" s="189" t="n"/>
      <c r="AK89" s="189" t="n"/>
      <c r="AL89" s="189" t="n"/>
      <c r="AM89" s="51" t="inlineStr">
        <is>
          <t>U9X</t>
        </is>
      </c>
    </row>
    <row r="90">
      <c r="C90" s="189" t="n"/>
      <c r="D90" s="189" t="n"/>
      <c r="E90" s="189" t="n"/>
      <c r="F90" s="189" t="n"/>
      <c r="G90" s="189" t="n"/>
      <c r="H90" s="189" t="n"/>
      <c r="I90" s="189" t="n"/>
      <c r="J90" s="189" t="n"/>
      <c r="K90" s="189" t="n"/>
      <c r="L90" s="189" t="n"/>
      <c r="M90" s="189" t="n"/>
      <c r="N90" s="189" t="n"/>
      <c r="O90" s="189" t="n"/>
      <c r="P90" s="189" t="n"/>
      <c r="Q90" s="189" t="n"/>
      <c r="R90" s="189" t="n"/>
      <c r="S90" s="189" t="n"/>
      <c r="T90" s="189" t="n"/>
      <c r="U90" s="189" t="n"/>
      <c r="V90" s="189" t="n"/>
      <c r="W90" s="189" t="n"/>
      <c r="X90" s="189" t="n"/>
      <c r="Y90" s="189" t="n"/>
      <c r="Z90" s="189" t="n"/>
      <c r="AA90" s="189" t="n"/>
      <c r="AB90" s="189" t="n"/>
      <c r="AC90" s="189" t="n"/>
      <c r="AD90" s="189" t="n"/>
      <c r="AE90" s="189" t="n"/>
      <c r="AF90" s="189" t="n"/>
      <c r="AG90" s="189" t="n"/>
      <c r="AH90" s="189" t="n"/>
      <c r="AI90" s="189" t="n"/>
      <c r="AJ90" s="189" t="n"/>
      <c r="AK90" s="189" t="n"/>
      <c r="AL90" s="189" t="n"/>
      <c r="AM90" s="51" t="inlineStr">
        <is>
          <t>U9Y</t>
        </is>
      </c>
    </row>
    <row r="91">
      <c r="C91" s="189" t="n"/>
      <c r="D91" s="189" t="n"/>
      <c r="E91" s="189" t="n"/>
      <c r="F91" s="189" t="n"/>
      <c r="G91" s="189" t="n"/>
      <c r="H91" s="189" t="n"/>
      <c r="I91" s="189" t="n"/>
      <c r="J91" s="189" t="n"/>
      <c r="K91" s="189" t="n"/>
      <c r="L91" s="189" t="n"/>
      <c r="M91" s="189" t="n"/>
      <c r="N91" s="189" t="n"/>
      <c r="O91" s="189" t="n"/>
      <c r="P91" s="189" t="n"/>
      <c r="Q91" s="189" t="n"/>
      <c r="R91" s="189" t="n"/>
      <c r="S91" s="189" t="n"/>
      <c r="T91" s="189" t="n"/>
      <c r="U91" s="189" t="n"/>
      <c r="V91" s="189" t="n"/>
      <c r="W91" s="189" t="n"/>
      <c r="X91" s="189" t="n"/>
      <c r="Y91" s="189" t="n"/>
      <c r="Z91" s="189" t="n"/>
      <c r="AA91" s="189" t="n"/>
      <c r="AB91" s="189" t="n"/>
      <c r="AC91" s="189" t="n"/>
      <c r="AD91" s="189" t="n"/>
      <c r="AE91" s="189" t="n"/>
      <c r="AF91" s="189" t="n"/>
      <c r="AG91" s="189" t="n"/>
      <c r="AH91" s="189" t="n"/>
      <c r="AI91" s="189" t="n"/>
      <c r="AJ91" s="189" t="n"/>
      <c r="AK91" s="189" t="n"/>
      <c r="AL91" s="189" t="n"/>
      <c r="AM91" s="51" t="inlineStr">
        <is>
          <t>U9θ</t>
        </is>
      </c>
    </row>
    <row r="92">
      <c r="C92" s="189" t="n"/>
      <c r="D92" s="189" t="n"/>
      <c r="E92" s="189" t="n"/>
      <c r="F92" s="189" t="n"/>
      <c r="G92" s="189" t="n"/>
      <c r="H92" s="189" t="n"/>
      <c r="I92" s="189" t="n"/>
      <c r="J92" s="189" t="n"/>
      <c r="K92" s="189" t="n"/>
      <c r="L92" s="189" t="n"/>
      <c r="M92" s="189" t="n"/>
      <c r="N92" s="189" t="n"/>
      <c r="O92" s="189" t="n"/>
      <c r="P92" s="189" t="n"/>
      <c r="Q92" s="189" t="n"/>
      <c r="R92" s="189" t="n"/>
      <c r="S92" s="189" t="n"/>
      <c r="T92" s="189" t="n"/>
      <c r="U92" s="189" t="n"/>
      <c r="V92" s="189" t="n"/>
      <c r="W92" s="189" t="n"/>
      <c r="X92" s="189" t="n"/>
      <c r="Y92" s="189" t="n"/>
      <c r="Z92" s="189" t="n"/>
      <c r="AA92" s="189" t="n"/>
      <c r="AB92" s="189" t="n"/>
      <c r="AC92" s="189" t="n"/>
      <c r="AD92" s="189" t="n"/>
      <c r="AE92" s="189" t="n"/>
      <c r="AF92" s="189" t="n"/>
      <c r="AG92" s="189" t="n"/>
      <c r="AH92" s="189" t="n"/>
      <c r="AI92" s="189" t="n"/>
      <c r="AJ92" s="189" t="n"/>
      <c r="AK92" s="189" t="n"/>
      <c r="AL92" s="189" t="n"/>
      <c r="AM92" s="51" t="inlineStr">
        <is>
          <t>U10X</t>
        </is>
      </c>
    </row>
    <row r="93">
      <c r="C93" s="189" t="n"/>
      <c r="D93" s="189" t="n"/>
      <c r="E93" s="189" t="n"/>
      <c r="F93" s="189" t="n"/>
      <c r="G93" s="189" t="n"/>
      <c r="H93" s="189" t="n"/>
      <c r="I93" s="189" t="n"/>
      <c r="J93" s="189" t="n"/>
      <c r="K93" s="189" t="n"/>
      <c r="L93" s="189" t="n"/>
      <c r="M93" s="189" t="n"/>
      <c r="N93" s="189" t="n"/>
      <c r="O93" s="189" t="n"/>
      <c r="P93" s="189" t="n"/>
      <c r="Q93" s="189" t="n"/>
      <c r="R93" s="189" t="n"/>
      <c r="S93" s="189" t="n"/>
      <c r="T93" s="189" t="n"/>
      <c r="U93" s="189" t="n"/>
      <c r="V93" s="189" t="n"/>
      <c r="W93" s="189" t="n"/>
      <c r="X93" s="189" t="n"/>
      <c r="Y93" s="189" t="n"/>
      <c r="Z93" s="189" t="n"/>
      <c r="AA93" s="189" t="n"/>
      <c r="AB93" s="189" t="n"/>
      <c r="AC93" s="189" t="n"/>
      <c r="AD93" s="189" t="n"/>
      <c r="AE93" s="189" t="n"/>
      <c r="AF93" s="189" t="n"/>
      <c r="AG93" s="189" t="n"/>
      <c r="AH93" s="189" t="n"/>
      <c r="AI93" s="189" t="n"/>
      <c r="AJ93" s="189" t="n"/>
      <c r="AK93" s="189" t="n"/>
      <c r="AL93" s="189" t="n"/>
      <c r="AM93" s="51" t="inlineStr">
        <is>
          <t>U10Y</t>
        </is>
      </c>
    </row>
    <row r="94">
      <c r="C94" s="189" t="n"/>
      <c r="D94" s="189" t="n"/>
      <c r="E94" s="189" t="n"/>
      <c r="F94" s="189" t="n"/>
      <c r="G94" s="189" t="n"/>
      <c r="H94" s="189" t="n"/>
      <c r="I94" s="189" t="n"/>
      <c r="J94" s="189" t="n"/>
      <c r="K94" s="189" t="n"/>
      <c r="L94" s="189" t="n"/>
      <c r="M94" s="189" t="n"/>
      <c r="N94" s="189" t="n"/>
      <c r="O94" s="189" t="n"/>
      <c r="P94" s="189" t="n"/>
      <c r="Q94" s="189" t="n"/>
      <c r="R94" s="189" t="n"/>
      <c r="S94" s="189" t="n"/>
      <c r="T94" s="189" t="n"/>
      <c r="U94" s="189" t="n"/>
      <c r="V94" s="189" t="n"/>
      <c r="W94" s="189" t="n"/>
      <c r="X94" s="189" t="n"/>
      <c r="Y94" s="189" t="n"/>
      <c r="Z94" s="189" t="n"/>
      <c r="AA94" s="189" t="n"/>
      <c r="AB94" s="189" t="n"/>
      <c r="AC94" s="189" t="n"/>
      <c r="AD94" s="189" t="n"/>
      <c r="AE94" s="189" t="n"/>
      <c r="AF94" s="189" t="n"/>
      <c r="AG94" s="189" t="n"/>
      <c r="AH94" s="189" t="n"/>
      <c r="AI94" s="189" t="n"/>
      <c r="AJ94" s="189" t="n"/>
      <c r="AK94" s="189" t="n"/>
      <c r="AL94" s="189" t="n"/>
      <c r="AM94" s="51" t="inlineStr">
        <is>
          <t>U10θ</t>
        </is>
      </c>
    </row>
    <row r="95">
      <c r="C95" s="189" t="n"/>
      <c r="D95" s="189" t="n"/>
      <c r="E95" s="189" t="n"/>
      <c r="F95" s="189" t="n"/>
      <c r="G95" s="189" t="n"/>
      <c r="H95" s="189" t="n"/>
      <c r="I95" s="189" t="n"/>
      <c r="J95" s="189" t="n"/>
      <c r="K95" s="189" t="n"/>
      <c r="L95" s="189" t="n"/>
      <c r="M95" s="189" t="n"/>
      <c r="N95" s="189" t="n"/>
      <c r="O95" s="189" t="n"/>
      <c r="P95" s="189" t="n"/>
      <c r="Q95" s="189" t="n"/>
      <c r="R95" s="189" t="n"/>
      <c r="S95" s="189" t="n"/>
      <c r="T95" s="189" t="n"/>
      <c r="U95" s="189" t="n"/>
      <c r="V95" s="189" t="n"/>
      <c r="W95" s="189" t="n"/>
      <c r="X95" s="189" t="n"/>
      <c r="Y95" s="189" t="n"/>
      <c r="Z95" s="189" t="n"/>
      <c r="AA95" s="189" t="n"/>
      <c r="AB95" s="189" t="n"/>
      <c r="AC95" s="189" t="n"/>
      <c r="AD95" s="189" t="n"/>
      <c r="AE95" s="189" t="n"/>
      <c r="AF95" s="189" t="n"/>
      <c r="AG95" s="189" t="n"/>
      <c r="AH95" s="189" t="n"/>
      <c r="AI95" s="189" t="n"/>
      <c r="AJ95" s="189" t="n"/>
      <c r="AK95" s="189" t="n"/>
      <c r="AL95" s="189" t="n"/>
      <c r="AM95" s="51" t="inlineStr">
        <is>
          <t>U11X</t>
        </is>
      </c>
    </row>
    <row r="96">
      <c r="C96" s="189" t="n"/>
      <c r="D96" s="189" t="n"/>
      <c r="E96" s="189" t="n"/>
      <c r="F96" s="189" t="n"/>
      <c r="G96" s="189" t="n"/>
      <c r="H96" s="189" t="n"/>
      <c r="I96" s="189" t="n"/>
      <c r="J96" s="189" t="n"/>
      <c r="K96" s="189" t="n"/>
      <c r="L96" s="189" t="n"/>
      <c r="M96" s="189" t="n"/>
      <c r="N96" s="189" t="n"/>
      <c r="O96" s="189" t="n"/>
      <c r="P96" s="189" t="n"/>
      <c r="Q96" s="189" t="n"/>
      <c r="R96" s="189" t="n"/>
      <c r="S96" s="189" t="n"/>
      <c r="T96" s="189" t="n"/>
      <c r="U96" s="189" t="n"/>
      <c r="V96" s="189" t="n"/>
      <c r="W96" s="189" t="n"/>
      <c r="X96" s="189" t="n"/>
      <c r="Y96" s="189" t="n"/>
      <c r="Z96" s="189" t="n"/>
      <c r="AA96" s="189" t="n"/>
      <c r="AB96" s="189" t="n"/>
      <c r="AC96" s="189" t="n"/>
      <c r="AD96" s="189" t="n"/>
      <c r="AE96" s="189" t="n"/>
      <c r="AF96" s="189" t="n"/>
      <c r="AG96" s="189" t="n"/>
      <c r="AH96" s="189" t="n"/>
      <c r="AI96" s="189" t="n"/>
      <c r="AJ96" s="189" t="n"/>
      <c r="AK96" s="189" t="n"/>
      <c r="AL96" s="189" t="n"/>
      <c r="AM96" s="51" t="inlineStr">
        <is>
          <t>U11Y</t>
        </is>
      </c>
    </row>
    <row r="97">
      <c r="C97" s="189" t="n"/>
      <c r="D97" s="189" t="n"/>
      <c r="E97" s="189" t="n"/>
      <c r="F97" s="189" t="n"/>
      <c r="G97" s="189" t="n"/>
      <c r="H97" s="189" t="n"/>
      <c r="I97" s="189" t="n"/>
      <c r="J97" s="189" t="n"/>
      <c r="K97" s="189" t="n"/>
      <c r="L97" s="189" t="n"/>
      <c r="M97" s="189" t="n"/>
      <c r="N97" s="189" t="n"/>
      <c r="O97" s="189" t="n"/>
      <c r="P97" s="189" t="n"/>
      <c r="Q97" s="189" t="n"/>
      <c r="R97" s="189" t="n"/>
      <c r="S97" s="189" t="n"/>
      <c r="T97" s="189" t="n"/>
      <c r="U97" s="189" t="n"/>
      <c r="V97" s="189" t="n"/>
      <c r="W97" s="189" t="n"/>
      <c r="X97" s="189" t="n"/>
      <c r="Y97" s="189" t="n"/>
      <c r="Z97" s="189" t="n"/>
      <c r="AA97" s="189" t="n"/>
      <c r="AB97" s="189" t="n"/>
      <c r="AC97" s="189" t="n"/>
      <c r="AD97" s="189" t="n"/>
      <c r="AE97" s="189" t="n"/>
      <c r="AF97" s="189" t="n"/>
      <c r="AG97" s="189" t="n"/>
      <c r="AH97" s="189" t="n"/>
      <c r="AI97" s="189" t="n"/>
      <c r="AJ97" s="189" t="n"/>
      <c r="AK97" s="189" t="n"/>
      <c r="AL97" s="189" t="n"/>
      <c r="AM97" s="51" t="inlineStr">
        <is>
          <t>U11θ</t>
        </is>
      </c>
    </row>
    <row r="98">
      <c r="C98" s="189" t="n"/>
      <c r="D98" s="189" t="n"/>
      <c r="E98" s="189" t="n"/>
      <c r="F98" s="189" t="n"/>
      <c r="G98" s="189" t="n"/>
      <c r="H98" s="189" t="n"/>
      <c r="I98" s="189" t="n"/>
      <c r="J98" s="189" t="n"/>
      <c r="K98" s="189" t="n"/>
      <c r="L98" s="189" t="n"/>
      <c r="M98" s="189" t="n"/>
      <c r="N98" s="189" t="n"/>
      <c r="O98" s="189" t="n"/>
      <c r="P98" s="189" t="n"/>
      <c r="Q98" s="189" t="n"/>
      <c r="R98" s="189" t="n"/>
      <c r="S98" s="189" t="n"/>
      <c r="T98" s="189" t="n"/>
      <c r="U98" s="189" t="n"/>
      <c r="V98" s="189" t="n"/>
      <c r="W98" s="189" t="n"/>
      <c r="X98" s="189" t="n"/>
      <c r="Y98" s="189" t="n"/>
      <c r="Z98" s="189" t="n"/>
      <c r="AA98" s="189" t="n"/>
      <c r="AB98" s="189" t="n"/>
      <c r="AC98" s="189" t="n"/>
      <c r="AD98" s="189" t="n"/>
      <c r="AE98" s="189" t="n"/>
      <c r="AF98" s="189" t="n"/>
      <c r="AG98" s="189" t="n"/>
      <c r="AH98" s="189" t="n"/>
      <c r="AI98" s="189" t="n"/>
      <c r="AJ98" s="189" t="n"/>
      <c r="AK98" s="189" t="n"/>
      <c r="AL98" s="189" t="n"/>
      <c r="AM98" s="51" t="inlineStr">
        <is>
          <t>U12X</t>
        </is>
      </c>
    </row>
    <row r="99">
      <c r="C99" s="189" t="n"/>
      <c r="D99" s="189" t="n"/>
      <c r="E99" s="189" t="n"/>
      <c r="F99" s="189" t="n"/>
      <c r="G99" s="189" t="n"/>
      <c r="H99" s="189" t="n"/>
      <c r="I99" s="189" t="n"/>
      <c r="J99" s="189" t="n"/>
      <c r="K99" s="189" t="n"/>
      <c r="L99" s="189" t="n"/>
      <c r="M99" s="189" t="n"/>
      <c r="N99" s="189" t="n"/>
      <c r="O99" s="189" t="n"/>
      <c r="P99" s="189" t="n"/>
      <c r="Q99" s="189" t="n"/>
      <c r="R99" s="189" t="n"/>
      <c r="S99" s="189" t="n"/>
      <c r="T99" s="189" t="n"/>
      <c r="U99" s="189" t="n"/>
      <c r="V99" s="189" t="n"/>
      <c r="W99" s="189" t="n"/>
      <c r="X99" s="189" t="n"/>
      <c r="Y99" s="189" t="n"/>
      <c r="Z99" s="189" t="n"/>
      <c r="AA99" s="189" t="n"/>
      <c r="AB99" s="189" t="n"/>
      <c r="AC99" s="189" t="n"/>
      <c r="AD99" s="189" t="n"/>
      <c r="AE99" s="189" t="n"/>
      <c r="AF99" s="189" t="n"/>
      <c r="AG99" s="189" t="n"/>
      <c r="AH99" s="189" t="n"/>
      <c r="AI99" s="189" t="n"/>
      <c r="AJ99" s="189" t="n"/>
      <c r="AK99" s="189" t="n"/>
      <c r="AL99" s="189" t="n"/>
      <c r="AM99" s="51" t="inlineStr">
        <is>
          <t>U12Y</t>
        </is>
      </c>
    </row>
    <row r="100">
      <c r="C100" s="189" t="n"/>
      <c r="D100" s="189" t="n"/>
      <c r="E100" s="189" t="n"/>
      <c r="F100" s="189" t="n"/>
      <c r="G100" s="189" t="n"/>
      <c r="H100" s="189" t="n"/>
      <c r="I100" s="189" t="n"/>
      <c r="J100" s="189" t="n"/>
      <c r="K100" s="189" t="n"/>
      <c r="L100" s="189" t="n"/>
      <c r="M100" s="189" t="n"/>
      <c r="N100" s="189" t="n"/>
      <c r="O100" s="189" t="n"/>
      <c r="P100" s="189" t="n"/>
      <c r="Q100" s="189" t="n"/>
      <c r="R100" s="189" t="n"/>
      <c r="S100" s="189" t="n"/>
      <c r="T100" s="189" t="n"/>
      <c r="U100" s="189" t="n"/>
      <c r="V100" s="189" t="n"/>
      <c r="W100" s="189" t="n"/>
      <c r="X100" s="189" t="n"/>
      <c r="Y100" s="189" t="n"/>
      <c r="Z100" s="189" t="n"/>
      <c r="AA100" s="189" t="n"/>
      <c r="AB100" s="189" t="n"/>
      <c r="AC100" s="189" t="n"/>
      <c r="AD100" s="189" t="n"/>
      <c r="AE100" s="189" t="n"/>
      <c r="AF100" s="189" t="n"/>
      <c r="AG100" s="189" t="n"/>
      <c r="AH100" s="189" t="n"/>
      <c r="AI100" s="189" t="n"/>
      <c r="AJ100" s="189" t="n"/>
      <c r="AK100" s="189" t="n"/>
      <c r="AL100" s="189" t="n"/>
      <c r="AM100" s="51" t="inlineStr">
        <is>
          <t>U12θ</t>
        </is>
      </c>
    </row>
    <row r="103">
      <c r="C103" s="51">
        <f>IF(C29="","", CONCATENATE("U",C29,C$27))</f>
        <v/>
      </c>
      <c r="D103" s="51">
        <f>IF(D29="","", CONCATENATE("U",D29,D$27))</f>
        <v/>
      </c>
      <c r="E103" s="51">
        <f>IF(E29="","", CONCATENATE("U",E29,E$27))</f>
        <v/>
      </c>
      <c r="F103" s="51">
        <f>IF(F29="","", CONCATENATE("U",F29,F$27))</f>
        <v/>
      </c>
      <c r="G103" s="51">
        <f>IF(G29="","", CONCATENATE("U",G29,G$27))</f>
        <v/>
      </c>
      <c r="H103" s="51">
        <f>IF(H29="","", CONCATENATE("U",H29,H$27))</f>
        <v/>
      </c>
    </row>
    <row r="104">
      <c r="C104" s="8">
        <f>IF(I15="", 0, (S15*(J15^2))+(O15*(K15^2)))</f>
        <v/>
      </c>
      <c r="D104" s="189">
        <f>IF(I15="", 0, (S15-O15)*J15*K15)</f>
        <v/>
      </c>
      <c r="E104" s="189">
        <f>IF(I15="", 0, -P15*K15)</f>
        <v/>
      </c>
      <c r="F104" s="189">
        <f>-1*C104</f>
        <v/>
      </c>
      <c r="G104" s="189">
        <f>-1*D104</f>
        <v/>
      </c>
      <c r="H104" s="189">
        <f>E104</f>
        <v/>
      </c>
      <c r="I104" s="51">
        <f>C103</f>
        <v/>
      </c>
    </row>
    <row r="105">
      <c r="C105" s="189">
        <f>D104</f>
        <v/>
      </c>
      <c r="D105" s="8">
        <f>IF(I15="", 0, (S15*(K15^2))+(O15*(J15^2)))</f>
        <v/>
      </c>
      <c r="E105" s="189">
        <f>IF(I15="", 0, P15*J15)</f>
        <v/>
      </c>
      <c r="F105" s="189">
        <f>-1*D104</f>
        <v/>
      </c>
      <c r="G105" s="189">
        <f>-1*D105</f>
        <v/>
      </c>
      <c r="H105" s="189">
        <f>E105</f>
        <v/>
      </c>
      <c r="I105" s="51">
        <f>D103</f>
        <v/>
      </c>
    </row>
    <row r="106">
      <c r="B106" s="118" t="inlineStr">
        <is>
          <t>K2 =</t>
        </is>
      </c>
      <c r="C106" s="189">
        <f>E104</f>
        <v/>
      </c>
      <c r="D106" s="189">
        <f>E105</f>
        <v/>
      </c>
      <c r="E106" s="8">
        <f>IF(I15="", 0, Q15)</f>
        <v/>
      </c>
      <c r="F106" s="189">
        <f>-1*E104</f>
        <v/>
      </c>
      <c r="G106" s="189">
        <f>-1*E105</f>
        <v/>
      </c>
      <c r="H106" s="189">
        <f>IF(I15="", 0, R15)</f>
        <v/>
      </c>
      <c r="I106" s="51">
        <f>E103</f>
        <v/>
      </c>
    </row>
    <row r="107">
      <c r="C107" s="189">
        <f>F104</f>
        <v/>
      </c>
      <c r="D107" s="189">
        <f>F105</f>
        <v/>
      </c>
      <c r="E107" s="189">
        <f>F106</f>
        <v/>
      </c>
      <c r="F107" s="8">
        <f>C104</f>
        <v/>
      </c>
      <c r="G107" s="189">
        <f>D104</f>
        <v/>
      </c>
      <c r="H107" s="189">
        <f>-1*E104</f>
        <v/>
      </c>
      <c r="I107" s="51">
        <f>F103</f>
        <v/>
      </c>
    </row>
    <row r="108">
      <c r="C108" s="189">
        <f>G104</f>
        <v/>
      </c>
      <c r="D108" s="189">
        <f>G105</f>
        <v/>
      </c>
      <c r="E108" s="189">
        <f>G106</f>
        <v/>
      </c>
      <c r="F108" s="189">
        <f>G107</f>
        <v/>
      </c>
      <c r="G108" s="8">
        <f>D105</f>
        <v/>
      </c>
      <c r="H108" s="189">
        <f>-1*E105</f>
        <v/>
      </c>
      <c r="I108" s="51">
        <f>G103</f>
        <v/>
      </c>
    </row>
    <row r="109">
      <c r="C109" s="189">
        <f>H104</f>
        <v/>
      </c>
      <c r="D109" s="189">
        <f>H105</f>
        <v/>
      </c>
      <c r="E109" s="189">
        <f>H106</f>
        <v/>
      </c>
      <c r="F109" s="189">
        <f>H107</f>
        <v/>
      </c>
      <c r="G109" s="189">
        <f>H108</f>
        <v/>
      </c>
      <c r="H109" s="8">
        <f>E106</f>
        <v/>
      </c>
      <c r="I109" s="51">
        <f>H103</f>
        <v/>
      </c>
    </row>
    <row r="111">
      <c r="C111" s="51" t="inlineStr">
        <is>
          <t>U1X</t>
        </is>
      </c>
      <c r="D111" s="51" t="inlineStr">
        <is>
          <t>U1Y</t>
        </is>
      </c>
      <c r="E111" s="51" t="inlineStr">
        <is>
          <t>U1θ</t>
        </is>
      </c>
      <c r="F111" s="51" t="inlineStr">
        <is>
          <t>U2X</t>
        </is>
      </c>
      <c r="G111" s="51" t="inlineStr">
        <is>
          <t>U2Y</t>
        </is>
      </c>
      <c r="H111" s="51" t="inlineStr">
        <is>
          <t>U2θ</t>
        </is>
      </c>
      <c r="I111" s="51" t="inlineStr">
        <is>
          <t>U3X</t>
        </is>
      </c>
      <c r="J111" s="51" t="inlineStr">
        <is>
          <t>U3Y</t>
        </is>
      </c>
      <c r="K111" s="51" t="inlineStr">
        <is>
          <t>U3θ</t>
        </is>
      </c>
      <c r="L111" s="51" t="inlineStr">
        <is>
          <t>U4X</t>
        </is>
      </c>
      <c r="M111" s="51" t="inlineStr">
        <is>
          <t>U4Y</t>
        </is>
      </c>
      <c r="N111" s="51" t="inlineStr">
        <is>
          <t>U4θ</t>
        </is>
      </c>
      <c r="O111" s="51" t="inlineStr">
        <is>
          <t>U5X</t>
        </is>
      </c>
      <c r="P111" s="51" t="inlineStr">
        <is>
          <t>U5Y</t>
        </is>
      </c>
      <c r="Q111" s="51" t="inlineStr">
        <is>
          <t>U5θ</t>
        </is>
      </c>
      <c r="R111" s="51" t="inlineStr">
        <is>
          <t>U6X</t>
        </is>
      </c>
      <c r="S111" s="51" t="inlineStr">
        <is>
          <t>U6Y</t>
        </is>
      </c>
      <c r="T111" s="51" t="inlineStr">
        <is>
          <t>U6θ</t>
        </is>
      </c>
      <c r="U111" s="51" t="inlineStr">
        <is>
          <t>U7X</t>
        </is>
      </c>
      <c r="V111" s="51" t="inlineStr">
        <is>
          <t>U7Y</t>
        </is>
      </c>
      <c r="W111" s="51" t="inlineStr">
        <is>
          <t>U7θ</t>
        </is>
      </c>
      <c r="X111" s="51" t="inlineStr">
        <is>
          <t>U8X</t>
        </is>
      </c>
      <c r="Y111" s="51" t="inlineStr">
        <is>
          <t>U8Y</t>
        </is>
      </c>
      <c r="Z111" s="51" t="inlineStr">
        <is>
          <t>U8θ</t>
        </is>
      </c>
      <c r="AA111" s="51" t="inlineStr">
        <is>
          <t>U9X</t>
        </is>
      </c>
      <c r="AB111" s="51" t="inlineStr">
        <is>
          <t>U9Y</t>
        </is>
      </c>
      <c r="AC111" s="51" t="inlineStr">
        <is>
          <t>U9θ</t>
        </is>
      </c>
      <c r="AD111" s="51" t="inlineStr">
        <is>
          <t>U10X</t>
        </is>
      </c>
      <c r="AE111" s="51" t="inlineStr">
        <is>
          <t>U10Y</t>
        </is>
      </c>
      <c r="AF111" s="51" t="inlineStr">
        <is>
          <t>U10θ</t>
        </is>
      </c>
      <c r="AG111" s="51" t="inlineStr">
        <is>
          <t>U11X</t>
        </is>
      </c>
      <c r="AH111" s="51" t="inlineStr">
        <is>
          <t>U11Y</t>
        </is>
      </c>
      <c r="AI111" s="51" t="inlineStr">
        <is>
          <t>U11θ</t>
        </is>
      </c>
      <c r="AJ111" s="51" t="inlineStr">
        <is>
          <t>U12X</t>
        </is>
      </c>
      <c r="AK111" s="51" t="inlineStr">
        <is>
          <t>U12Y</t>
        </is>
      </c>
      <c r="AL111" s="51" t="inlineStr">
        <is>
          <t>U12θ</t>
        </is>
      </c>
    </row>
    <row r="112">
      <c r="C112" s="189" t="n"/>
      <c r="D112" s="189" t="n"/>
      <c r="E112" s="189" t="n"/>
      <c r="F112" s="189" t="n"/>
      <c r="G112" s="189" t="n"/>
      <c r="H112" s="189" t="n"/>
      <c r="I112" s="189" t="n"/>
      <c r="J112" s="189" t="n"/>
      <c r="K112" s="189" t="n"/>
      <c r="L112" s="189" t="n"/>
      <c r="M112" s="189" t="n"/>
      <c r="N112" s="189" t="n"/>
      <c r="O112" s="189" t="n"/>
      <c r="P112" s="189" t="n"/>
      <c r="Q112" s="189" t="n"/>
      <c r="R112" s="189" t="n"/>
      <c r="S112" s="189" t="n"/>
      <c r="T112" s="189" t="n"/>
      <c r="U112" s="189" t="n"/>
      <c r="V112" s="189" t="n"/>
      <c r="W112" s="189" t="n"/>
      <c r="X112" s="189" t="n"/>
      <c r="Y112" s="189" t="n"/>
      <c r="Z112" s="189" t="n"/>
      <c r="AA112" s="189" t="n"/>
      <c r="AB112" s="189" t="n"/>
      <c r="AC112" s="189" t="n"/>
      <c r="AD112" s="189" t="n"/>
      <c r="AE112" s="189" t="n"/>
      <c r="AF112" s="189" t="n"/>
      <c r="AG112" s="189" t="n"/>
      <c r="AH112" s="189" t="n"/>
      <c r="AI112" s="189" t="n"/>
      <c r="AJ112" s="189" t="n"/>
      <c r="AK112" s="189" t="n"/>
      <c r="AL112" s="189" t="n"/>
      <c r="AM112" s="51" t="inlineStr">
        <is>
          <t>U1X</t>
        </is>
      </c>
    </row>
    <row r="113">
      <c r="C113" s="189" t="n"/>
      <c r="D113" s="189" t="n"/>
      <c r="E113" s="189" t="n"/>
      <c r="F113" s="189" t="n"/>
      <c r="G113" s="189" t="n"/>
      <c r="H113" s="189" t="n"/>
      <c r="I113" s="189" t="n"/>
      <c r="J113" s="189" t="n"/>
      <c r="K113" s="189" t="n"/>
      <c r="L113" s="189" t="n"/>
      <c r="M113" s="189" t="n"/>
      <c r="N113" s="189" t="n"/>
      <c r="O113" s="189" t="n"/>
      <c r="P113" s="189" t="n"/>
      <c r="Q113" s="189" t="n"/>
      <c r="R113" s="189" t="n"/>
      <c r="S113" s="189" t="n"/>
      <c r="T113" s="189" t="n"/>
      <c r="U113" s="189" t="n"/>
      <c r="V113" s="189" t="n"/>
      <c r="W113" s="189" t="n"/>
      <c r="X113" s="189" t="n"/>
      <c r="Y113" s="189" t="n"/>
      <c r="Z113" s="189" t="n"/>
      <c r="AA113" s="189" t="n"/>
      <c r="AB113" s="189" t="n"/>
      <c r="AC113" s="189" t="n"/>
      <c r="AD113" s="189" t="n"/>
      <c r="AE113" s="189" t="n"/>
      <c r="AF113" s="189" t="n"/>
      <c r="AG113" s="189" t="n"/>
      <c r="AH113" s="189" t="n"/>
      <c r="AI113" s="189" t="n"/>
      <c r="AJ113" s="189" t="n"/>
      <c r="AK113" s="189" t="n"/>
      <c r="AL113" s="189" t="n"/>
      <c r="AM113" s="51" t="inlineStr">
        <is>
          <t>U1Y</t>
        </is>
      </c>
    </row>
    <row r="114">
      <c r="C114" s="189" t="n"/>
      <c r="D114" s="189" t="n"/>
      <c r="E114" s="189" t="n"/>
      <c r="F114" s="189" t="n"/>
      <c r="G114" s="189" t="n"/>
      <c r="H114" s="189" t="n"/>
      <c r="I114" s="189" t="n"/>
      <c r="J114" s="189" t="n"/>
      <c r="K114" s="189" t="n"/>
      <c r="L114" s="189" t="n"/>
      <c r="M114" s="189" t="n"/>
      <c r="N114" s="189" t="n"/>
      <c r="O114" s="189" t="n"/>
      <c r="P114" s="189" t="n"/>
      <c r="Q114" s="189" t="n"/>
      <c r="R114" s="189" t="n"/>
      <c r="S114" s="189" t="n"/>
      <c r="T114" s="189" t="n"/>
      <c r="U114" s="189" t="n"/>
      <c r="V114" s="189" t="n"/>
      <c r="W114" s="189" t="n"/>
      <c r="X114" s="189" t="n"/>
      <c r="Y114" s="189" t="n"/>
      <c r="Z114" s="189" t="n"/>
      <c r="AA114" s="189" t="n"/>
      <c r="AB114" s="189" t="n"/>
      <c r="AC114" s="189" t="n"/>
      <c r="AD114" s="189" t="n"/>
      <c r="AE114" s="189" t="n"/>
      <c r="AF114" s="189" t="n"/>
      <c r="AG114" s="189" t="n"/>
      <c r="AH114" s="189" t="n"/>
      <c r="AI114" s="189" t="n"/>
      <c r="AJ114" s="189" t="n"/>
      <c r="AK114" s="189" t="n"/>
      <c r="AL114" s="189" t="n"/>
      <c r="AM114" s="51" t="inlineStr">
        <is>
          <t>U1θ</t>
        </is>
      </c>
    </row>
    <row r="115">
      <c r="C115" s="189" t="n"/>
      <c r="D115" s="189" t="n"/>
      <c r="E115" s="189" t="n"/>
      <c r="F115" s="189">
        <f>C104</f>
        <v/>
      </c>
      <c r="G115" s="189">
        <f>D104</f>
        <v/>
      </c>
      <c r="H115" s="189">
        <f>E104</f>
        <v/>
      </c>
      <c r="I115" s="189">
        <f>F104</f>
        <v/>
      </c>
      <c r="J115" s="189">
        <f>G104</f>
        <v/>
      </c>
      <c r="K115" s="189">
        <f>H104</f>
        <v/>
      </c>
      <c r="L115" s="189" t="n"/>
      <c r="M115" s="189" t="n"/>
      <c r="N115" s="189" t="n"/>
      <c r="O115" s="189" t="n"/>
      <c r="P115" s="189" t="n"/>
      <c r="Q115" s="189" t="n"/>
      <c r="R115" s="189" t="n"/>
      <c r="S115" s="189" t="n"/>
      <c r="T115" s="189" t="n"/>
      <c r="U115" s="189" t="n"/>
      <c r="V115" s="189" t="n"/>
      <c r="W115" s="189" t="n"/>
      <c r="X115" s="189" t="n"/>
      <c r="Y115" s="189" t="n"/>
      <c r="Z115" s="189" t="n"/>
      <c r="AA115" s="189" t="n"/>
      <c r="AB115" s="189" t="n"/>
      <c r="AC115" s="189" t="n"/>
      <c r="AD115" s="189" t="n"/>
      <c r="AE115" s="189" t="n"/>
      <c r="AF115" s="189" t="n"/>
      <c r="AG115" s="189" t="n"/>
      <c r="AH115" s="189" t="n"/>
      <c r="AI115" s="189" t="n"/>
      <c r="AJ115" s="189" t="n"/>
      <c r="AK115" s="189" t="n"/>
      <c r="AL115" s="189" t="n"/>
      <c r="AM115" s="51" t="inlineStr">
        <is>
          <t>U2X</t>
        </is>
      </c>
    </row>
    <row r="116">
      <c r="C116" s="189" t="n"/>
      <c r="D116" s="189" t="n"/>
      <c r="E116" s="189" t="n"/>
      <c r="F116" s="189">
        <f>C105</f>
        <v/>
      </c>
      <c r="G116" s="189">
        <f>D105</f>
        <v/>
      </c>
      <c r="H116" s="189">
        <f>E105</f>
        <v/>
      </c>
      <c r="I116" s="189">
        <f>F105</f>
        <v/>
      </c>
      <c r="J116" s="189">
        <f>G105</f>
        <v/>
      </c>
      <c r="K116" s="189">
        <f>H105</f>
        <v/>
      </c>
      <c r="L116" s="189" t="n"/>
      <c r="M116" s="189" t="n"/>
      <c r="N116" s="189" t="n"/>
      <c r="O116" s="189" t="n"/>
      <c r="P116" s="189" t="n"/>
      <c r="Q116" s="189" t="n"/>
      <c r="R116" s="189" t="n"/>
      <c r="S116" s="189" t="n"/>
      <c r="T116" s="189" t="n"/>
      <c r="U116" s="189" t="n"/>
      <c r="V116" s="189" t="n"/>
      <c r="W116" s="189" t="n"/>
      <c r="X116" s="189" t="n"/>
      <c r="Y116" s="189" t="n"/>
      <c r="Z116" s="189" t="n"/>
      <c r="AA116" s="189" t="n"/>
      <c r="AB116" s="189" t="n"/>
      <c r="AC116" s="189" t="n"/>
      <c r="AD116" s="189" t="n"/>
      <c r="AE116" s="189" t="n"/>
      <c r="AF116" s="189" t="n"/>
      <c r="AG116" s="189" t="n"/>
      <c r="AH116" s="189" t="n"/>
      <c r="AI116" s="189" t="n"/>
      <c r="AJ116" s="189" t="n"/>
      <c r="AK116" s="189" t="n"/>
      <c r="AL116" s="189" t="n"/>
      <c r="AM116" s="51" t="inlineStr">
        <is>
          <t>U2Y</t>
        </is>
      </c>
    </row>
    <row r="117">
      <c r="C117" s="189" t="n"/>
      <c r="D117" s="189" t="n"/>
      <c r="E117" s="189" t="n"/>
      <c r="F117" s="189">
        <f>C106</f>
        <v/>
      </c>
      <c r="G117" s="189">
        <f>D106</f>
        <v/>
      </c>
      <c r="H117" s="189">
        <f>E106</f>
        <v/>
      </c>
      <c r="I117" s="189">
        <f>F106</f>
        <v/>
      </c>
      <c r="J117" s="189">
        <f>G106</f>
        <v/>
      </c>
      <c r="K117" s="189">
        <f>H106</f>
        <v/>
      </c>
      <c r="L117" s="189" t="n"/>
      <c r="M117" s="189" t="n"/>
      <c r="N117" s="189" t="n"/>
      <c r="O117" s="189" t="n"/>
      <c r="P117" s="189" t="n"/>
      <c r="Q117" s="189" t="n"/>
      <c r="R117" s="189" t="n"/>
      <c r="S117" s="189" t="n"/>
      <c r="T117" s="189" t="n"/>
      <c r="U117" s="189" t="n"/>
      <c r="V117" s="189" t="n"/>
      <c r="W117" s="189" t="n"/>
      <c r="X117" s="189" t="n"/>
      <c r="Y117" s="189" t="n"/>
      <c r="Z117" s="189" t="n"/>
      <c r="AA117" s="189" t="n"/>
      <c r="AB117" s="189" t="n"/>
      <c r="AC117" s="189" t="n"/>
      <c r="AD117" s="189" t="n"/>
      <c r="AE117" s="189" t="n"/>
      <c r="AF117" s="189" t="n"/>
      <c r="AG117" s="189" t="n"/>
      <c r="AH117" s="189" t="n"/>
      <c r="AI117" s="189" t="n"/>
      <c r="AJ117" s="189" t="n"/>
      <c r="AK117" s="189" t="n"/>
      <c r="AL117" s="189" t="n"/>
      <c r="AM117" s="51" t="inlineStr">
        <is>
          <t>U2θ</t>
        </is>
      </c>
    </row>
    <row r="118">
      <c r="C118" s="189" t="n"/>
      <c r="D118" s="189" t="n"/>
      <c r="E118" s="189" t="n"/>
      <c r="F118" s="189">
        <f>C107</f>
        <v/>
      </c>
      <c r="G118" s="189">
        <f>D107</f>
        <v/>
      </c>
      <c r="H118" s="189">
        <f>E107</f>
        <v/>
      </c>
      <c r="I118" s="189">
        <f>F107</f>
        <v/>
      </c>
      <c r="J118" s="189">
        <f>G107</f>
        <v/>
      </c>
      <c r="K118" s="189">
        <f>H107</f>
        <v/>
      </c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189" t="n"/>
      <c r="AJ118" s="189" t="n"/>
      <c r="AK118" s="189" t="n"/>
      <c r="AL118" s="189" t="n"/>
      <c r="AM118" s="51" t="inlineStr">
        <is>
          <t>U3X</t>
        </is>
      </c>
    </row>
    <row r="119">
      <c r="C119" s="189" t="n"/>
      <c r="D119" s="189" t="n"/>
      <c r="E119" s="189" t="n"/>
      <c r="F119" s="189">
        <f>C108</f>
        <v/>
      </c>
      <c r="G119" s="189">
        <f>D108</f>
        <v/>
      </c>
      <c r="H119" s="189">
        <f>E108</f>
        <v/>
      </c>
      <c r="I119" s="189">
        <f>F108</f>
        <v/>
      </c>
      <c r="J119" s="189">
        <f>G108</f>
        <v/>
      </c>
      <c r="K119" s="189">
        <f>H108</f>
        <v/>
      </c>
      <c r="L119" s="189" t="n"/>
      <c r="M119" s="189" t="n"/>
      <c r="N119" s="189" t="n"/>
      <c r="O119" s="189" t="n"/>
      <c r="P119" s="189" t="n"/>
      <c r="Q119" s="189" t="n"/>
      <c r="R119" s="189" t="n"/>
      <c r="S119" s="189" t="n"/>
      <c r="T119" s="189" t="n"/>
      <c r="U119" s="189" t="n"/>
      <c r="V119" s="189" t="n"/>
      <c r="W119" s="189" t="n"/>
      <c r="X119" s="189" t="n"/>
      <c r="Y119" s="189" t="n"/>
      <c r="Z119" s="189" t="n"/>
      <c r="AA119" s="189" t="n"/>
      <c r="AB119" s="189" t="n"/>
      <c r="AC119" s="189" t="n"/>
      <c r="AD119" s="189" t="n"/>
      <c r="AE119" s="189" t="n"/>
      <c r="AF119" s="189" t="n"/>
      <c r="AG119" s="189" t="n"/>
      <c r="AH119" s="189" t="n"/>
      <c r="AI119" s="189" t="n"/>
      <c r="AJ119" s="189" t="n"/>
      <c r="AK119" s="189" t="n"/>
      <c r="AL119" s="189" t="n"/>
      <c r="AM119" s="51" t="inlineStr">
        <is>
          <t>U3Y</t>
        </is>
      </c>
    </row>
    <row r="120">
      <c r="C120" s="189" t="n"/>
      <c r="D120" s="189" t="n"/>
      <c r="E120" s="189" t="n"/>
      <c r="F120" s="189">
        <f>C109</f>
        <v/>
      </c>
      <c r="G120" s="189">
        <f>D109</f>
        <v/>
      </c>
      <c r="H120" s="189">
        <f>E109</f>
        <v/>
      </c>
      <c r="I120" s="189">
        <f>F109</f>
        <v/>
      </c>
      <c r="J120" s="189">
        <f>G109</f>
        <v/>
      </c>
      <c r="K120" s="189">
        <f>H109</f>
        <v/>
      </c>
      <c r="L120" s="189" t="n"/>
      <c r="M120" s="189" t="n"/>
      <c r="N120" s="189" t="n"/>
      <c r="O120" s="189" t="n"/>
      <c r="P120" s="189" t="n"/>
      <c r="Q120" s="189" t="n"/>
      <c r="R120" s="189" t="n"/>
      <c r="S120" s="189" t="n"/>
      <c r="T120" s="189" t="n"/>
      <c r="U120" s="189" t="n"/>
      <c r="V120" s="189" t="n"/>
      <c r="W120" s="189" t="n"/>
      <c r="X120" s="189" t="n"/>
      <c r="Y120" s="189" t="n"/>
      <c r="Z120" s="189" t="n"/>
      <c r="AA120" s="189" t="n"/>
      <c r="AB120" s="189" t="n"/>
      <c r="AC120" s="189" t="n"/>
      <c r="AD120" s="189" t="n"/>
      <c r="AE120" s="189" t="n"/>
      <c r="AF120" s="189" t="n"/>
      <c r="AG120" s="189" t="n"/>
      <c r="AH120" s="189" t="n"/>
      <c r="AI120" s="189" t="n"/>
      <c r="AJ120" s="189" t="n"/>
      <c r="AK120" s="189" t="n"/>
      <c r="AL120" s="189" t="n"/>
      <c r="AM120" s="51" t="inlineStr">
        <is>
          <t>U3θ</t>
        </is>
      </c>
    </row>
    <row r="121">
      <c r="C121" s="189" t="n"/>
      <c r="D121" s="189" t="n"/>
      <c r="E121" s="189" t="n"/>
      <c r="F121" s="189" t="n"/>
      <c r="G121" s="189" t="n"/>
      <c r="H121" s="189" t="n"/>
      <c r="I121" s="189" t="n"/>
      <c r="J121" s="189" t="n"/>
      <c r="K121" s="189" t="n"/>
      <c r="L121" s="189" t="n"/>
      <c r="M121" s="189" t="n"/>
      <c r="N121" s="189" t="n"/>
      <c r="O121" s="189" t="n"/>
      <c r="P121" s="189" t="n"/>
      <c r="Q121" s="189" t="n"/>
      <c r="R121" s="189" t="n"/>
      <c r="S121" s="189" t="n"/>
      <c r="T121" s="189" t="n"/>
      <c r="U121" s="189" t="n"/>
      <c r="V121" s="189" t="n"/>
      <c r="W121" s="189" t="n"/>
      <c r="X121" s="189" t="n"/>
      <c r="Y121" s="189" t="n"/>
      <c r="Z121" s="189" t="n"/>
      <c r="AA121" s="189" t="n"/>
      <c r="AB121" s="189" t="n"/>
      <c r="AC121" s="189" t="n"/>
      <c r="AD121" s="189" t="n"/>
      <c r="AE121" s="189" t="n"/>
      <c r="AF121" s="189" t="n"/>
      <c r="AG121" s="189" t="n"/>
      <c r="AH121" s="189" t="n"/>
      <c r="AI121" s="189" t="n"/>
      <c r="AJ121" s="189" t="n"/>
      <c r="AK121" s="189" t="n"/>
      <c r="AL121" s="189" t="n"/>
      <c r="AM121" s="51" t="inlineStr">
        <is>
          <t>U4X</t>
        </is>
      </c>
    </row>
    <row r="122">
      <c r="C122" s="189" t="n"/>
      <c r="D122" s="189" t="n"/>
      <c r="E122" s="189" t="n"/>
      <c r="F122" s="189" t="n"/>
      <c r="G122" s="189" t="n"/>
      <c r="H122" s="189" t="n"/>
      <c r="I122" s="189" t="n"/>
      <c r="J122" s="189" t="n"/>
      <c r="K122" s="189" t="n"/>
      <c r="L122" s="189" t="n"/>
      <c r="M122" s="189" t="n"/>
      <c r="N122" s="189" t="n"/>
      <c r="O122" s="189" t="n"/>
      <c r="P122" s="189" t="n"/>
      <c r="Q122" s="189" t="n"/>
      <c r="R122" s="189" t="n"/>
      <c r="S122" s="189" t="n"/>
      <c r="T122" s="189" t="n"/>
      <c r="U122" s="189" t="n"/>
      <c r="V122" s="189" t="n"/>
      <c r="W122" s="189" t="n"/>
      <c r="X122" s="189" t="n"/>
      <c r="Y122" s="189" t="n"/>
      <c r="Z122" s="189" t="n"/>
      <c r="AA122" s="189" t="n"/>
      <c r="AB122" s="189" t="n"/>
      <c r="AC122" s="189" t="n"/>
      <c r="AD122" s="189" t="n"/>
      <c r="AE122" s="189" t="n"/>
      <c r="AF122" s="189" t="n"/>
      <c r="AG122" s="189" t="n"/>
      <c r="AH122" s="189" t="n"/>
      <c r="AI122" s="189" t="n"/>
      <c r="AJ122" s="189" t="n"/>
      <c r="AK122" s="189" t="n"/>
      <c r="AL122" s="189" t="n"/>
      <c r="AM122" s="51" t="inlineStr">
        <is>
          <t>U4Y</t>
        </is>
      </c>
    </row>
    <row r="123">
      <c r="C123" s="189" t="n"/>
      <c r="D123" s="189" t="n"/>
      <c r="E123" s="189" t="n"/>
      <c r="F123" s="189" t="n"/>
      <c r="G123" s="189" t="n"/>
      <c r="H123" s="189" t="n"/>
      <c r="I123" s="189" t="n"/>
      <c r="J123" s="189" t="n"/>
      <c r="K123" s="189" t="n"/>
      <c r="L123" s="189" t="n"/>
      <c r="M123" s="189" t="n"/>
      <c r="N123" s="189" t="n"/>
      <c r="O123" s="189" t="n"/>
      <c r="P123" s="189" t="n"/>
      <c r="Q123" s="189" t="n"/>
      <c r="R123" s="189" t="n"/>
      <c r="S123" s="189" t="n"/>
      <c r="T123" s="189" t="n"/>
      <c r="U123" s="189" t="n"/>
      <c r="V123" s="189" t="n"/>
      <c r="W123" s="189" t="n"/>
      <c r="X123" s="189" t="n"/>
      <c r="Y123" s="189" t="n"/>
      <c r="Z123" s="189" t="n"/>
      <c r="AA123" s="189" t="n"/>
      <c r="AB123" s="189" t="n"/>
      <c r="AC123" s="189" t="n"/>
      <c r="AD123" s="189" t="n"/>
      <c r="AE123" s="189" t="n"/>
      <c r="AF123" s="189" t="n"/>
      <c r="AG123" s="189" t="n"/>
      <c r="AH123" s="189" t="n"/>
      <c r="AI123" s="189" t="n"/>
      <c r="AJ123" s="189" t="n"/>
      <c r="AK123" s="189" t="n"/>
      <c r="AL123" s="189" t="n"/>
      <c r="AM123" s="51" t="inlineStr">
        <is>
          <t>U4θ</t>
        </is>
      </c>
    </row>
    <row r="124">
      <c r="C124" s="189" t="n"/>
      <c r="D124" s="189" t="n"/>
      <c r="E124" s="189" t="n"/>
      <c r="F124" s="189" t="n"/>
      <c r="G124" s="189" t="n"/>
      <c r="H124" s="189" t="n"/>
      <c r="I124" s="189" t="n"/>
      <c r="J124" s="189" t="n"/>
      <c r="K124" s="189" t="n"/>
      <c r="L124" s="189" t="n"/>
      <c r="M124" s="189" t="n"/>
      <c r="N124" s="189" t="n"/>
      <c r="O124" s="189" t="n"/>
      <c r="P124" s="189" t="n"/>
      <c r="Q124" s="189" t="n"/>
      <c r="R124" s="189" t="n"/>
      <c r="S124" s="189" t="n"/>
      <c r="T124" s="189" t="n"/>
      <c r="U124" s="189" t="n"/>
      <c r="V124" s="189" t="n"/>
      <c r="W124" s="189" t="n"/>
      <c r="X124" s="189" t="n"/>
      <c r="Y124" s="189" t="n"/>
      <c r="Z124" s="189" t="n"/>
      <c r="AA124" s="189" t="n"/>
      <c r="AB124" s="189" t="n"/>
      <c r="AC124" s="189" t="n"/>
      <c r="AD124" s="189" t="n"/>
      <c r="AE124" s="189" t="n"/>
      <c r="AF124" s="189" t="n"/>
      <c r="AG124" s="189" t="n"/>
      <c r="AH124" s="189" t="n"/>
      <c r="AI124" s="189" t="n"/>
      <c r="AJ124" s="189" t="n"/>
      <c r="AK124" s="189" t="n"/>
      <c r="AL124" s="189" t="n"/>
      <c r="AM124" s="51" t="inlineStr">
        <is>
          <t>U5X</t>
        </is>
      </c>
    </row>
    <row r="125">
      <c r="C125" s="189" t="n"/>
      <c r="D125" s="189" t="n"/>
      <c r="E125" s="189" t="n"/>
      <c r="F125" s="189" t="n"/>
      <c r="G125" s="189" t="n"/>
      <c r="H125" s="189" t="n"/>
      <c r="I125" s="189" t="n"/>
      <c r="J125" s="189" t="n"/>
      <c r="K125" s="189" t="n"/>
      <c r="L125" s="189" t="n"/>
      <c r="M125" s="189" t="n"/>
      <c r="N125" s="189" t="n"/>
      <c r="O125" s="189" t="n"/>
      <c r="P125" s="189" t="n"/>
      <c r="Q125" s="189" t="n"/>
      <c r="R125" s="189" t="n"/>
      <c r="S125" s="189" t="n"/>
      <c r="T125" s="189" t="n"/>
      <c r="U125" s="189" t="n"/>
      <c r="V125" s="189" t="n"/>
      <c r="W125" s="189" t="n"/>
      <c r="X125" s="189" t="n"/>
      <c r="Y125" s="189" t="n"/>
      <c r="Z125" s="189" t="n"/>
      <c r="AA125" s="189" t="n"/>
      <c r="AB125" s="189" t="n"/>
      <c r="AC125" s="189" t="n"/>
      <c r="AD125" s="189" t="n"/>
      <c r="AE125" s="189" t="n"/>
      <c r="AF125" s="189" t="n"/>
      <c r="AG125" s="189" t="n"/>
      <c r="AH125" s="189" t="n"/>
      <c r="AI125" s="189" t="n"/>
      <c r="AJ125" s="189" t="n"/>
      <c r="AK125" s="189" t="n"/>
      <c r="AL125" s="189" t="n"/>
      <c r="AM125" s="51" t="inlineStr">
        <is>
          <t>U5Y</t>
        </is>
      </c>
    </row>
    <row r="126">
      <c r="C126" s="189" t="n"/>
      <c r="D126" s="189" t="n"/>
      <c r="E126" s="189" t="n"/>
      <c r="F126" s="189" t="n"/>
      <c r="G126" s="189" t="n"/>
      <c r="H126" s="189" t="n"/>
      <c r="I126" s="189" t="n"/>
      <c r="J126" s="189" t="n"/>
      <c r="K126" s="189" t="n"/>
      <c r="L126" s="189" t="n"/>
      <c r="M126" s="189" t="n"/>
      <c r="N126" s="189" t="n"/>
      <c r="O126" s="189" t="n"/>
      <c r="P126" s="189" t="n"/>
      <c r="Q126" s="189" t="n"/>
      <c r="R126" s="189" t="n"/>
      <c r="S126" s="189" t="n"/>
      <c r="T126" s="189" t="n"/>
      <c r="U126" s="189" t="n"/>
      <c r="V126" s="189" t="n"/>
      <c r="W126" s="189" t="n"/>
      <c r="X126" s="189" t="n"/>
      <c r="Y126" s="189" t="n"/>
      <c r="Z126" s="189" t="n"/>
      <c r="AA126" s="189" t="n"/>
      <c r="AB126" s="189" t="n"/>
      <c r="AC126" s="189" t="n"/>
      <c r="AD126" s="189" t="n"/>
      <c r="AE126" s="189" t="n"/>
      <c r="AF126" s="189" t="n"/>
      <c r="AG126" s="189" t="n"/>
      <c r="AH126" s="189" t="n"/>
      <c r="AI126" s="189" t="n"/>
      <c r="AJ126" s="189" t="n"/>
      <c r="AK126" s="189" t="n"/>
      <c r="AL126" s="189" t="n"/>
      <c r="AM126" s="51" t="inlineStr">
        <is>
          <t>U5θ</t>
        </is>
      </c>
    </row>
    <row r="127">
      <c r="C127" s="189" t="n"/>
      <c r="D127" s="189" t="n"/>
      <c r="E127" s="189" t="n"/>
      <c r="F127" s="189" t="n"/>
      <c r="G127" s="189" t="n"/>
      <c r="H127" s="189" t="n"/>
      <c r="I127" s="189" t="n"/>
      <c r="J127" s="189" t="n"/>
      <c r="K127" s="189" t="n"/>
      <c r="L127" s="189" t="n"/>
      <c r="M127" s="189" t="n"/>
      <c r="N127" s="189" t="n"/>
      <c r="O127" s="189" t="n"/>
      <c r="P127" s="189" t="n"/>
      <c r="Q127" s="189" t="n"/>
      <c r="R127" s="189" t="n"/>
      <c r="S127" s="189" t="n"/>
      <c r="T127" s="189" t="n"/>
      <c r="U127" s="189" t="n"/>
      <c r="V127" s="189" t="n"/>
      <c r="W127" s="189" t="n"/>
      <c r="X127" s="189" t="n"/>
      <c r="Y127" s="189" t="n"/>
      <c r="Z127" s="189" t="n"/>
      <c r="AA127" s="189" t="n"/>
      <c r="AB127" s="189" t="n"/>
      <c r="AC127" s="189" t="n"/>
      <c r="AD127" s="189" t="n"/>
      <c r="AE127" s="189" t="n"/>
      <c r="AF127" s="189" t="n"/>
      <c r="AG127" s="189" t="n"/>
      <c r="AH127" s="189" t="n"/>
      <c r="AI127" s="189" t="n"/>
      <c r="AJ127" s="189" t="n"/>
      <c r="AK127" s="189" t="n"/>
      <c r="AL127" s="189" t="n"/>
      <c r="AM127" s="51" t="inlineStr">
        <is>
          <t>U6X</t>
        </is>
      </c>
    </row>
    <row r="128">
      <c r="C128" s="189" t="n"/>
      <c r="D128" s="189" t="n"/>
      <c r="E128" s="189" t="n"/>
      <c r="F128" s="189" t="n"/>
      <c r="G128" s="189" t="n"/>
      <c r="H128" s="189" t="n"/>
      <c r="I128" s="189" t="n"/>
      <c r="J128" s="189" t="n"/>
      <c r="K128" s="189" t="n"/>
      <c r="L128" s="189" t="n"/>
      <c r="M128" s="189" t="n"/>
      <c r="N128" s="189" t="n"/>
      <c r="O128" s="189" t="n"/>
      <c r="P128" s="189" t="n"/>
      <c r="Q128" s="189" t="n"/>
      <c r="R128" s="189" t="n"/>
      <c r="S128" s="189" t="n"/>
      <c r="T128" s="189" t="n"/>
      <c r="U128" s="189" t="n"/>
      <c r="V128" s="189" t="n"/>
      <c r="W128" s="189" t="n"/>
      <c r="X128" s="189" t="n"/>
      <c r="Y128" s="189" t="n"/>
      <c r="Z128" s="189" t="n"/>
      <c r="AA128" s="189" t="n"/>
      <c r="AB128" s="189" t="n"/>
      <c r="AC128" s="189" t="n"/>
      <c r="AD128" s="189" t="n"/>
      <c r="AE128" s="189" t="n"/>
      <c r="AF128" s="189" t="n"/>
      <c r="AG128" s="189" t="n"/>
      <c r="AH128" s="189" t="n"/>
      <c r="AI128" s="189" t="n"/>
      <c r="AJ128" s="189" t="n"/>
      <c r="AK128" s="189" t="n"/>
      <c r="AL128" s="189" t="n"/>
      <c r="AM128" s="51" t="inlineStr">
        <is>
          <t>U6Y</t>
        </is>
      </c>
    </row>
    <row r="129">
      <c r="B129" s="118" t="inlineStr">
        <is>
          <t>K2 =</t>
        </is>
      </c>
      <c r="C129" s="189" t="n"/>
      <c r="D129" s="189" t="n"/>
      <c r="E129" s="189" t="n"/>
      <c r="F129" s="189" t="n"/>
      <c r="G129" s="189" t="n"/>
      <c r="H129" s="189" t="n"/>
      <c r="I129" s="189" t="n"/>
      <c r="J129" s="189" t="n"/>
      <c r="K129" s="189" t="n"/>
      <c r="L129" s="189" t="n"/>
      <c r="M129" s="189" t="n"/>
      <c r="N129" s="189" t="n"/>
      <c r="O129" s="189" t="n"/>
      <c r="P129" s="189" t="n"/>
      <c r="Q129" s="189" t="n"/>
      <c r="R129" s="189" t="n"/>
      <c r="S129" s="189" t="n"/>
      <c r="T129" s="189" t="n"/>
      <c r="U129" s="189" t="n"/>
      <c r="V129" s="189" t="n"/>
      <c r="W129" s="189" t="n"/>
      <c r="X129" s="189" t="n"/>
      <c r="Y129" s="189" t="n"/>
      <c r="Z129" s="189" t="n"/>
      <c r="AA129" s="189" t="n"/>
      <c r="AB129" s="189" t="n"/>
      <c r="AC129" s="189" t="n"/>
      <c r="AD129" s="189" t="n"/>
      <c r="AE129" s="189" t="n"/>
      <c r="AF129" s="189" t="n"/>
      <c r="AG129" s="189" t="n"/>
      <c r="AH129" s="189" t="n"/>
      <c r="AI129" s="189" t="n"/>
      <c r="AJ129" s="189" t="n"/>
      <c r="AK129" s="189" t="n"/>
      <c r="AL129" s="189" t="n"/>
      <c r="AM129" s="51" t="inlineStr">
        <is>
          <t>U6θ</t>
        </is>
      </c>
    </row>
    <row r="130">
      <c r="C130" s="189" t="n"/>
      <c r="D130" s="189" t="n"/>
      <c r="E130" s="189" t="n"/>
      <c r="F130" s="189" t="n"/>
      <c r="G130" s="189" t="n"/>
      <c r="H130" s="189" t="n"/>
      <c r="I130" s="189" t="n"/>
      <c r="J130" s="189" t="n"/>
      <c r="K130" s="189" t="n"/>
      <c r="L130" s="189" t="n"/>
      <c r="M130" s="189" t="n"/>
      <c r="N130" s="189" t="n"/>
      <c r="O130" s="189" t="n"/>
      <c r="P130" s="189" t="n"/>
      <c r="Q130" s="189" t="n"/>
      <c r="R130" s="189" t="n"/>
      <c r="S130" s="189" t="n"/>
      <c r="T130" s="189" t="n"/>
      <c r="U130" s="189" t="n"/>
      <c r="V130" s="189" t="n"/>
      <c r="W130" s="189" t="n"/>
      <c r="X130" s="189" t="n"/>
      <c r="Y130" s="189" t="n"/>
      <c r="Z130" s="189" t="n"/>
      <c r="AA130" s="189" t="n"/>
      <c r="AB130" s="189" t="n"/>
      <c r="AC130" s="189" t="n"/>
      <c r="AD130" s="189" t="n"/>
      <c r="AE130" s="189" t="n"/>
      <c r="AF130" s="189" t="n"/>
      <c r="AG130" s="189" t="n"/>
      <c r="AH130" s="189" t="n"/>
      <c r="AI130" s="189" t="n"/>
      <c r="AJ130" s="189" t="n"/>
      <c r="AK130" s="189" t="n"/>
      <c r="AL130" s="189" t="n"/>
      <c r="AM130" s="51" t="inlineStr">
        <is>
          <t>U7X</t>
        </is>
      </c>
    </row>
    <row r="131">
      <c r="C131" s="189" t="n"/>
      <c r="D131" s="189" t="n"/>
      <c r="E131" s="189" t="n"/>
      <c r="F131" s="189" t="n"/>
      <c r="G131" s="189" t="n"/>
      <c r="H131" s="189" t="n"/>
      <c r="I131" s="189" t="n"/>
      <c r="J131" s="189" t="n"/>
      <c r="K131" s="189" t="n"/>
      <c r="L131" s="189" t="n"/>
      <c r="M131" s="189" t="n"/>
      <c r="N131" s="189" t="n"/>
      <c r="O131" s="189" t="n"/>
      <c r="P131" s="189" t="n"/>
      <c r="Q131" s="189" t="n"/>
      <c r="R131" s="189" t="n"/>
      <c r="S131" s="189" t="n"/>
      <c r="T131" s="189" t="n"/>
      <c r="U131" s="189" t="n"/>
      <c r="V131" s="189" t="n"/>
      <c r="W131" s="189" t="n"/>
      <c r="X131" s="189" t="n"/>
      <c r="Y131" s="189" t="n"/>
      <c r="Z131" s="189" t="n"/>
      <c r="AA131" s="189" t="n"/>
      <c r="AB131" s="189" t="n"/>
      <c r="AC131" s="189" t="n"/>
      <c r="AD131" s="189" t="n"/>
      <c r="AE131" s="189" t="n"/>
      <c r="AF131" s="189" t="n"/>
      <c r="AG131" s="189" t="n"/>
      <c r="AH131" s="189" t="n"/>
      <c r="AI131" s="189" t="n"/>
      <c r="AJ131" s="189" t="n"/>
      <c r="AK131" s="189" t="n"/>
      <c r="AL131" s="189" t="n"/>
      <c r="AM131" s="51" t="inlineStr">
        <is>
          <t>U7Y</t>
        </is>
      </c>
    </row>
    <row r="132">
      <c r="C132" s="189" t="n"/>
      <c r="D132" s="189" t="n"/>
      <c r="E132" s="189" t="n"/>
      <c r="F132" s="189" t="n"/>
      <c r="G132" s="189" t="n"/>
      <c r="H132" s="189" t="n"/>
      <c r="I132" s="189" t="n"/>
      <c r="J132" s="189" t="n"/>
      <c r="K132" s="189" t="n"/>
      <c r="L132" s="189" t="n"/>
      <c r="M132" s="189" t="n"/>
      <c r="N132" s="189" t="n"/>
      <c r="O132" s="189" t="n"/>
      <c r="P132" s="189" t="n"/>
      <c r="Q132" s="189" t="n"/>
      <c r="R132" s="189" t="n"/>
      <c r="S132" s="189" t="n"/>
      <c r="T132" s="189" t="n"/>
      <c r="U132" s="189" t="n"/>
      <c r="V132" s="189" t="n"/>
      <c r="W132" s="189" t="n"/>
      <c r="X132" s="189" t="n"/>
      <c r="Y132" s="189" t="n"/>
      <c r="Z132" s="189" t="n"/>
      <c r="AA132" s="189" t="n"/>
      <c r="AB132" s="189" t="n"/>
      <c r="AC132" s="189" t="n"/>
      <c r="AD132" s="189" t="n"/>
      <c r="AE132" s="189" t="n"/>
      <c r="AF132" s="189" t="n"/>
      <c r="AG132" s="189" t="n"/>
      <c r="AH132" s="189" t="n"/>
      <c r="AI132" s="189" t="n"/>
      <c r="AJ132" s="189" t="n"/>
      <c r="AK132" s="189" t="n"/>
      <c r="AL132" s="189" t="n"/>
      <c r="AM132" s="51" t="inlineStr">
        <is>
          <t>U7θ</t>
        </is>
      </c>
    </row>
    <row r="133">
      <c r="C133" s="189" t="n"/>
      <c r="D133" s="189" t="n"/>
      <c r="E133" s="189" t="n"/>
      <c r="F133" s="189" t="n"/>
      <c r="G133" s="189" t="n"/>
      <c r="H133" s="189" t="n"/>
      <c r="I133" s="189" t="n"/>
      <c r="J133" s="189" t="n"/>
      <c r="K133" s="189" t="n"/>
      <c r="L133" s="189" t="n"/>
      <c r="M133" s="189" t="n"/>
      <c r="N133" s="189" t="n"/>
      <c r="O133" s="189" t="n"/>
      <c r="P133" s="189" t="n"/>
      <c r="Q133" s="189" t="n"/>
      <c r="R133" s="189" t="n"/>
      <c r="S133" s="189" t="n"/>
      <c r="T133" s="189" t="n"/>
      <c r="U133" s="189" t="n"/>
      <c r="V133" s="189" t="n"/>
      <c r="W133" s="189" t="n"/>
      <c r="X133" s="189" t="n"/>
      <c r="Y133" s="189" t="n"/>
      <c r="Z133" s="189" t="n"/>
      <c r="AA133" s="189" t="n"/>
      <c r="AB133" s="189" t="n"/>
      <c r="AC133" s="189" t="n"/>
      <c r="AD133" s="189" t="n"/>
      <c r="AE133" s="189" t="n"/>
      <c r="AF133" s="189" t="n"/>
      <c r="AG133" s="189" t="n"/>
      <c r="AH133" s="189" t="n"/>
      <c r="AI133" s="189" t="n"/>
      <c r="AJ133" s="189" t="n"/>
      <c r="AK133" s="189" t="n"/>
      <c r="AL133" s="189" t="n"/>
      <c r="AM133" s="51" t="inlineStr">
        <is>
          <t>U8X</t>
        </is>
      </c>
    </row>
    <row r="134">
      <c r="C134" s="189" t="n"/>
      <c r="D134" s="189" t="n"/>
      <c r="E134" s="189" t="n"/>
      <c r="F134" s="189" t="n"/>
      <c r="G134" s="189" t="n"/>
      <c r="H134" s="189" t="n"/>
      <c r="I134" s="189" t="n"/>
      <c r="J134" s="189" t="n"/>
      <c r="K134" s="189" t="n"/>
      <c r="L134" s="189" t="n"/>
      <c r="M134" s="189" t="n"/>
      <c r="N134" s="189" t="n"/>
      <c r="O134" s="189" t="n"/>
      <c r="P134" s="189" t="n"/>
      <c r="Q134" s="189" t="n"/>
      <c r="R134" s="189" t="n"/>
      <c r="S134" s="189" t="n"/>
      <c r="T134" s="189" t="n"/>
      <c r="U134" s="189" t="n"/>
      <c r="V134" s="189" t="n"/>
      <c r="W134" s="189" t="n"/>
      <c r="X134" s="189" t="n"/>
      <c r="Y134" s="189" t="n"/>
      <c r="Z134" s="189" t="n"/>
      <c r="AA134" s="189" t="n"/>
      <c r="AB134" s="189" t="n"/>
      <c r="AC134" s="189" t="n"/>
      <c r="AD134" s="189" t="n"/>
      <c r="AE134" s="189" t="n"/>
      <c r="AF134" s="189" t="n"/>
      <c r="AG134" s="189" t="n"/>
      <c r="AH134" s="189" t="n"/>
      <c r="AI134" s="189" t="n"/>
      <c r="AJ134" s="189" t="n"/>
      <c r="AK134" s="189" t="n"/>
      <c r="AL134" s="189" t="n"/>
      <c r="AM134" s="51" t="inlineStr">
        <is>
          <t>U8Y</t>
        </is>
      </c>
    </row>
    <row r="135">
      <c r="C135" s="189" t="n"/>
      <c r="D135" s="189" t="n"/>
      <c r="E135" s="189" t="n"/>
      <c r="F135" s="189" t="n"/>
      <c r="G135" s="189" t="n"/>
      <c r="H135" s="189" t="n"/>
      <c r="I135" s="189" t="n"/>
      <c r="J135" s="189" t="n"/>
      <c r="K135" s="189" t="n"/>
      <c r="L135" s="189" t="n"/>
      <c r="M135" s="189" t="n"/>
      <c r="N135" s="189" t="n"/>
      <c r="O135" s="189" t="n"/>
      <c r="P135" s="189" t="n"/>
      <c r="Q135" s="189" t="n"/>
      <c r="R135" s="189" t="n"/>
      <c r="S135" s="189" t="n"/>
      <c r="T135" s="189" t="n"/>
      <c r="U135" s="189" t="n"/>
      <c r="V135" s="189" t="n"/>
      <c r="W135" s="189" t="n"/>
      <c r="X135" s="189" t="n"/>
      <c r="Y135" s="189" t="n"/>
      <c r="Z135" s="189" t="n"/>
      <c r="AA135" s="189" t="n"/>
      <c r="AB135" s="189" t="n"/>
      <c r="AC135" s="189" t="n"/>
      <c r="AD135" s="189" t="n"/>
      <c r="AE135" s="189" t="n"/>
      <c r="AF135" s="189" t="n"/>
      <c r="AG135" s="189" t="n"/>
      <c r="AH135" s="189" t="n"/>
      <c r="AI135" s="189" t="n"/>
      <c r="AJ135" s="189" t="n"/>
      <c r="AK135" s="189" t="n"/>
      <c r="AL135" s="189" t="n"/>
      <c r="AM135" s="51" t="inlineStr">
        <is>
          <t>U8θ</t>
        </is>
      </c>
    </row>
    <row r="136">
      <c r="C136" s="189" t="n"/>
      <c r="D136" s="189" t="n"/>
      <c r="E136" s="189" t="n"/>
      <c r="F136" s="189" t="n"/>
      <c r="G136" s="189" t="n"/>
      <c r="H136" s="189" t="n"/>
      <c r="I136" s="189" t="n"/>
      <c r="J136" s="189" t="n"/>
      <c r="K136" s="189" t="n"/>
      <c r="L136" s="189" t="n"/>
      <c r="M136" s="189" t="n"/>
      <c r="N136" s="189" t="n"/>
      <c r="O136" s="189" t="n"/>
      <c r="P136" s="189" t="n"/>
      <c r="Q136" s="189" t="n"/>
      <c r="R136" s="189" t="n"/>
      <c r="S136" s="189" t="n"/>
      <c r="T136" s="189" t="n"/>
      <c r="U136" s="189" t="n"/>
      <c r="V136" s="189" t="n"/>
      <c r="W136" s="189" t="n"/>
      <c r="X136" s="189" t="n"/>
      <c r="Y136" s="189" t="n"/>
      <c r="Z136" s="189" t="n"/>
      <c r="AA136" s="189" t="n"/>
      <c r="AB136" s="189" t="n"/>
      <c r="AC136" s="189" t="n"/>
      <c r="AD136" s="189" t="n"/>
      <c r="AE136" s="189" t="n"/>
      <c r="AF136" s="189" t="n"/>
      <c r="AG136" s="189" t="n"/>
      <c r="AH136" s="189" t="n"/>
      <c r="AI136" s="189" t="n"/>
      <c r="AJ136" s="189" t="n"/>
      <c r="AK136" s="189" t="n"/>
      <c r="AL136" s="189" t="n"/>
      <c r="AM136" s="51" t="inlineStr">
        <is>
          <t>U9X</t>
        </is>
      </c>
    </row>
    <row r="137">
      <c r="C137" s="189" t="n"/>
      <c r="D137" s="189" t="n"/>
      <c r="E137" s="189" t="n"/>
      <c r="F137" s="189" t="n"/>
      <c r="G137" s="189" t="n"/>
      <c r="H137" s="189" t="n"/>
      <c r="I137" s="189" t="n"/>
      <c r="J137" s="189" t="n"/>
      <c r="K137" s="189" t="n"/>
      <c r="L137" s="189" t="n"/>
      <c r="M137" s="189" t="n"/>
      <c r="N137" s="189" t="n"/>
      <c r="O137" s="189" t="n"/>
      <c r="P137" s="189" t="n"/>
      <c r="Q137" s="189" t="n"/>
      <c r="R137" s="189" t="n"/>
      <c r="S137" s="189" t="n"/>
      <c r="T137" s="189" t="n"/>
      <c r="U137" s="189" t="n"/>
      <c r="V137" s="189" t="n"/>
      <c r="W137" s="189" t="n"/>
      <c r="X137" s="189" t="n"/>
      <c r="Y137" s="189" t="n"/>
      <c r="Z137" s="189" t="n"/>
      <c r="AA137" s="189" t="n"/>
      <c r="AB137" s="189" t="n"/>
      <c r="AC137" s="189" t="n"/>
      <c r="AD137" s="189" t="n"/>
      <c r="AE137" s="189" t="n"/>
      <c r="AF137" s="189" t="n"/>
      <c r="AG137" s="189" t="n"/>
      <c r="AH137" s="189" t="n"/>
      <c r="AI137" s="189" t="n"/>
      <c r="AJ137" s="189" t="n"/>
      <c r="AK137" s="189" t="n"/>
      <c r="AL137" s="189" t="n"/>
      <c r="AM137" s="51" t="inlineStr">
        <is>
          <t>U9Y</t>
        </is>
      </c>
    </row>
    <row r="138">
      <c r="C138" s="189" t="n"/>
      <c r="D138" s="189" t="n"/>
      <c r="E138" s="189" t="n"/>
      <c r="F138" s="189" t="n"/>
      <c r="G138" s="189" t="n"/>
      <c r="H138" s="189" t="n"/>
      <c r="I138" s="189" t="n"/>
      <c r="J138" s="189" t="n"/>
      <c r="K138" s="189" t="n"/>
      <c r="L138" s="189" t="n"/>
      <c r="M138" s="189" t="n"/>
      <c r="N138" s="189" t="n"/>
      <c r="O138" s="189" t="n"/>
      <c r="P138" s="189" t="n"/>
      <c r="Q138" s="189" t="n"/>
      <c r="R138" s="189" t="n"/>
      <c r="S138" s="189" t="n"/>
      <c r="T138" s="189" t="n"/>
      <c r="U138" s="189" t="n"/>
      <c r="V138" s="189" t="n"/>
      <c r="W138" s="189" t="n"/>
      <c r="X138" s="189" t="n"/>
      <c r="Y138" s="189" t="n"/>
      <c r="Z138" s="189" t="n"/>
      <c r="AA138" s="189" t="n"/>
      <c r="AB138" s="189" t="n"/>
      <c r="AC138" s="189" t="n"/>
      <c r="AD138" s="189" t="n"/>
      <c r="AE138" s="189" t="n"/>
      <c r="AF138" s="189" t="n"/>
      <c r="AG138" s="189" t="n"/>
      <c r="AH138" s="189" t="n"/>
      <c r="AI138" s="189" t="n"/>
      <c r="AJ138" s="189" t="n"/>
      <c r="AK138" s="189" t="n"/>
      <c r="AL138" s="189" t="n"/>
      <c r="AM138" s="51" t="inlineStr">
        <is>
          <t>U9θ</t>
        </is>
      </c>
    </row>
    <row r="139">
      <c r="C139" s="189" t="n"/>
      <c r="D139" s="189" t="n"/>
      <c r="E139" s="189" t="n"/>
      <c r="F139" s="189" t="n"/>
      <c r="G139" s="189" t="n"/>
      <c r="H139" s="189" t="n"/>
      <c r="I139" s="189" t="n"/>
      <c r="J139" s="189" t="n"/>
      <c r="K139" s="189" t="n"/>
      <c r="L139" s="189" t="n"/>
      <c r="M139" s="189" t="n"/>
      <c r="N139" s="189" t="n"/>
      <c r="O139" s="189" t="n"/>
      <c r="P139" s="189" t="n"/>
      <c r="Q139" s="189" t="n"/>
      <c r="R139" s="189" t="n"/>
      <c r="S139" s="189" t="n"/>
      <c r="T139" s="189" t="n"/>
      <c r="U139" s="189" t="n"/>
      <c r="V139" s="189" t="n"/>
      <c r="W139" s="189" t="n"/>
      <c r="X139" s="189" t="n"/>
      <c r="Y139" s="189" t="n"/>
      <c r="Z139" s="189" t="n"/>
      <c r="AA139" s="189" t="n"/>
      <c r="AB139" s="189" t="n"/>
      <c r="AC139" s="189" t="n"/>
      <c r="AD139" s="189" t="n"/>
      <c r="AE139" s="189" t="n"/>
      <c r="AF139" s="189" t="n"/>
      <c r="AG139" s="189" t="n"/>
      <c r="AH139" s="189" t="n"/>
      <c r="AI139" s="189" t="n"/>
      <c r="AJ139" s="189" t="n"/>
      <c r="AK139" s="189" t="n"/>
      <c r="AL139" s="189" t="n"/>
      <c r="AM139" s="51" t="inlineStr">
        <is>
          <t>U10X</t>
        </is>
      </c>
    </row>
    <row r="140">
      <c r="C140" s="189" t="n"/>
      <c r="D140" s="189" t="n"/>
      <c r="E140" s="189" t="n"/>
      <c r="F140" s="189" t="n"/>
      <c r="G140" s="189" t="n"/>
      <c r="H140" s="189" t="n"/>
      <c r="I140" s="189" t="n"/>
      <c r="J140" s="189" t="n"/>
      <c r="K140" s="189" t="n"/>
      <c r="L140" s="189" t="n"/>
      <c r="M140" s="189" t="n"/>
      <c r="N140" s="189" t="n"/>
      <c r="O140" s="189" t="n"/>
      <c r="P140" s="189" t="n"/>
      <c r="Q140" s="189" t="n"/>
      <c r="R140" s="189" t="n"/>
      <c r="S140" s="189" t="n"/>
      <c r="T140" s="189" t="n"/>
      <c r="U140" s="189" t="n"/>
      <c r="V140" s="189" t="n"/>
      <c r="W140" s="189" t="n"/>
      <c r="X140" s="189" t="n"/>
      <c r="Y140" s="189" t="n"/>
      <c r="Z140" s="189" t="n"/>
      <c r="AA140" s="189" t="n"/>
      <c r="AB140" s="189" t="n"/>
      <c r="AC140" s="189" t="n"/>
      <c r="AD140" s="189" t="n"/>
      <c r="AE140" s="189" t="n"/>
      <c r="AF140" s="189" t="n"/>
      <c r="AG140" s="189" t="n"/>
      <c r="AH140" s="189" t="n"/>
      <c r="AI140" s="189" t="n"/>
      <c r="AJ140" s="189" t="n"/>
      <c r="AK140" s="189" t="n"/>
      <c r="AL140" s="189" t="n"/>
      <c r="AM140" s="51" t="inlineStr">
        <is>
          <t>U10Y</t>
        </is>
      </c>
    </row>
    <row r="141">
      <c r="C141" s="189" t="n"/>
      <c r="D141" s="189" t="n"/>
      <c r="E141" s="189" t="n"/>
      <c r="F141" s="189" t="n"/>
      <c r="G141" s="189" t="n"/>
      <c r="H141" s="189" t="n"/>
      <c r="I141" s="189" t="n"/>
      <c r="J141" s="189" t="n"/>
      <c r="K141" s="189" t="n"/>
      <c r="L141" s="189" t="n"/>
      <c r="M141" s="189" t="n"/>
      <c r="N141" s="189" t="n"/>
      <c r="O141" s="189" t="n"/>
      <c r="P141" s="189" t="n"/>
      <c r="Q141" s="189" t="n"/>
      <c r="R141" s="189" t="n"/>
      <c r="S141" s="189" t="n"/>
      <c r="T141" s="189" t="n"/>
      <c r="U141" s="189" t="n"/>
      <c r="V141" s="189" t="n"/>
      <c r="W141" s="189" t="n"/>
      <c r="X141" s="189" t="n"/>
      <c r="Y141" s="189" t="n"/>
      <c r="Z141" s="189" t="n"/>
      <c r="AA141" s="189" t="n"/>
      <c r="AB141" s="189" t="n"/>
      <c r="AC141" s="189" t="n"/>
      <c r="AD141" s="189" t="n"/>
      <c r="AE141" s="189" t="n"/>
      <c r="AF141" s="189" t="n"/>
      <c r="AG141" s="189" t="n"/>
      <c r="AH141" s="189" t="n"/>
      <c r="AI141" s="189" t="n"/>
      <c r="AJ141" s="189" t="n"/>
      <c r="AK141" s="189" t="n"/>
      <c r="AL141" s="189" t="n"/>
      <c r="AM141" s="51" t="inlineStr">
        <is>
          <t>U10θ</t>
        </is>
      </c>
    </row>
    <row r="142">
      <c r="C142" s="189" t="n"/>
      <c r="D142" s="189" t="n"/>
      <c r="E142" s="189" t="n"/>
      <c r="F142" s="189" t="n"/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189" t="n"/>
      <c r="AJ142" s="189" t="n"/>
      <c r="AK142" s="189" t="n"/>
      <c r="AL142" s="189" t="n"/>
      <c r="AM142" s="51" t="inlineStr">
        <is>
          <t>U11X</t>
        </is>
      </c>
    </row>
    <row r="143">
      <c r="C143" s="189" t="n"/>
      <c r="D143" s="189" t="n"/>
      <c r="E143" s="189" t="n"/>
      <c r="F143" s="189" t="n"/>
      <c r="G143" s="189" t="n"/>
      <c r="H143" s="189" t="n"/>
      <c r="I143" s="189" t="n"/>
      <c r="J143" s="189" t="n"/>
      <c r="K143" s="189" t="n"/>
      <c r="L143" s="189" t="n"/>
      <c r="M143" s="189" t="n"/>
      <c r="N143" s="189" t="n"/>
      <c r="O143" s="189" t="n"/>
      <c r="P143" s="189" t="n"/>
      <c r="Q143" s="189" t="n"/>
      <c r="R143" s="189" t="n"/>
      <c r="S143" s="189" t="n"/>
      <c r="T143" s="189" t="n"/>
      <c r="U143" s="189" t="n"/>
      <c r="V143" s="189" t="n"/>
      <c r="W143" s="189" t="n"/>
      <c r="X143" s="189" t="n"/>
      <c r="Y143" s="189" t="n"/>
      <c r="Z143" s="189" t="n"/>
      <c r="AA143" s="189" t="n"/>
      <c r="AB143" s="189" t="n"/>
      <c r="AC143" s="189" t="n"/>
      <c r="AD143" s="189" t="n"/>
      <c r="AE143" s="189" t="n"/>
      <c r="AF143" s="189" t="n"/>
      <c r="AG143" s="189" t="n"/>
      <c r="AH143" s="189" t="n"/>
      <c r="AI143" s="189" t="n"/>
      <c r="AJ143" s="189" t="n"/>
      <c r="AK143" s="189" t="n"/>
      <c r="AL143" s="189" t="n"/>
      <c r="AM143" s="51" t="inlineStr">
        <is>
          <t>U11Y</t>
        </is>
      </c>
    </row>
    <row r="144">
      <c r="C144" s="189" t="n"/>
      <c r="D144" s="189" t="n"/>
      <c r="E144" s="189" t="n"/>
      <c r="F144" s="189" t="n"/>
      <c r="G144" s="189" t="n"/>
      <c r="H144" s="189" t="n"/>
      <c r="I144" s="189" t="n"/>
      <c r="J144" s="189" t="n"/>
      <c r="K144" s="189" t="n"/>
      <c r="L144" s="189" t="n"/>
      <c r="M144" s="189" t="n"/>
      <c r="N144" s="189" t="n"/>
      <c r="O144" s="189" t="n"/>
      <c r="P144" s="189" t="n"/>
      <c r="Q144" s="189" t="n"/>
      <c r="R144" s="189" t="n"/>
      <c r="S144" s="189" t="n"/>
      <c r="T144" s="189" t="n"/>
      <c r="U144" s="189" t="n"/>
      <c r="V144" s="189" t="n"/>
      <c r="W144" s="189" t="n"/>
      <c r="X144" s="189" t="n"/>
      <c r="Y144" s="189" t="n"/>
      <c r="Z144" s="189" t="n"/>
      <c r="AA144" s="189" t="n"/>
      <c r="AB144" s="189" t="n"/>
      <c r="AC144" s="189" t="n"/>
      <c r="AD144" s="189" t="n"/>
      <c r="AE144" s="189" t="n"/>
      <c r="AF144" s="189" t="n"/>
      <c r="AG144" s="189" t="n"/>
      <c r="AH144" s="189" t="n"/>
      <c r="AI144" s="189" t="n"/>
      <c r="AJ144" s="189" t="n"/>
      <c r="AK144" s="189" t="n"/>
      <c r="AL144" s="189" t="n"/>
      <c r="AM144" s="51" t="inlineStr">
        <is>
          <t>U11θ</t>
        </is>
      </c>
    </row>
    <row r="145">
      <c r="C145" s="189" t="n"/>
      <c r="D145" s="189" t="n"/>
      <c r="E145" s="189" t="n"/>
      <c r="F145" s="189" t="n"/>
      <c r="G145" s="189" t="n"/>
      <c r="H145" s="189" t="n"/>
      <c r="I145" s="189" t="n"/>
      <c r="J145" s="189" t="n"/>
      <c r="K145" s="189" t="n"/>
      <c r="L145" s="189" t="n"/>
      <c r="M145" s="189" t="n"/>
      <c r="N145" s="189" t="n"/>
      <c r="O145" s="189" t="n"/>
      <c r="P145" s="189" t="n"/>
      <c r="Q145" s="189" t="n"/>
      <c r="R145" s="189" t="n"/>
      <c r="S145" s="189" t="n"/>
      <c r="T145" s="189" t="n"/>
      <c r="U145" s="189" t="n"/>
      <c r="V145" s="189" t="n"/>
      <c r="W145" s="189" t="n"/>
      <c r="X145" s="189" t="n"/>
      <c r="Y145" s="189" t="n"/>
      <c r="Z145" s="189" t="n"/>
      <c r="AA145" s="189" t="n"/>
      <c r="AB145" s="189" t="n"/>
      <c r="AC145" s="189" t="n"/>
      <c r="AD145" s="189" t="n"/>
      <c r="AE145" s="189" t="n"/>
      <c r="AF145" s="189" t="n"/>
      <c r="AG145" s="189" t="n"/>
      <c r="AH145" s="189" t="n"/>
      <c r="AI145" s="189" t="n"/>
      <c r="AJ145" s="189" t="n"/>
      <c r="AK145" s="189" t="n"/>
      <c r="AL145" s="189" t="n"/>
      <c r="AM145" s="51" t="inlineStr">
        <is>
          <t>U12X</t>
        </is>
      </c>
    </row>
    <row r="146">
      <c r="C146" s="189" t="n"/>
      <c r="D146" s="189" t="n"/>
      <c r="E146" s="189" t="n"/>
      <c r="F146" s="189" t="n"/>
      <c r="G146" s="189" t="n"/>
      <c r="H146" s="189" t="n"/>
      <c r="I146" s="189" t="n"/>
      <c r="J146" s="189" t="n"/>
      <c r="K146" s="189" t="n"/>
      <c r="L146" s="189" t="n"/>
      <c r="M146" s="189" t="n"/>
      <c r="N146" s="189" t="n"/>
      <c r="O146" s="189" t="n"/>
      <c r="P146" s="189" t="n"/>
      <c r="Q146" s="189" t="n"/>
      <c r="R146" s="189" t="n"/>
      <c r="S146" s="189" t="n"/>
      <c r="T146" s="189" t="n"/>
      <c r="U146" s="189" t="n"/>
      <c r="V146" s="189" t="n"/>
      <c r="W146" s="189" t="n"/>
      <c r="X146" s="189" t="n"/>
      <c r="Y146" s="189" t="n"/>
      <c r="Z146" s="189" t="n"/>
      <c r="AA146" s="189" t="n"/>
      <c r="AB146" s="189" t="n"/>
      <c r="AC146" s="189" t="n"/>
      <c r="AD146" s="189" t="n"/>
      <c r="AE146" s="189" t="n"/>
      <c r="AF146" s="189" t="n"/>
      <c r="AG146" s="189" t="n"/>
      <c r="AH146" s="189" t="n"/>
      <c r="AI146" s="189" t="n"/>
      <c r="AJ146" s="189" t="n"/>
      <c r="AK146" s="189" t="n"/>
      <c r="AL146" s="189" t="n"/>
      <c r="AM146" s="51" t="inlineStr">
        <is>
          <t>U12Y</t>
        </is>
      </c>
    </row>
    <row r="147">
      <c r="C147" s="189" t="n"/>
      <c r="D147" s="189" t="n"/>
      <c r="E147" s="189" t="n"/>
      <c r="F147" s="189" t="n"/>
      <c r="G147" s="189" t="n"/>
      <c r="H147" s="189" t="n"/>
      <c r="I147" s="189" t="n"/>
      <c r="J147" s="189" t="n"/>
      <c r="K147" s="189" t="n"/>
      <c r="L147" s="189" t="n"/>
      <c r="M147" s="189" t="n"/>
      <c r="N147" s="189" t="n"/>
      <c r="O147" s="189" t="n"/>
      <c r="P147" s="189" t="n"/>
      <c r="Q147" s="189" t="n"/>
      <c r="R147" s="189" t="n"/>
      <c r="S147" s="189" t="n"/>
      <c r="T147" s="189" t="n"/>
      <c r="U147" s="189" t="n"/>
      <c r="V147" s="189" t="n"/>
      <c r="W147" s="189" t="n"/>
      <c r="X147" s="189" t="n"/>
      <c r="Y147" s="189" t="n"/>
      <c r="Z147" s="189" t="n"/>
      <c r="AA147" s="189" t="n"/>
      <c r="AB147" s="189" t="n"/>
      <c r="AC147" s="189" t="n"/>
      <c r="AD147" s="189" t="n"/>
      <c r="AE147" s="189" t="n"/>
      <c r="AF147" s="189" t="n"/>
      <c r="AG147" s="189" t="n"/>
      <c r="AH147" s="189" t="n"/>
      <c r="AI147" s="189" t="n"/>
      <c r="AJ147" s="189" t="n"/>
      <c r="AK147" s="189" t="n"/>
      <c r="AL147" s="189" t="n"/>
      <c r="AM147" s="51" t="inlineStr">
        <is>
          <t>U12θ</t>
        </is>
      </c>
    </row>
    <row r="150">
      <c r="C150" s="51">
        <f>IF(C30="","", CONCATENATE("U",C30,C$27))</f>
        <v/>
      </c>
      <c r="D150" s="51">
        <f>IF(D30="","", CONCATENATE("U",D30,D$27))</f>
        <v/>
      </c>
      <c r="E150" s="51">
        <f>IF(E30="","", CONCATENATE("U",E30,E$27))</f>
        <v/>
      </c>
      <c r="F150" s="51">
        <f>IF(F30="","", CONCATENATE("U",F30,F$27))</f>
        <v/>
      </c>
      <c r="G150" s="51">
        <f>IF(G30="","", CONCATENATE("U",G30,G$27))</f>
        <v/>
      </c>
      <c r="H150" s="51">
        <f>IF(H30="","", CONCATENATE("U",H30,H$27))</f>
        <v/>
      </c>
    </row>
    <row r="151">
      <c r="C151" s="8">
        <f>IF(I16="", 0, (S16*(J16^2))+(O16*(K16^2)))</f>
        <v/>
      </c>
      <c r="D151" s="189">
        <f>IF(I16="", 0, (S16-O16)*J16*K16)</f>
        <v/>
      </c>
      <c r="E151" s="189">
        <f>IF(I16="", 0, -P16*K16)</f>
        <v/>
      </c>
      <c r="F151" s="189">
        <f>-1*C151</f>
        <v/>
      </c>
      <c r="G151" s="189">
        <f>-1*D151</f>
        <v/>
      </c>
      <c r="H151" s="189">
        <f>E151</f>
        <v/>
      </c>
      <c r="I151" s="51">
        <f>C150</f>
        <v/>
      </c>
    </row>
    <row r="152">
      <c r="C152" s="189">
        <f>D151</f>
        <v/>
      </c>
      <c r="D152" s="8">
        <f>IF(I16="", 0, (S16*(K16^2))+(O16*(J16^2)))</f>
        <v/>
      </c>
      <c r="E152" s="189">
        <f>IF(I16="", 0, P16*J16)</f>
        <v/>
      </c>
      <c r="F152" s="189">
        <f>-1*D151</f>
        <v/>
      </c>
      <c r="G152" s="189">
        <f>-1*D152</f>
        <v/>
      </c>
      <c r="H152" s="189">
        <f>E152</f>
        <v/>
      </c>
      <c r="I152" s="51">
        <f>D150</f>
        <v/>
      </c>
    </row>
    <row r="153">
      <c r="B153" s="118" t="inlineStr">
        <is>
          <t>K3 =</t>
        </is>
      </c>
      <c r="C153" s="189">
        <f>E151</f>
        <v/>
      </c>
      <c r="D153" s="189">
        <f>E152</f>
        <v/>
      </c>
      <c r="E153" s="8">
        <f>IF(I16="", 0, Q16)</f>
        <v/>
      </c>
      <c r="F153" s="189">
        <f>-1*E151</f>
        <v/>
      </c>
      <c r="G153" s="189">
        <f>-1*E152</f>
        <v/>
      </c>
      <c r="H153" s="189">
        <f>IF(I16="", 0, R16)</f>
        <v/>
      </c>
      <c r="I153" s="51">
        <f>E150</f>
        <v/>
      </c>
    </row>
    <row r="154">
      <c r="C154" s="189">
        <f>F151</f>
        <v/>
      </c>
      <c r="D154" s="189">
        <f>F152</f>
        <v/>
      </c>
      <c r="E154" s="189">
        <f>F153</f>
        <v/>
      </c>
      <c r="F154" s="8">
        <f>C151</f>
        <v/>
      </c>
      <c r="G154" s="189">
        <f>D151</f>
        <v/>
      </c>
      <c r="H154" s="189">
        <f>-1*E151</f>
        <v/>
      </c>
      <c r="I154" s="51">
        <f>F150</f>
        <v/>
      </c>
    </row>
    <row r="155">
      <c r="C155" s="189">
        <f>G151</f>
        <v/>
      </c>
      <c r="D155" s="189">
        <f>G152</f>
        <v/>
      </c>
      <c r="E155" s="189">
        <f>G153</f>
        <v/>
      </c>
      <c r="F155" s="189">
        <f>G154</f>
        <v/>
      </c>
      <c r="G155" s="8">
        <f>D152</f>
        <v/>
      </c>
      <c r="H155" s="189">
        <f>-1*E152</f>
        <v/>
      </c>
      <c r="I155" s="51">
        <f>G150</f>
        <v/>
      </c>
    </row>
    <row r="156">
      <c r="C156" s="189">
        <f>H151</f>
        <v/>
      </c>
      <c r="D156" s="189">
        <f>H152</f>
        <v/>
      </c>
      <c r="E156" s="189">
        <f>H153</f>
        <v/>
      </c>
      <c r="F156" s="189">
        <f>H154</f>
        <v/>
      </c>
      <c r="G156" s="189">
        <f>H155</f>
        <v/>
      </c>
      <c r="H156" s="8">
        <f>E153</f>
        <v/>
      </c>
      <c r="I156" s="51">
        <f>H150</f>
        <v/>
      </c>
    </row>
    <row r="158">
      <c r="C158" s="51" t="inlineStr">
        <is>
          <t>U1X</t>
        </is>
      </c>
      <c r="D158" s="51" t="inlineStr">
        <is>
          <t>U1Y</t>
        </is>
      </c>
      <c r="E158" s="51" t="inlineStr">
        <is>
          <t>U1θ</t>
        </is>
      </c>
      <c r="F158" s="51" t="inlineStr">
        <is>
          <t>U2X</t>
        </is>
      </c>
      <c r="G158" s="51" t="inlineStr">
        <is>
          <t>U2Y</t>
        </is>
      </c>
      <c r="H158" s="51" t="inlineStr">
        <is>
          <t>U2θ</t>
        </is>
      </c>
      <c r="I158" s="51" t="inlineStr">
        <is>
          <t>U3X</t>
        </is>
      </c>
      <c r="J158" s="51" t="inlineStr">
        <is>
          <t>U3Y</t>
        </is>
      </c>
      <c r="K158" s="51" t="inlineStr">
        <is>
          <t>U3θ</t>
        </is>
      </c>
      <c r="L158" s="51" t="inlineStr">
        <is>
          <t>U4X</t>
        </is>
      </c>
      <c r="M158" s="51" t="inlineStr">
        <is>
          <t>U4Y</t>
        </is>
      </c>
      <c r="N158" s="51" t="inlineStr">
        <is>
          <t>U4θ</t>
        </is>
      </c>
      <c r="O158" s="51" t="inlineStr">
        <is>
          <t>U5X</t>
        </is>
      </c>
      <c r="P158" s="51" t="inlineStr">
        <is>
          <t>U5Y</t>
        </is>
      </c>
      <c r="Q158" s="51" t="inlineStr">
        <is>
          <t>U5θ</t>
        </is>
      </c>
      <c r="R158" s="51" t="inlineStr">
        <is>
          <t>U6X</t>
        </is>
      </c>
      <c r="S158" s="51" t="inlineStr">
        <is>
          <t>U6Y</t>
        </is>
      </c>
      <c r="T158" s="51" t="inlineStr">
        <is>
          <t>U6θ</t>
        </is>
      </c>
      <c r="U158" s="51" t="inlineStr">
        <is>
          <t>U7X</t>
        </is>
      </c>
      <c r="V158" s="51" t="inlineStr">
        <is>
          <t>U7Y</t>
        </is>
      </c>
      <c r="W158" s="51" t="inlineStr">
        <is>
          <t>U7θ</t>
        </is>
      </c>
      <c r="X158" s="51" t="inlineStr">
        <is>
          <t>U8X</t>
        </is>
      </c>
      <c r="Y158" s="51" t="inlineStr">
        <is>
          <t>U8Y</t>
        </is>
      </c>
      <c r="Z158" s="51" t="inlineStr">
        <is>
          <t>U8θ</t>
        </is>
      </c>
      <c r="AA158" s="51" t="inlineStr">
        <is>
          <t>U9X</t>
        </is>
      </c>
      <c r="AB158" s="51" t="inlineStr">
        <is>
          <t>U9Y</t>
        </is>
      </c>
      <c r="AC158" s="51" t="inlineStr">
        <is>
          <t>U9θ</t>
        </is>
      </c>
      <c r="AD158" s="51" t="inlineStr">
        <is>
          <t>U10X</t>
        </is>
      </c>
      <c r="AE158" s="51" t="inlineStr">
        <is>
          <t>U10Y</t>
        </is>
      </c>
      <c r="AF158" s="51" t="inlineStr">
        <is>
          <t>U10θ</t>
        </is>
      </c>
      <c r="AG158" s="51" t="inlineStr">
        <is>
          <t>U11X</t>
        </is>
      </c>
      <c r="AH158" s="51" t="inlineStr">
        <is>
          <t>U11Y</t>
        </is>
      </c>
      <c r="AI158" s="51" t="inlineStr">
        <is>
          <t>U11θ</t>
        </is>
      </c>
      <c r="AJ158" s="51" t="inlineStr">
        <is>
          <t>U12X</t>
        </is>
      </c>
      <c r="AK158" s="51" t="inlineStr">
        <is>
          <t>U12Y</t>
        </is>
      </c>
      <c r="AL158" s="51" t="inlineStr">
        <is>
          <t>U12θ</t>
        </is>
      </c>
    </row>
    <row r="159">
      <c r="C159" s="189" t="n"/>
      <c r="D159" s="189" t="n"/>
      <c r="E159" s="189" t="n"/>
      <c r="F159" s="189" t="n"/>
      <c r="G159" s="189" t="n"/>
      <c r="H159" s="189" t="n"/>
      <c r="I159" s="189" t="n"/>
      <c r="J159" s="189" t="n"/>
      <c r="K159" s="189" t="n"/>
      <c r="L159" s="189" t="n"/>
      <c r="M159" s="189" t="n"/>
      <c r="N159" s="189" t="n"/>
      <c r="O159" s="189" t="n"/>
      <c r="P159" s="189" t="n"/>
      <c r="Q159" s="189" t="n"/>
      <c r="R159" s="189" t="n"/>
      <c r="S159" s="189" t="n"/>
      <c r="T159" s="189" t="n"/>
      <c r="U159" s="189" t="n"/>
      <c r="V159" s="189" t="n"/>
      <c r="W159" s="189" t="n"/>
      <c r="X159" s="189" t="n"/>
      <c r="Y159" s="189" t="n"/>
      <c r="Z159" s="189" t="n"/>
      <c r="AA159" s="189" t="n"/>
      <c r="AB159" s="189" t="n"/>
      <c r="AC159" s="189" t="n"/>
      <c r="AD159" s="189" t="n"/>
      <c r="AE159" s="189" t="n"/>
      <c r="AF159" s="189" t="n"/>
      <c r="AG159" s="189" t="n"/>
      <c r="AH159" s="189" t="n"/>
      <c r="AI159" s="189" t="n"/>
      <c r="AJ159" s="189" t="n"/>
      <c r="AK159" s="189" t="n"/>
      <c r="AL159" s="189" t="n"/>
      <c r="AM159" s="51" t="inlineStr">
        <is>
          <t>U1X</t>
        </is>
      </c>
    </row>
    <row r="160">
      <c r="C160" s="189" t="n"/>
      <c r="D160" s="189" t="n"/>
      <c r="E160" s="189" t="n"/>
      <c r="F160" s="189" t="n"/>
      <c r="G160" s="189" t="n"/>
      <c r="H160" s="189" t="n"/>
      <c r="I160" s="189" t="n"/>
      <c r="J160" s="189" t="n"/>
      <c r="K160" s="189" t="n"/>
      <c r="L160" s="189" t="n"/>
      <c r="M160" s="189" t="n"/>
      <c r="N160" s="189" t="n"/>
      <c r="O160" s="189" t="n"/>
      <c r="P160" s="189" t="n"/>
      <c r="Q160" s="189" t="n"/>
      <c r="R160" s="189" t="n"/>
      <c r="S160" s="189" t="n"/>
      <c r="T160" s="189" t="n"/>
      <c r="U160" s="189" t="n"/>
      <c r="V160" s="189" t="n"/>
      <c r="W160" s="189" t="n"/>
      <c r="X160" s="189" t="n"/>
      <c r="Y160" s="189" t="n"/>
      <c r="Z160" s="189" t="n"/>
      <c r="AA160" s="189" t="n"/>
      <c r="AB160" s="189" t="n"/>
      <c r="AC160" s="189" t="n"/>
      <c r="AD160" s="189" t="n"/>
      <c r="AE160" s="189" t="n"/>
      <c r="AF160" s="189" t="n"/>
      <c r="AG160" s="189" t="n"/>
      <c r="AH160" s="189" t="n"/>
      <c r="AI160" s="189" t="n"/>
      <c r="AJ160" s="189" t="n"/>
      <c r="AK160" s="189" t="n"/>
      <c r="AL160" s="189" t="n"/>
      <c r="AM160" s="51" t="inlineStr">
        <is>
          <t>U1Y</t>
        </is>
      </c>
    </row>
    <row r="161">
      <c r="C161" s="189" t="n"/>
      <c r="D161" s="189" t="n"/>
      <c r="E161" s="189" t="n"/>
      <c r="F161" s="189" t="n"/>
      <c r="G161" s="189" t="n"/>
      <c r="H161" s="189" t="n"/>
      <c r="I161" s="189" t="n"/>
      <c r="J161" s="189" t="n"/>
      <c r="K161" s="189" t="n"/>
      <c r="L161" s="189" t="n"/>
      <c r="M161" s="189" t="n"/>
      <c r="N161" s="189" t="n"/>
      <c r="O161" s="189" t="n"/>
      <c r="P161" s="189" t="n"/>
      <c r="Q161" s="189" t="n"/>
      <c r="R161" s="189" t="n"/>
      <c r="S161" s="189" t="n"/>
      <c r="T161" s="189" t="n"/>
      <c r="U161" s="189" t="n"/>
      <c r="V161" s="189" t="n"/>
      <c r="W161" s="189" t="n"/>
      <c r="X161" s="189" t="n"/>
      <c r="Y161" s="189" t="n"/>
      <c r="Z161" s="189" t="n"/>
      <c r="AA161" s="189" t="n"/>
      <c r="AB161" s="189" t="n"/>
      <c r="AC161" s="189" t="n"/>
      <c r="AD161" s="189" t="n"/>
      <c r="AE161" s="189" t="n"/>
      <c r="AF161" s="189" t="n"/>
      <c r="AG161" s="189" t="n"/>
      <c r="AH161" s="189" t="n"/>
      <c r="AI161" s="189" t="n"/>
      <c r="AJ161" s="189" t="n"/>
      <c r="AK161" s="189" t="n"/>
      <c r="AL161" s="189" t="n"/>
      <c r="AM161" s="51" t="inlineStr">
        <is>
          <t>U1θ</t>
        </is>
      </c>
    </row>
    <row r="162">
      <c r="C162" s="189" t="n"/>
      <c r="D162" s="189" t="n"/>
      <c r="E162" s="189" t="n"/>
      <c r="F162" s="189" t="n"/>
      <c r="G162" s="189" t="n"/>
      <c r="H162" s="189" t="n"/>
      <c r="I162" s="189" t="n"/>
      <c r="J162" s="189" t="n"/>
      <c r="K162" s="189" t="n"/>
      <c r="L162" s="189" t="n"/>
      <c r="M162" s="189" t="n"/>
      <c r="N162" s="189" t="n"/>
      <c r="O162" s="189" t="n"/>
      <c r="P162" s="189" t="n"/>
      <c r="Q162" s="189" t="n"/>
      <c r="R162" s="189" t="n"/>
      <c r="S162" s="189" t="n"/>
      <c r="T162" s="189" t="n"/>
      <c r="U162" s="189" t="n"/>
      <c r="V162" s="189" t="n"/>
      <c r="W162" s="189" t="n"/>
      <c r="X162" s="189" t="n"/>
      <c r="Y162" s="189" t="n"/>
      <c r="Z162" s="189" t="n"/>
      <c r="AA162" s="189" t="n"/>
      <c r="AB162" s="189" t="n"/>
      <c r="AC162" s="189" t="n"/>
      <c r="AD162" s="189" t="n"/>
      <c r="AE162" s="189" t="n"/>
      <c r="AF162" s="189" t="n"/>
      <c r="AG162" s="189" t="n"/>
      <c r="AH162" s="189" t="n"/>
      <c r="AI162" s="189" t="n"/>
      <c r="AJ162" s="189" t="n"/>
      <c r="AK162" s="189" t="n"/>
      <c r="AL162" s="189" t="n"/>
      <c r="AM162" s="51" t="inlineStr">
        <is>
          <t>U2X</t>
        </is>
      </c>
    </row>
    <row r="163">
      <c r="C163" s="189" t="n"/>
      <c r="D163" s="189" t="n"/>
      <c r="E163" s="189" t="n"/>
      <c r="F163" s="189" t="n"/>
      <c r="G163" s="189" t="n"/>
      <c r="H163" s="189" t="n"/>
      <c r="I163" s="189" t="n"/>
      <c r="J163" s="189" t="n"/>
      <c r="K163" s="189" t="n"/>
      <c r="L163" s="189" t="n"/>
      <c r="M163" s="189" t="n"/>
      <c r="N163" s="189" t="n"/>
      <c r="O163" s="189" t="n"/>
      <c r="P163" s="189" t="n"/>
      <c r="Q163" s="189" t="n"/>
      <c r="R163" s="189" t="n"/>
      <c r="S163" s="189" t="n"/>
      <c r="T163" s="189" t="n"/>
      <c r="U163" s="189" t="n"/>
      <c r="V163" s="189" t="n"/>
      <c r="W163" s="189" t="n"/>
      <c r="X163" s="189" t="n"/>
      <c r="Y163" s="189" t="n"/>
      <c r="Z163" s="189" t="n"/>
      <c r="AA163" s="189" t="n"/>
      <c r="AB163" s="189" t="n"/>
      <c r="AC163" s="189" t="n"/>
      <c r="AD163" s="189" t="n"/>
      <c r="AE163" s="189" t="n"/>
      <c r="AF163" s="189" t="n"/>
      <c r="AG163" s="189" t="n"/>
      <c r="AH163" s="189" t="n"/>
      <c r="AI163" s="189" t="n"/>
      <c r="AJ163" s="189" t="n"/>
      <c r="AK163" s="189" t="n"/>
      <c r="AL163" s="189" t="n"/>
      <c r="AM163" s="51" t="inlineStr">
        <is>
          <t>U2Y</t>
        </is>
      </c>
    </row>
    <row r="164">
      <c r="C164" s="189" t="n"/>
      <c r="D164" s="189" t="n"/>
      <c r="E164" s="189" t="n"/>
      <c r="F164" s="189" t="n"/>
      <c r="G164" s="189" t="n"/>
      <c r="H164" s="189" t="n"/>
      <c r="I164" s="189" t="n"/>
      <c r="J164" s="189" t="n"/>
      <c r="K164" s="189" t="n"/>
      <c r="L164" s="189" t="n"/>
      <c r="M164" s="189" t="n"/>
      <c r="N164" s="189" t="n"/>
      <c r="O164" s="189" t="n"/>
      <c r="P164" s="189" t="n"/>
      <c r="Q164" s="189" t="n"/>
      <c r="R164" s="189" t="n"/>
      <c r="S164" s="189" t="n"/>
      <c r="T164" s="189" t="n"/>
      <c r="U164" s="189" t="n"/>
      <c r="V164" s="189" t="n"/>
      <c r="W164" s="189" t="n"/>
      <c r="X164" s="189" t="n"/>
      <c r="Y164" s="189" t="n"/>
      <c r="Z164" s="189" t="n"/>
      <c r="AA164" s="189" t="n"/>
      <c r="AB164" s="189" t="n"/>
      <c r="AC164" s="189" t="n"/>
      <c r="AD164" s="189" t="n"/>
      <c r="AE164" s="189" t="n"/>
      <c r="AF164" s="189" t="n"/>
      <c r="AG164" s="189" t="n"/>
      <c r="AH164" s="189" t="n"/>
      <c r="AI164" s="189" t="n"/>
      <c r="AJ164" s="189" t="n"/>
      <c r="AK164" s="189" t="n"/>
      <c r="AL164" s="189" t="n"/>
      <c r="AM164" s="51" t="inlineStr">
        <is>
          <t>U2θ</t>
        </is>
      </c>
    </row>
    <row r="165">
      <c r="C165" s="189" t="n"/>
      <c r="D165" s="189" t="n"/>
      <c r="E165" s="189" t="n"/>
      <c r="F165" s="189" t="n"/>
      <c r="G165" s="189" t="n"/>
      <c r="H165" s="189" t="n"/>
      <c r="I165" s="189">
        <f>C151</f>
        <v/>
      </c>
      <c r="J165" s="189">
        <f>D151</f>
        <v/>
      </c>
      <c r="K165" s="189">
        <f>E151</f>
        <v/>
      </c>
      <c r="L165" s="189">
        <f>F151</f>
        <v/>
      </c>
      <c r="M165" s="189">
        <f>G151</f>
        <v/>
      </c>
      <c r="N165" s="189">
        <f>H151</f>
        <v/>
      </c>
      <c r="O165" s="189" t="n"/>
      <c r="P165" s="189" t="n"/>
      <c r="Q165" s="189" t="n"/>
      <c r="R165" s="189" t="n"/>
      <c r="S165" s="189" t="n"/>
      <c r="T165" s="189" t="n"/>
      <c r="U165" s="189" t="n"/>
      <c r="V165" s="189" t="n"/>
      <c r="W165" s="189" t="n"/>
      <c r="X165" s="189" t="n"/>
      <c r="Y165" s="189" t="n"/>
      <c r="Z165" s="189" t="n"/>
      <c r="AA165" s="189" t="n"/>
      <c r="AB165" s="189" t="n"/>
      <c r="AC165" s="189" t="n"/>
      <c r="AD165" s="189" t="n"/>
      <c r="AE165" s="189" t="n"/>
      <c r="AF165" s="189" t="n"/>
      <c r="AG165" s="189" t="n"/>
      <c r="AH165" s="189" t="n"/>
      <c r="AI165" s="189" t="n"/>
      <c r="AJ165" s="189" t="n"/>
      <c r="AK165" s="189" t="n"/>
      <c r="AL165" s="189" t="n"/>
      <c r="AM165" s="51" t="inlineStr">
        <is>
          <t>U3X</t>
        </is>
      </c>
    </row>
    <row r="166">
      <c r="C166" s="189" t="n"/>
      <c r="D166" s="189" t="n"/>
      <c r="E166" s="189" t="n"/>
      <c r="F166" s="189" t="n"/>
      <c r="G166" s="189" t="n"/>
      <c r="H166" s="189" t="n"/>
      <c r="I166" s="189">
        <f>C152</f>
        <v/>
      </c>
      <c r="J166" s="189">
        <f>D152</f>
        <v/>
      </c>
      <c r="K166" s="189">
        <f>E152</f>
        <v/>
      </c>
      <c r="L166" s="189">
        <f>F152</f>
        <v/>
      </c>
      <c r="M166" s="189">
        <f>G152</f>
        <v/>
      </c>
      <c r="N166" s="189">
        <f>H152</f>
        <v/>
      </c>
      <c r="O166" s="189" t="n"/>
      <c r="P166" s="189" t="n"/>
      <c r="Q166" s="189" t="n"/>
      <c r="R166" s="189" t="n"/>
      <c r="S166" s="189" t="n"/>
      <c r="T166" s="189" t="n"/>
      <c r="U166" s="189" t="n"/>
      <c r="V166" s="189" t="n"/>
      <c r="W166" s="189" t="n"/>
      <c r="X166" s="189" t="n"/>
      <c r="Y166" s="189" t="n"/>
      <c r="Z166" s="189" t="n"/>
      <c r="AA166" s="189" t="n"/>
      <c r="AB166" s="189" t="n"/>
      <c r="AC166" s="189" t="n"/>
      <c r="AD166" s="189" t="n"/>
      <c r="AE166" s="189" t="n"/>
      <c r="AF166" s="189" t="n"/>
      <c r="AG166" s="189" t="n"/>
      <c r="AH166" s="189" t="n"/>
      <c r="AI166" s="189" t="n"/>
      <c r="AJ166" s="189" t="n"/>
      <c r="AK166" s="189" t="n"/>
      <c r="AL166" s="189" t="n"/>
      <c r="AM166" s="51" t="inlineStr">
        <is>
          <t>U3Y</t>
        </is>
      </c>
    </row>
    <row r="167">
      <c r="C167" s="189" t="n"/>
      <c r="D167" s="189" t="n"/>
      <c r="E167" s="189" t="n"/>
      <c r="F167" s="189" t="n"/>
      <c r="G167" s="189" t="n"/>
      <c r="H167" s="189" t="n"/>
      <c r="I167" s="189">
        <f>C153</f>
        <v/>
      </c>
      <c r="J167" s="189">
        <f>D153</f>
        <v/>
      </c>
      <c r="K167" s="189">
        <f>E153</f>
        <v/>
      </c>
      <c r="L167" s="189">
        <f>F153</f>
        <v/>
      </c>
      <c r="M167" s="189">
        <f>G153</f>
        <v/>
      </c>
      <c r="N167" s="189">
        <f>H153</f>
        <v/>
      </c>
      <c r="O167" s="189" t="n"/>
      <c r="P167" s="189" t="n"/>
      <c r="Q167" s="189" t="n"/>
      <c r="R167" s="189" t="n"/>
      <c r="S167" s="189" t="n"/>
      <c r="T167" s="189" t="n"/>
      <c r="U167" s="189" t="n"/>
      <c r="V167" s="189" t="n"/>
      <c r="W167" s="189" t="n"/>
      <c r="X167" s="189" t="n"/>
      <c r="Y167" s="189" t="n"/>
      <c r="Z167" s="189" t="n"/>
      <c r="AA167" s="189" t="n"/>
      <c r="AB167" s="189" t="n"/>
      <c r="AC167" s="189" t="n"/>
      <c r="AD167" s="189" t="n"/>
      <c r="AE167" s="189" t="n"/>
      <c r="AF167" s="189" t="n"/>
      <c r="AG167" s="189" t="n"/>
      <c r="AH167" s="189" t="n"/>
      <c r="AI167" s="189" t="n"/>
      <c r="AJ167" s="189" t="n"/>
      <c r="AK167" s="189" t="n"/>
      <c r="AL167" s="189" t="n"/>
      <c r="AM167" s="51" t="inlineStr">
        <is>
          <t>U3θ</t>
        </is>
      </c>
    </row>
    <row r="168">
      <c r="C168" s="189" t="n"/>
      <c r="D168" s="189" t="n"/>
      <c r="E168" s="189" t="n"/>
      <c r="F168" s="189" t="n"/>
      <c r="G168" s="189" t="n"/>
      <c r="H168" s="189" t="n"/>
      <c r="I168" s="189">
        <f>C154</f>
        <v/>
      </c>
      <c r="J168" s="189">
        <f>D154</f>
        <v/>
      </c>
      <c r="K168" s="189">
        <f>E154</f>
        <v/>
      </c>
      <c r="L168" s="189">
        <f>F154</f>
        <v/>
      </c>
      <c r="M168" s="189">
        <f>G154</f>
        <v/>
      </c>
      <c r="N168" s="189">
        <f>H154</f>
        <v/>
      </c>
      <c r="O168" s="189" t="n"/>
      <c r="P168" s="189" t="n"/>
      <c r="Q168" s="189" t="n"/>
      <c r="R168" s="189" t="n"/>
      <c r="S168" s="189" t="n"/>
      <c r="T168" s="189" t="n"/>
      <c r="U168" s="189" t="n"/>
      <c r="V168" s="189" t="n"/>
      <c r="W168" s="189" t="n"/>
      <c r="X168" s="189" t="n"/>
      <c r="Y168" s="189" t="n"/>
      <c r="Z168" s="189" t="n"/>
      <c r="AA168" s="189" t="n"/>
      <c r="AB168" s="189" t="n"/>
      <c r="AC168" s="189" t="n"/>
      <c r="AD168" s="189" t="n"/>
      <c r="AE168" s="189" t="n"/>
      <c r="AF168" s="189" t="n"/>
      <c r="AG168" s="189" t="n"/>
      <c r="AH168" s="189" t="n"/>
      <c r="AI168" s="189" t="n"/>
      <c r="AJ168" s="189" t="n"/>
      <c r="AK168" s="189" t="n"/>
      <c r="AL168" s="189" t="n"/>
      <c r="AM168" s="51" t="inlineStr">
        <is>
          <t>U4X</t>
        </is>
      </c>
    </row>
    <row r="169">
      <c r="C169" s="189" t="n"/>
      <c r="D169" s="189" t="n"/>
      <c r="E169" s="189" t="n"/>
      <c r="F169" s="189" t="n"/>
      <c r="G169" s="189" t="n"/>
      <c r="H169" s="189" t="n"/>
      <c r="I169" s="189">
        <f>C155</f>
        <v/>
      </c>
      <c r="J169" s="189">
        <f>D155</f>
        <v/>
      </c>
      <c r="K169" s="189">
        <f>E155</f>
        <v/>
      </c>
      <c r="L169" s="189">
        <f>F155</f>
        <v/>
      </c>
      <c r="M169" s="189">
        <f>G155</f>
        <v/>
      </c>
      <c r="N169" s="189">
        <f>H155</f>
        <v/>
      </c>
      <c r="O169" s="189" t="n"/>
      <c r="P169" s="189" t="n"/>
      <c r="Q169" s="189" t="n"/>
      <c r="R169" s="189" t="n"/>
      <c r="S169" s="189" t="n"/>
      <c r="T169" s="189" t="n"/>
      <c r="U169" s="189" t="n"/>
      <c r="V169" s="189" t="n"/>
      <c r="W169" s="189" t="n"/>
      <c r="X169" s="189" t="n"/>
      <c r="Y169" s="189" t="n"/>
      <c r="Z169" s="189" t="n"/>
      <c r="AA169" s="189" t="n"/>
      <c r="AB169" s="189" t="n"/>
      <c r="AC169" s="189" t="n"/>
      <c r="AD169" s="189" t="n"/>
      <c r="AE169" s="189" t="n"/>
      <c r="AF169" s="189" t="n"/>
      <c r="AG169" s="189" t="n"/>
      <c r="AH169" s="189" t="n"/>
      <c r="AI169" s="189" t="n"/>
      <c r="AJ169" s="189" t="n"/>
      <c r="AK169" s="189" t="n"/>
      <c r="AL169" s="189" t="n"/>
      <c r="AM169" s="51" t="inlineStr">
        <is>
          <t>U4Y</t>
        </is>
      </c>
    </row>
    <row r="170">
      <c r="C170" s="189" t="n"/>
      <c r="D170" s="189" t="n"/>
      <c r="E170" s="189" t="n"/>
      <c r="F170" s="189" t="n"/>
      <c r="G170" s="189" t="n"/>
      <c r="H170" s="189" t="n"/>
      <c r="I170" s="189">
        <f>C156</f>
        <v/>
      </c>
      <c r="J170" s="189">
        <f>D156</f>
        <v/>
      </c>
      <c r="K170" s="189">
        <f>E156</f>
        <v/>
      </c>
      <c r="L170" s="189">
        <f>F156</f>
        <v/>
      </c>
      <c r="M170" s="189">
        <f>G156</f>
        <v/>
      </c>
      <c r="N170" s="189">
        <f>H156</f>
        <v/>
      </c>
      <c r="O170" s="189" t="n"/>
      <c r="P170" s="189" t="n"/>
      <c r="Q170" s="189" t="n"/>
      <c r="R170" s="189" t="n"/>
      <c r="S170" s="189" t="n"/>
      <c r="T170" s="189" t="n"/>
      <c r="U170" s="189" t="n"/>
      <c r="V170" s="189" t="n"/>
      <c r="W170" s="189" t="n"/>
      <c r="X170" s="189" t="n"/>
      <c r="Y170" s="189" t="n"/>
      <c r="Z170" s="189" t="n"/>
      <c r="AA170" s="189" t="n"/>
      <c r="AB170" s="189" t="n"/>
      <c r="AC170" s="189" t="n"/>
      <c r="AD170" s="189" t="n"/>
      <c r="AE170" s="189" t="n"/>
      <c r="AF170" s="189" t="n"/>
      <c r="AG170" s="189" t="n"/>
      <c r="AH170" s="189" t="n"/>
      <c r="AI170" s="189" t="n"/>
      <c r="AJ170" s="189" t="n"/>
      <c r="AK170" s="189" t="n"/>
      <c r="AL170" s="189" t="n"/>
      <c r="AM170" s="51" t="inlineStr">
        <is>
          <t>U4θ</t>
        </is>
      </c>
    </row>
    <row r="171">
      <c r="C171" s="189" t="n"/>
      <c r="D171" s="189" t="n"/>
      <c r="E171" s="189" t="n"/>
      <c r="F171" s="189" t="n"/>
      <c r="G171" s="189" t="n"/>
      <c r="H171" s="189" t="n"/>
      <c r="I171" s="189" t="n"/>
      <c r="J171" s="189" t="n"/>
      <c r="K171" s="189" t="n"/>
      <c r="L171" s="189" t="n"/>
      <c r="M171" s="189" t="n"/>
      <c r="N171" s="189" t="n"/>
      <c r="O171" s="189" t="n"/>
      <c r="P171" s="189" t="n"/>
      <c r="Q171" s="189" t="n"/>
      <c r="R171" s="189" t="n"/>
      <c r="S171" s="189" t="n"/>
      <c r="T171" s="189" t="n"/>
      <c r="U171" s="189" t="n"/>
      <c r="V171" s="189" t="n"/>
      <c r="W171" s="189" t="n"/>
      <c r="X171" s="189" t="n"/>
      <c r="Y171" s="189" t="n"/>
      <c r="Z171" s="189" t="n"/>
      <c r="AA171" s="189" t="n"/>
      <c r="AB171" s="189" t="n"/>
      <c r="AC171" s="189" t="n"/>
      <c r="AD171" s="189" t="n"/>
      <c r="AE171" s="189" t="n"/>
      <c r="AF171" s="189" t="n"/>
      <c r="AG171" s="189" t="n"/>
      <c r="AH171" s="189" t="n"/>
      <c r="AI171" s="189" t="n"/>
      <c r="AJ171" s="189" t="n"/>
      <c r="AK171" s="189" t="n"/>
      <c r="AL171" s="189" t="n"/>
      <c r="AM171" s="51" t="inlineStr">
        <is>
          <t>U5X</t>
        </is>
      </c>
    </row>
    <row r="172">
      <c r="C172" s="189" t="n"/>
      <c r="D172" s="189" t="n"/>
      <c r="E172" s="189" t="n"/>
      <c r="F172" s="189" t="n"/>
      <c r="G172" s="189" t="n"/>
      <c r="H172" s="189" t="n"/>
      <c r="I172" s="189" t="n"/>
      <c r="J172" s="189" t="n"/>
      <c r="K172" s="189" t="n"/>
      <c r="L172" s="189" t="n"/>
      <c r="M172" s="189" t="n"/>
      <c r="N172" s="189" t="n"/>
      <c r="O172" s="189" t="n"/>
      <c r="P172" s="189" t="n"/>
      <c r="Q172" s="189" t="n"/>
      <c r="R172" s="189" t="n"/>
      <c r="S172" s="189" t="n"/>
      <c r="T172" s="189" t="n"/>
      <c r="U172" s="189" t="n"/>
      <c r="V172" s="189" t="n"/>
      <c r="W172" s="189" t="n"/>
      <c r="X172" s="189" t="n"/>
      <c r="Y172" s="189" t="n"/>
      <c r="Z172" s="189" t="n"/>
      <c r="AA172" s="189" t="n"/>
      <c r="AB172" s="189" t="n"/>
      <c r="AC172" s="189" t="n"/>
      <c r="AD172" s="189" t="n"/>
      <c r="AE172" s="189" t="n"/>
      <c r="AF172" s="189" t="n"/>
      <c r="AG172" s="189" t="n"/>
      <c r="AH172" s="189" t="n"/>
      <c r="AI172" s="189" t="n"/>
      <c r="AJ172" s="189" t="n"/>
      <c r="AK172" s="189" t="n"/>
      <c r="AL172" s="189" t="n"/>
      <c r="AM172" s="51" t="inlineStr">
        <is>
          <t>U5Y</t>
        </is>
      </c>
    </row>
    <row r="173">
      <c r="C173" s="189" t="n"/>
      <c r="D173" s="189" t="n"/>
      <c r="E173" s="189" t="n"/>
      <c r="F173" s="189" t="n"/>
      <c r="G173" s="189" t="n"/>
      <c r="H173" s="189" t="n"/>
      <c r="I173" s="189" t="n"/>
      <c r="J173" s="189" t="n"/>
      <c r="K173" s="189" t="n"/>
      <c r="L173" s="189" t="n"/>
      <c r="M173" s="189" t="n"/>
      <c r="N173" s="189" t="n"/>
      <c r="O173" s="189" t="n"/>
      <c r="P173" s="189" t="n"/>
      <c r="Q173" s="189" t="n"/>
      <c r="R173" s="189" t="n"/>
      <c r="S173" s="189" t="n"/>
      <c r="T173" s="189" t="n"/>
      <c r="U173" s="189" t="n"/>
      <c r="V173" s="189" t="n"/>
      <c r="W173" s="189" t="n"/>
      <c r="X173" s="189" t="n"/>
      <c r="Y173" s="189" t="n"/>
      <c r="Z173" s="189" t="n"/>
      <c r="AA173" s="189" t="n"/>
      <c r="AB173" s="189" t="n"/>
      <c r="AC173" s="189" t="n"/>
      <c r="AD173" s="189" t="n"/>
      <c r="AE173" s="189" t="n"/>
      <c r="AF173" s="189" t="n"/>
      <c r="AG173" s="189" t="n"/>
      <c r="AH173" s="189" t="n"/>
      <c r="AI173" s="189" t="n"/>
      <c r="AJ173" s="189" t="n"/>
      <c r="AK173" s="189" t="n"/>
      <c r="AL173" s="189" t="n"/>
      <c r="AM173" s="51" t="inlineStr">
        <is>
          <t>U5θ</t>
        </is>
      </c>
    </row>
    <row r="174">
      <c r="C174" s="189" t="n"/>
      <c r="D174" s="189" t="n"/>
      <c r="E174" s="189" t="n"/>
      <c r="F174" s="189" t="n"/>
      <c r="G174" s="189" t="n"/>
      <c r="H174" s="189" t="n"/>
      <c r="I174" s="189" t="n"/>
      <c r="J174" s="189" t="n"/>
      <c r="K174" s="189" t="n"/>
      <c r="L174" s="189" t="n"/>
      <c r="M174" s="189" t="n"/>
      <c r="N174" s="189" t="n"/>
      <c r="O174" s="189" t="n"/>
      <c r="P174" s="189" t="n"/>
      <c r="Q174" s="189" t="n"/>
      <c r="R174" s="189" t="n"/>
      <c r="S174" s="189" t="n"/>
      <c r="T174" s="189" t="n"/>
      <c r="U174" s="189" t="n"/>
      <c r="V174" s="189" t="n"/>
      <c r="W174" s="189" t="n"/>
      <c r="X174" s="189" t="n"/>
      <c r="Y174" s="189" t="n"/>
      <c r="Z174" s="189" t="n"/>
      <c r="AA174" s="189" t="n"/>
      <c r="AB174" s="189" t="n"/>
      <c r="AC174" s="189" t="n"/>
      <c r="AD174" s="189" t="n"/>
      <c r="AE174" s="189" t="n"/>
      <c r="AF174" s="189" t="n"/>
      <c r="AG174" s="189" t="n"/>
      <c r="AH174" s="189" t="n"/>
      <c r="AI174" s="189" t="n"/>
      <c r="AJ174" s="189" t="n"/>
      <c r="AK174" s="189" t="n"/>
      <c r="AL174" s="189" t="n"/>
      <c r="AM174" s="51" t="inlineStr">
        <is>
          <t>U6X</t>
        </is>
      </c>
    </row>
    <row r="175">
      <c r="C175" s="189" t="n"/>
      <c r="D175" s="189" t="n"/>
      <c r="E175" s="189" t="n"/>
      <c r="F175" s="189" t="n"/>
      <c r="G175" s="189" t="n"/>
      <c r="H175" s="189" t="n"/>
      <c r="I175" s="189" t="n"/>
      <c r="J175" s="189" t="n"/>
      <c r="K175" s="189" t="n"/>
      <c r="L175" s="189" t="n"/>
      <c r="M175" s="189" t="n"/>
      <c r="N175" s="189" t="n"/>
      <c r="O175" s="189" t="n"/>
      <c r="P175" s="189" t="n"/>
      <c r="Q175" s="189" t="n"/>
      <c r="R175" s="189" t="n"/>
      <c r="S175" s="189" t="n"/>
      <c r="T175" s="189" t="n"/>
      <c r="U175" s="189" t="n"/>
      <c r="V175" s="189" t="n"/>
      <c r="W175" s="189" t="n"/>
      <c r="X175" s="189" t="n"/>
      <c r="Y175" s="189" t="n"/>
      <c r="Z175" s="189" t="n"/>
      <c r="AA175" s="189" t="n"/>
      <c r="AB175" s="189" t="n"/>
      <c r="AC175" s="189" t="n"/>
      <c r="AD175" s="189" t="n"/>
      <c r="AE175" s="189" t="n"/>
      <c r="AF175" s="189" t="n"/>
      <c r="AG175" s="189" t="n"/>
      <c r="AH175" s="189" t="n"/>
      <c r="AI175" s="189" t="n"/>
      <c r="AJ175" s="189" t="n"/>
      <c r="AK175" s="189" t="n"/>
      <c r="AL175" s="189" t="n"/>
      <c r="AM175" s="51" t="inlineStr">
        <is>
          <t>U6Y</t>
        </is>
      </c>
    </row>
    <row r="176">
      <c r="B176" s="118" t="inlineStr">
        <is>
          <t>K3 =</t>
        </is>
      </c>
      <c r="C176" s="189" t="n"/>
      <c r="D176" s="189" t="n"/>
      <c r="E176" s="189" t="n"/>
      <c r="F176" s="189" t="n"/>
      <c r="G176" s="189" t="n"/>
      <c r="H176" s="189" t="n"/>
      <c r="I176" s="189" t="n"/>
      <c r="J176" s="189" t="n"/>
      <c r="K176" s="189" t="n"/>
      <c r="L176" s="189" t="n"/>
      <c r="M176" s="189" t="n"/>
      <c r="N176" s="189" t="n"/>
      <c r="O176" s="189" t="n"/>
      <c r="P176" s="189" t="n"/>
      <c r="Q176" s="189" t="n"/>
      <c r="R176" s="189" t="n"/>
      <c r="S176" s="189" t="n"/>
      <c r="T176" s="189" t="n"/>
      <c r="U176" s="189" t="n"/>
      <c r="V176" s="189" t="n"/>
      <c r="W176" s="189" t="n"/>
      <c r="X176" s="189" t="n"/>
      <c r="Y176" s="189" t="n"/>
      <c r="Z176" s="189" t="n"/>
      <c r="AA176" s="189" t="n"/>
      <c r="AB176" s="189" t="n"/>
      <c r="AC176" s="189" t="n"/>
      <c r="AD176" s="189" t="n"/>
      <c r="AE176" s="189" t="n"/>
      <c r="AF176" s="189" t="n"/>
      <c r="AG176" s="189" t="n"/>
      <c r="AH176" s="189" t="n"/>
      <c r="AI176" s="189" t="n"/>
      <c r="AJ176" s="189" t="n"/>
      <c r="AK176" s="189" t="n"/>
      <c r="AL176" s="189" t="n"/>
      <c r="AM176" s="51" t="inlineStr">
        <is>
          <t>U6θ</t>
        </is>
      </c>
    </row>
    <row r="177">
      <c r="C177" s="189" t="n"/>
      <c r="D177" s="189" t="n"/>
      <c r="E177" s="189" t="n"/>
      <c r="F177" s="189" t="n"/>
      <c r="G177" s="189" t="n"/>
      <c r="H177" s="189" t="n"/>
      <c r="I177" s="189" t="n"/>
      <c r="J177" s="189" t="n"/>
      <c r="K177" s="189" t="n"/>
      <c r="L177" s="189" t="n"/>
      <c r="M177" s="189" t="n"/>
      <c r="N177" s="189" t="n"/>
      <c r="O177" s="189" t="n"/>
      <c r="P177" s="189" t="n"/>
      <c r="Q177" s="189" t="n"/>
      <c r="R177" s="189" t="n"/>
      <c r="S177" s="189" t="n"/>
      <c r="T177" s="189" t="n"/>
      <c r="U177" s="189" t="n"/>
      <c r="V177" s="189" t="n"/>
      <c r="W177" s="189" t="n"/>
      <c r="X177" s="189" t="n"/>
      <c r="Y177" s="189" t="n"/>
      <c r="Z177" s="189" t="n"/>
      <c r="AA177" s="189" t="n"/>
      <c r="AB177" s="189" t="n"/>
      <c r="AC177" s="189" t="n"/>
      <c r="AD177" s="189" t="n"/>
      <c r="AE177" s="189" t="n"/>
      <c r="AF177" s="189" t="n"/>
      <c r="AG177" s="189" t="n"/>
      <c r="AH177" s="189" t="n"/>
      <c r="AI177" s="189" t="n"/>
      <c r="AJ177" s="189" t="n"/>
      <c r="AK177" s="189" t="n"/>
      <c r="AL177" s="189" t="n"/>
      <c r="AM177" s="51" t="inlineStr">
        <is>
          <t>U7X</t>
        </is>
      </c>
    </row>
    <row r="178">
      <c r="C178" s="189" t="n"/>
      <c r="D178" s="189" t="n"/>
      <c r="E178" s="189" t="n"/>
      <c r="F178" s="189" t="n"/>
      <c r="G178" s="189" t="n"/>
      <c r="H178" s="189" t="n"/>
      <c r="I178" s="189" t="n"/>
      <c r="J178" s="189" t="n"/>
      <c r="K178" s="189" t="n"/>
      <c r="L178" s="189" t="n"/>
      <c r="M178" s="189" t="n"/>
      <c r="N178" s="189" t="n"/>
      <c r="O178" s="189" t="n"/>
      <c r="P178" s="189" t="n"/>
      <c r="Q178" s="189" t="n"/>
      <c r="R178" s="189" t="n"/>
      <c r="S178" s="189" t="n"/>
      <c r="T178" s="189" t="n"/>
      <c r="U178" s="189" t="n"/>
      <c r="V178" s="189" t="n"/>
      <c r="W178" s="189" t="n"/>
      <c r="X178" s="189" t="n"/>
      <c r="Y178" s="189" t="n"/>
      <c r="Z178" s="189" t="n"/>
      <c r="AA178" s="189" t="n"/>
      <c r="AB178" s="189" t="n"/>
      <c r="AC178" s="189" t="n"/>
      <c r="AD178" s="189" t="n"/>
      <c r="AE178" s="189" t="n"/>
      <c r="AF178" s="189" t="n"/>
      <c r="AG178" s="189" t="n"/>
      <c r="AH178" s="189" t="n"/>
      <c r="AI178" s="189" t="n"/>
      <c r="AJ178" s="189" t="n"/>
      <c r="AK178" s="189" t="n"/>
      <c r="AL178" s="189" t="n"/>
      <c r="AM178" s="51" t="inlineStr">
        <is>
          <t>U7Y</t>
        </is>
      </c>
    </row>
    <row r="179">
      <c r="C179" s="189" t="n"/>
      <c r="D179" s="189" t="n"/>
      <c r="E179" s="189" t="n"/>
      <c r="F179" s="189" t="n"/>
      <c r="G179" s="189" t="n"/>
      <c r="H179" s="189" t="n"/>
      <c r="I179" s="189" t="n"/>
      <c r="J179" s="189" t="n"/>
      <c r="K179" s="189" t="n"/>
      <c r="L179" s="189" t="n"/>
      <c r="M179" s="189" t="n"/>
      <c r="N179" s="189" t="n"/>
      <c r="O179" s="189" t="n"/>
      <c r="P179" s="189" t="n"/>
      <c r="Q179" s="189" t="n"/>
      <c r="R179" s="189" t="n"/>
      <c r="S179" s="189" t="n"/>
      <c r="T179" s="189" t="n"/>
      <c r="U179" s="189" t="n"/>
      <c r="V179" s="189" t="n"/>
      <c r="W179" s="189" t="n"/>
      <c r="X179" s="189" t="n"/>
      <c r="Y179" s="189" t="n"/>
      <c r="Z179" s="189" t="n"/>
      <c r="AA179" s="189" t="n"/>
      <c r="AB179" s="189" t="n"/>
      <c r="AC179" s="189" t="n"/>
      <c r="AD179" s="189" t="n"/>
      <c r="AE179" s="189" t="n"/>
      <c r="AF179" s="189" t="n"/>
      <c r="AG179" s="189" t="n"/>
      <c r="AH179" s="189" t="n"/>
      <c r="AI179" s="189" t="n"/>
      <c r="AJ179" s="189" t="n"/>
      <c r="AK179" s="189" t="n"/>
      <c r="AL179" s="189" t="n"/>
      <c r="AM179" s="51" t="inlineStr">
        <is>
          <t>U7θ</t>
        </is>
      </c>
    </row>
    <row r="180">
      <c r="C180" s="189" t="n"/>
      <c r="D180" s="189" t="n"/>
      <c r="E180" s="189" t="n"/>
      <c r="F180" s="189" t="n"/>
      <c r="G180" s="189" t="n"/>
      <c r="H180" s="189" t="n"/>
      <c r="I180" s="189" t="n"/>
      <c r="J180" s="189" t="n"/>
      <c r="K180" s="189" t="n"/>
      <c r="L180" s="189" t="n"/>
      <c r="M180" s="189" t="n"/>
      <c r="N180" s="189" t="n"/>
      <c r="O180" s="189" t="n"/>
      <c r="P180" s="189" t="n"/>
      <c r="Q180" s="189" t="n"/>
      <c r="R180" s="189" t="n"/>
      <c r="S180" s="189" t="n"/>
      <c r="T180" s="189" t="n"/>
      <c r="U180" s="189" t="n"/>
      <c r="V180" s="189" t="n"/>
      <c r="W180" s="189" t="n"/>
      <c r="X180" s="189" t="n"/>
      <c r="Y180" s="189" t="n"/>
      <c r="Z180" s="189" t="n"/>
      <c r="AA180" s="189" t="n"/>
      <c r="AB180" s="189" t="n"/>
      <c r="AC180" s="189" t="n"/>
      <c r="AD180" s="189" t="n"/>
      <c r="AE180" s="189" t="n"/>
      <c r="AF180" s="189" t="n"/>
      <c r="AG180" s="189" t="n"/>
      <c r="AH180" s="189" t="n"/>
      <c r="AI180" s="189" t="n"/>
      <c r="AJ180" s="189" t="n"/>
      <c r="AK180" s="189" t="n"/>
      <c r="AL180" s="189" t="n"/>
      <c r="AM180" s="51" t="inlineStr">
        <is>
          <t>U8X</t>
        </is>
      </c>
    </row>
    <row r="181">
      <c r="C181" s="189" t="n"/>
      <c r="D181" s="189" t="n"/>
      <c r="E181" s="189" t="n"/>
      <c r="F181" s="189" t="n"/>
      <c r="G181" s="189" t="n"/>
      <c r="H181" s="189" t="n"/>
      <c r="I181" s="189" t="n"/>
      <c r="J181" s="189" t="n"/>
      <c r="K181" s="189" t="n"/>
      <c r="L181" s="189" t="n"/>
      <c r="M181" s="189" t="n"/>
      <c r="N181" s="189" t="n"/>
      <c r="O181" s="189" t="n"/>
      <c r="P181" s="189" t="n"/>
      <c r="Q181" s="189" t="n"/>
      <c r="R181" s="189" t="n"/>
      <c r="S181" s="189" t="n"/>
      <c r="T181" s="189" t="n"/>
      <c r="U181" s="189" t="n"/>
      <c r="V181" s="189" t="n"/>
      <c r="W181" s="189" t="n"/>
      <c r="X181" s="189" t="n"/>
      <c r="Y181" s="189" t="n"/>
      <c r="Z181" s="189" t="n"/>
      <c r="AA181" s="189" t="n"/>
      <c r="AB181" s="189" t="n"/>
      <c r="AC181" s="189" t="n"/>
      <c r="AD181" s="189" t="n"/>
      <c r="AE181" s="189" t="n"/>
      <c r="AF181" s="189" t="n"/>
      <c r="AG181" s="189" t="n"/>
      <c r="AH181" s="189" t="n"/>
      <c r="AI181" s="189" t="n"/>
      <c r="AJ181" s="189" t="n"/>
      <c r="AK181" s="189" t="n"/>
      <c r="AL181" s="189" t="n"/>
      <c r="AM181" s="51" t="inlineStr">
        <is>
          <t>U8Y</t>
        </is>
      </c>
    </row>
    <row r="182">
      <c r="C182" s="189" t="n"/>
      <c r="D182" s="189" t="n"/>
      <c r="E182" s="189" t="n"/>
      <c r="F182" s="189" t="n"/>
      <c r="G182" s="189" t="n"/>
      <c r="H182" s="189" t="n"/>
      <c r="I182" s="189" t="n"/>
      <c r="J182" s="189" t="n"/>
      <c r="K182" s="189" t="n"/>
      <c r="L182" s="189" t="n"/>
      <c r="M182" s="189" t="n"/>
      <c r="N182" s="189" t="n"/>
      <c r="O182" s="189" t="n"/>
      <c r="P182" s="189" t="n"/>
      <c r="Q182" s="189" t="n"/>
      <c r="R182" s="189" t="n"/>
      <c r="S182" s="189" t="n"/>
      <c r="T182" s="189" t="n"/>
      <c r="U182" s="189" t="n"/>
      <c r="V182" s="189" t="n"/>
      <c r="W182" s="189" t="n"/>
      <c r="X182" s="189" t="n"/>
      <c r="Y182" s="189" t="n"/>
      <c r="Z182" s="189" t="n"/>
      <c r="AA182" s="189" t="n"/>
      <c r="AB182" s="189" t="n"/>
      <c r="AC182" s="189" t="n"/>
      <c r="AD182" s="189" t="n"/>
      <c r="AE182" s="189" t="n"/>
      <c r="AF182" s="189" t="n"/>
      <c r="AG182" s="189" t="n"/>
      <c r="AH182" s="189" t="n"/>
      <c r="AI182" s="189" t="n"/>
      <c r="AJ182" s="189" t="n"/>
      <c r="AK182" s="189" t="n"/>
      <c r="AL182" s="189" t="n"/>
      <c r="AM182" s="51" t="inlineStr">
        <is>
          <t>U8θ</t>
        </is>
      </c>
    </row>
    <row r="183">
      <c r="C183" s="189" t="n"/>
      <c r="D183" s="189" t="n"/>
      <c r="E183" s="189" t="n"/>
      <c r="F183" s="189" t="n"/>
      <c r="G183" s="189" t="n"/>
      <c r="H183" s="189" t="n"/>
      <c r="I183" s="189" t="n"/>
      <c r="J183" s="189" t="n"/>
      <c r="K183" s="189" t="n"/>
      <c r="L183" s="189" t="n"/>
      <c r="M183" s="189" t="n"/>
      <c r="N183" s="189" t="n"/>
      <c r="O183" s="189" t="n"/>
      <c r="P183" s="189" t="n"/>
      <c r="Q183" s="189" t="n"/>
      <c r="R183" s="189" t="n"/>
      <c r="S183" s="189" t="n"/>
      <c r="T183" s="189" t="n"/>
      <c r="U183" s="189" t="n"/>
      <c r="V183" s="189" t="n"/>
      <c r="W183" s="189" t="n"/>
      <c r="X183" s="189" t="n"/>
      <c r="Y183" s="189" t="n"/>
      <c r="Z183" s="189" t="n"/>
      <c r="AA183" s="189" t="n"/>
      <c r="AB183" s="189" t="n"/>
      <c r="AC183" s="189" t="n"/>
      <c r="AD183" s="189" t="n"/>
      <c r="AE183" s="189" t="n"/>
      <c r="AF183" s="189" t="n"/>
      <c r="AG183" s="189" t="n"/>
      <c r="AH183" s="189" t="n"/>
      <c r="AI183" s="189" t="n"/>
      <c r="AJ183" s="189" t="n"/>
      <c r="AK183" s="189" t="n"/>
      <c r="AL183" s="189" t="n"/>
      <c r="AM183" s="51" t="inlineStr">
        <is>
          <t>U9X</t>
        </is>
      </c>
    </row>
    <row r="184">
      <c r="C184" s="189" t="n"/>
      <c r="D184" s="189" t="n"/>
      <c r="E184" s="189" t="n"/>
      <c r="F184" s="189" t="n"/>
      <c r="G184" s="189" t="n"/>
      <c r="H184" s="189" t="n"/>
      <c r="I184" s="189" t="n"/>
      <c r="J184" s="189" t="n"/>
      <c r="K184" s="189" t="n"/>
      <c r="L184" s="189" t="n"/>
      <c r="M184" s="189" t="n"/>
      <c r="N184" s="189" t="n"/>
      <c r="O184" s="189" t="n"/>
      <c r="P184" s="189" t="n"/>
      <c r="Q184" s="189" t="n"/>
      <c r="R184" s="189" t="n"/>
      <c r="S184" s="189" t="n"/>
      <c r="T184" s="189" t="n"/>
      <c r="U184" s="189" t="n"/>
      <c r="V184" s="189" t="n"/>
      <c r="W184" s="189" t="n"/>
      <c r="X184" s="189" t="n"/>
      <c r="Y184" s="189" t="n"/>
      <c r="Z184" s="189" t="n"/>
      <c r="AA184" s="189" t="n"/>
      <c r="AB184" s="189" t="n"/>
      <c r="AC184" s="189" t="n"/>
      <c r="AD184" s="189" t="n"/>
      <c r="AE184" s="189" t="n"/>
      <c r="AF184" s="189" t="n"/>
      <c r="AG184" s="189" t="n"/>
      <c r="AH184" s="189" t="n"/>
      <c r="AI184" s="189" t="n"/>
      <c r="AJ184" s="189" t="n"/>
      <c r="AK184" s="189" t="n"/>
      <c r="AL184" s="189" t="n"/>
      <c r="AM184" s="51" t="inlineStr">
        <is>
          <t>U9Y</t>
        </is>
      </c>
    </row>
    <row r="185">
      <c r="C185" s="189" t="n"/>
      <c r="D185" s="189" t="n"/>
      <c r="E185" s="189" t="n"/>
      <c r="F185" s="189" t="n"/>
      <c r="G185" s="189" t="n"/>
      <c r="H185" s="189" t="n"/>
      <c r="I185" s="189" t="n"/>
      <c r="J185" s="189" t="n"/>
      <c r="K185" s="189" t="n"/>
      <c r="L185" s="189" t="n"/>
      <c r="M185" s="189" t="n"/>
      <c r="N185" s="189" t="n"/>
      <c r="O185" s="189" t="n"/>
      <c r="P185" s="189" t="n"/>
      <c r="Q185" s="189" t="n"/>
      <c r="R185" s="189" t="n"/>
      <c r="S185" s="189" t="n"/>
      <c r="T185" s="189" t="n"/>
      <c r="U185" s="189" t="n"/>
      <c r="V185" s="189" t="n"/>
      <c r="W185" s="189" t="n"/>
      <c r="X185" s="189" t="n"/>
      <c r="Y185" s="189" t="n"/>
      <c r="Z185" s="189" t="n"/>
      <c r="AA185" s="189" t="n"/>
      <c r="AB185" s="189" t="n"/>
      <c r="AC185" s="189" t="n"/>
      <c r="AD185" s="189" t="n"/>
      <c r="AE185" s="189" t="n"/>
      <c r="AF185" s="189" t="n"/>
      <c r="AG185" s="189" t="n"/>
      <c r="AH185" s="189" t="n"/>
      <c r="AI185" s="189" t="n"/>
      <c r="AJ185" s="189" t="n"/>
      <c r="AK185" s="189" t="n"/>
      <c r="AL185" s="189" t="n"/>
      <c r="AM185" s="51" t="inlineStr">
        <is>
          <t>U9θ</t>
        </is>
      </c>
    </row>
    <row r="186">
      <c r="C186" s="189" t="n"/>
      <c r="D186" s="189" t="n"/>
      <c r="E186" s="189" t="n"/>
      <c r="F186" s="189" t="n"/>
      <c r="G186" s="189" t="n"/>
      <c r="H186" s="189" t="n"/>
      <c r="I186" s="189" t="n"/>
      <c r="J186" s="189" t="n"/>
      <c r="K186" s="189" t="n"/>
      <c r="L186" s="189" t="n"/>
      <c r="M186" s="189" t="n"/>
      <c r="N186" s="189" t="n"/>
      <c r="O186" s="189" t="n"/>
      <c r="P186" s="189" t="n"/>
      <c r="Q186" s="189" t="n"/>
      <c r="R186" s="189" t="n"/>
      <c r="S186" s="189" t="n"/>
      <c r="T186" s="189" t="n"/>
      <c r="U186" s="189" t="n"/>
      <c r="V186" s="189" t="n"/>
      <c r="W186" s="189" t="n"/>
      <c r="X186" s="189" t="n"/>
      <c r="Y186" s="189" t="n"/>
      <c r="Z186" s="189" t="n"/>
      <c r="AA186" s="189" t="n"/>
      <c r="AB186" s="189" t="n"/>
      <c r="AC186" s="189" t="n"/>
      <c r="AD186" s="189" t="n"/>
      <c r="AE186" s="189" t="n"/>
      <c r="AF186" s="189" t="n"/>
      <c r="AG186" s="189" t="n"/>
      <c r="AH186" s="189" t="n"/>
      <c r="AI186" s="189" t="n"/>
      <c r="AJ186" s="189" t="n"/>
      <c r="AK186" s="189" t="n"/>
      <c r="AL186" s="189" t="n"/>
      <c r="AM186" s="51" t="inlineStr">
        <is>
          <t>U10X</t>
        </is>
      </c>
    </row>
    <row r="187">
      <c r="C187" s="189" t="n"/>
      <c r="D187" s="189" t="n"/>
      <c r="E187" s="189" t="n"/>
      <c r="F187" s="189" t="n"/>
      <c r="G187" s="189" t="n"/>
      <c r="H187" s="189" t="n"/>
      <c r="I187" s="189" t="n"/>
      <c r="J187" s="189" t="n"/>
      <c r="K187" s="189" t="n"/>
      <c r="L187" s="189" t="n"/>
      <c r="M187" s="189" t="n"/>
      <c r="N187" s="189" t="n"/>
      <c r="O187" s="189" t="n"/>
      <c r="P187" s="189" t="n"/>
      <c r="Q187" s="189" t="n"/>
      <c r="R187" s="189" t="n"/>
      <c r="S187" s="189" t="n"/>
      <c r="T187" s="189" t="n"/>
      <c r="U187" s="189" t="n"/>
      <c r="V187" s="189" t="n"/>
      <c r="W187" s="189" t="n"/>
      <c r="X187" s="189" t="n"/>
      <c r="Y187" s="189" t="n"/>
      <c r="Z187" s="189" t="n"/>
      <c r="AA187" s="189" t="n"/>
      <c r="AB187" s="189" t="n"/>
      <c r="AC187" s="189" t="n"/>
      <c r="AD187" s="189" t="n"/>
      <c r="AE187" s="189" t="n"/>
      <c r="AF187" s="189" t="n"/>
      <c r="AG187" s="189" t="n"/>
      <c r="AH187" s="189" t="n"/>
      <c r="AI187" s="189" t="n"/>
      <c r="AJ187" s="189" t="n"/>
      <c r="AK187" s="189" t="n"/>
      <c r="AL187" s="189" t="n"/>
      <c r="AM187" s="51" t="inlineStr">
        <is>
          <t>U10Y</t>
        </is>
      </c>
    </row>
    <row r="188">
      <c r="C188" s="189" t="n"/>
      <c r="D188" s="189" t="n"/>
      <c r="E188" s="189" t="n"/>
      <c r="F188" s="189" t="n"/>
      <c r="G188" s="189" t="n"/>
      <c r="H188" s="189" t="n"/>
      <c r="I188" s="189" t="n"/>
      <c r="J188" s="189" t="n"/>
      <c r="K188" s="189" t="n"/>
      <c r="L188" s="189" t="n"/>
      <c r="M188" s="189" t="n"/>
      <c r="N188" s="189" t="n"/>
      <c r="O188" s="189" t="n"/>
      <c r="P188" s="189" t="n"/>
      <c r="Q188" s="189" t="n"/>
      <c r="R188" s="189" t="n"/>
      <c r="S188" s="189" t="n"/>
      <c r="T188" s="189" t="n"/>
      <c r="U188" s="189" t="n"/>
      <c r="V188" s="189" t="n"/>
      <c r="W188" s="189" t="n"/>
      <c r="X188" s="189" t="n"/>
      <c r="Y188" s="189" t="n"/>
      <c r="Z188" s="189" t="n"/>
      <c r="AA188" s="189" t="n"/>
      <c r="AB188" s="189" t="n"/>
      <c r="AC188" s="189" t="n"/>
      <c r="AD188" s="189" t="n"/>
      <c r="AE188" s="189" t="n"/>
      <c r="AF188" s="189" t="n"/>
      <c r="AG188" s="189" t="n"/>
      <c r="AH188" s="189" t="n"/>
      <c r="AI188" s="189" t="n"/>
      <c r="AJ188" s="189" t="n"/>
      <c r="AK188" s="189" t="n"/>
      <c r="AL188" s="189" t="n"/>
      <c r="AM188" s="51" t="inlineStr">
        <is>
          <t>U10θ</t>
        </is>
      </c>
    </row>
    <row r="189">
      <c r="C189" s="189" t="n"/>
      <c r="D189" s="189" t="n"/>
      <c r="E189" s="189" t="n"/>
      <c r="F189" s="189" t="n"/>
      <c r="G189" s="189" t="n"/>
      <c r="H189" s="189" t="n"/>
      <c r="I189" s="189" t="n"/>
      <c r="J189" s="189" t="n"/>
      <c r="K189" s="189" t="n"/>
      <c r="L189" s="189" t="n"/>
      <c r="M189" s="189" t="n"/>
      <c r="N189" s="189" t="n"/>
      <c r="O189" s="189" t="n"/>
      <c r="P189" s="189" t="n"/>
      <c r="Q189" s="189" t="n"/>
      <c r="R189" s="189" t="n"/>
      <c r="S189" s="189" t="n"/>
      <c r="T189" s="189" t="n"/>
      <c r="U189" s="189" t="n"/>
      <c r="V189" s="189" t="n"/>
      <c r="W189" s="189" t="n"/>
      <c r="X189" s="189" t="n"/>
      <c r="Y189" s="189" t="n"/>
      <c r="Z189" s="189" t="n"/>
      <c r="AA189" s="189" t="n"/>
      <c r="AB189" s="189" t="n"/>
      <c r="AC189" s="189" t="n"/>
      <c r="AD189" s="189" t="n"/>
      <c r="AE189" s="189" t="n"/>
      <c r="AF189" s="189" t="n"/>
      <c r="AG189" s="189" t="n"/>
      <c r="AH189" s="189" t="n"/>
      <c r="AI189" s="189" t="n"/>
      <c r="AJ189" s="189" t="n"/>
      <c r="AK189" s="189" t="n"/>
      <c r="AL189" s="189" t="n"/>
      <c r="AM189" s="51" t="inlineStr">
        <is>
          <t>U11X</t>
        </is>
      </c>
    </row>
    <row r="190">
      <c r="C190" s="189" t="n"/>
      <c r="D190" s="189" t="n"/>
      <c r="E190" s="189" t="n"/>
      <c r="F190" s="189" t="n"/>
      <c r="G190" s="189" t="n"/>
      <c r="H190" s="189" t="n"/>
      <c r="I190" s="189" t="n"/>
      <c r="J190" s="189" t="n"/>
      <c r="K190" s="189" t="n"/>
      <c r="L190" s="189" t="n"/>
      <c r="M190" s="189" t="n"/>
      <c r="N190" s="189" t="n"/>
      <c r="O190" s="189" t="n"/>
      <c r="P190" s="189" t="n"/>
      <c r="Q190" s="189" t="n"/>
      <c r="R190" s="189" t="n"/>
      <c r="S190" s="189" t="n"/>
      <c r="T190" s="189" t="n"/>
      <c r="U190" s="189" t="n"/>
      <c r="V190" s="189" t="n"/>
      <c r="W190" s="189" t="n"/>
      <c r="X190" s="189" t="n"/>
      <c r="Y190" s="189" t="n"/>
      <c r="Z190" s="189" t="n"/>
      <c r="AA190" s="189" t="n"/>
      <c r="AB190" s="189" t="n"/>
      <c r="AC190" s="189" t="n"/>
      <c r="AD190" s="189" t="n"/>
      <c r="AE190" s="189" t="n"/>
      <c r="AF190" s="189" t="n"/>
      <c r="AG190" s="189" t="n"/>
      <c r="AH190" s="189" t="n"/>
      <c r="AI190" s="189" t="n"/>
      <c r="AJ190" s="189" t="n"/>
      <c r="AK190" s="189" t="n"/>
      <c r="AL190" s="189" t="n"/>
      <c r="AM190" s="51" t="inlineStr">
        <is>
          <t>U11Y</t>
        </is>
      </c>
    </row>
    <row r="191">
      <c r="C191" s="189" t="n"/>
      <c r="D191" s="189" t="n"/>
      <c r="E191" s="189" t="n"/>
      <c r="F191" s="189" t="n"/>
      <c r="G191" s="189" t="n"/>
      <c r="H191" s="189" t="n"/>
      <c r="I191" s="189" t="n"/>
      <c r="J191" s="189" t="n"/>
      <c r="K191" s="189" t="n"/>
      <c r="L191" s="189" t="n"/>
      <c r="M191" s="189" t="n"/>
      <c r="N191" s="189" t="n"/>
      <c r="O191" s="189" t="n"/>
      <c r="P191" s="189" t="n"/>
      <c r="Q191" s="189" t="n"/>
      <c r="R191" s="189" t="n"/>
      <c r="S191" s="189" t="n"/>
      <c r="T191" s="189" t="n"/>
      <c r="U191" s="189" t="n"/>
      <c r="V191" s="189" t="n"/>
      <c r="W191" s="189" t="n"/>
      <c r="X191" s="189" t="n"/>
      <c r="Y191" s="189" t="n"/>
      <c r="Z191" s="189" t="n"/>
      <c r="AA191" s="189" t="n"/>
      <c r="AB191" s="189" t="n"/>
      <c r="AC191" s="189" t="n"/>
      <c r="AD191" s="189" t="n"/>
      <c r="AE191" s="189" t="n"/>
      <c r="AF191" s="189" t="n"/>
      <c r="AG191" s="189" t="n"/>
      <c r="AH191" s="189" t="n"/>
      <c r="AI191" s="189" t="n"/>
      <c r="AJ191" s="189" t="n"/>
      <c r="AK191" s="189" t="n"/>
      <c r="AL191" s="189" t="n"/>
      <c r="AM191" s="51" t="inlineStr">
        <is>
          <t>U11θ</t>
        </is>
      </c>
    </row>
    <row r="192">
      <c r="C192" s="189" t="n"/>
      <c r="D192" s="189" t="n"/>
      <c r="E192" s="189" t="n"/>
      <c r="F192" s="189" t="n"/>
      <c r="G192" s="189" t="n"/>
      <c r="H192" s="189" t="n"/>
      <c r="I192" s="189" t="n"/>
      <c r="J192" s="189" t="n"/>
      <c r="K192" s="189" t="n"/>
      <c r="L192" s="189" t="n"/>
      <c r="M192" s="189" t="n"/>
      <c r="N192" s="189" t="n"/>
      <c r="O192" s="189" t="n"/>
      <c r="P192" s="189" t="n"/>
      <c r="Q192" s="189" t="n"/>
      <c r="R192" s="189" t="n"/>
      <c r="S192" s="189" t="n"/>
      <c r="T192" s="189" t="n"/>
      <c r="U192" s="189" t="n"/>
      <c r="V192" s="189" t="n"/>
      <c r="W192" s="189" t="n"/>
      <c r="X192" s="189" t="n"/>
      <c r="Y192" s="189" t="n"/>
      <c r="Z192" s="189" t="n"/>
      <c r="AA192" s="189" t="n"/>
      <c r="AB192" s="189" t="n"/>
      <c r="AC192" s="189" t="n"/>
      <c r="AD192" s="189" t="n"/>
      <c r="AE192" s="189" t="n"/>
      <c r="AF192" s="189" t="n"/>
      <c r="AG192" s="189" t="n"/>
      <c r="AH192" s="189" t="n"/>
      <c r="AI192" s="189" t="n"/>
      <c r="AJ192" s="189" t="n"/>
      <c r="AK192" s="189" t="n"/>
      <c r="AL192" s="189" t="n"/>
      <c r="AM192" s="51" t="inlineStr">
        <is>
          <t>U12X</t>
        </is>
      </c>
    </row>
    <row r="193">
      <c r="C193" s="189" t="n"/>
      <c r="D193" s="189" t="n"/>
      <c r="E193" s="189" t="n"/>
      <c r="F193" s="189" t="n"/>
      <c r="G193" s="189" t="n"/>
      <c r="H193" s="189" t="n"/>
      <c r="I193" s="189" t="n"/>
      <c r="J193" s="189" t="n"/>
      <c r="K193" s="189" t="n"/>
      <c r="L193" s="189" t="n"/>
      <c r="M193" s="189" t="n"/>
      <c r="N193" s="189" t="n"/>
      <c r="O193" s="189" t="n"/>
      <c r="P193" s="189" t="n"/>
      <c r="Q193" s="189" t="n"/>
      <c r="R193" s="189" t="n"/>
      <c r="S193" s="189" t="n"/>
      <c r="T193" s="189" t="n"/>
      <c r="U193" s="189" t="n"/>
      <c r="V193" s="189" t="n"/>
      <c r="W193" s="189" t="n"/>
      <c r="X193" s="189" t="n"/>
      <c r="Y193" s="189" t="n"/>
      <c r="Z193" s="189" t="n"/>
      <c r="AA193" s="189" t="n"/>
      <c r="AB193" s="189" t="n"/>
      <c r="AC193" s="189" t="n"/>
      <c r="AD193" s="189" t="n"/>
      <c r="AE193" s="189" t="n"/>
      <c r="AF193" s="189" t="n"/>
      <c r="AG193" s="189" t="n"/>
      <c r="AH193" s="189" t="n"/>
      <c r="AI193" s="189" t="n"/>
      <c r="AJ193" s="189" t="n"/>
      <c r="AK193" s="189" t="n"/>
      <c r="AL193" s="189" t="n"/>
      <c r="AM193" s="51" t="inlineStr">
        <is>
          <t>U12Y</t>
        </is>
      </c>
    </row>
    <row r="194">
      <c r="C194" s="189" t="n"/>
      <c r="D194" s="189" t="n"/>
      <c r="E194" s="189" t="n"/>
      <c r="F194" s="189" t="n"/>
      <c r="G194" s="189" t="n"/>
      <c r="H194" s="189" t="n"/>
      <c r="I194" s="189" t="n"/>
      <c r="J194" s="189" t="n"/>
      <c r="K194" s="189" t="n"/>
      <c r="L194" s="189" t="n"/>
      <c r="M194" s="189" t="n"/>
      <c r="N194" s="189" t="n"/>
      <c r="O194" s="189" t="n"/>
      <c r="P194" s="189" t="n"/>
      <c r="Q194" s="189" t="n"/>
      <c r="R194" s="189" t="n"/>
      <c r="S194" s="189" t="n"/>
      <c r="T194" s="189" t="n"/>
      <c r="U194" s="189" t="n"/>
      <c r="V194" s="189" t="n"/>
      <c r="W194" s="189" t="n"/>
      <c r="X194" s="189" t="n"/>
      <c r="Y194" s="189" t="n"/>
      <c r="Z194" s="189" t="n"/>
      <c r="AA194" s="189" t="n"/>
      <c r="AB194" s="189" t="n"/>
      <c r="AC194" s="189" t="n"/>
      <c r="AD194" s="189" t="n"/>
      <c r="AE194" s="189" t="n"/>
      <c r="AF194" s="189" t="n"/>
      <c r="AG194" s="189" t="n"/>
      <c r="AH194" s="189" t="n"/>
      <c r="AI194" s="189" t="n"/>
      <c r="AJ194" s="189" t="n"/>
      <c r="AK194" s="189" t="n"/>
      <c r="AL194" s="189" t="n"/>
      <c r="AM194" s="51" t="inlineStr">
        <is>
          <t>U12θ</t>
        </is>
      </c>
    </row>
    <row r="197">
      <c r="C197" s="51">
        <f>IF(C31="","", CONCATENATE("U",C31,C$27))</f>
        <v/>
      </c>
      <c r="D197" s="51">
        <f>IF(D31="","", CONCATENATE("U",D31,D$27))</f>
        <v/>
      </c>
      <c r="E197" s="51">
        <f>IF(E31="","", CONCATENATE("U",E31,E$27))</f>
        <v/>
      </c>
      <c r="F197" s="51">
        <f>IF(F31="","", CONCATENATE("U",F31,F$27))</f>
        <v/>
      </c>
      <c r="G197" s="51">
        <f>IF(G31="","", CONCATENATE("U",G31,G$27))</f>
        <v/>
      </c>
      <c r="H197" s="51">
        <f>IF(H31="","", CONCATENATE("U",H31,H$27))</f>
        <v/>
      </c>
    </row>
    <row r="198">
      <c r="C198" s="8">
        <f>IF(I17="", 0, (S17*(J17^2))+(O17*(K17^2)))</f>
        <v/>
      </c>
      <c r="D198" s="189">
        <f>IF(I17="", 0, (S17-O17)*J17*K17)</f>
        <v/>
      </c>
      <c r="E198" s="189">
        <f>IF(I17="", 0, -P17*K17)</f>
        <v/>
      </c>
      <c r="F198" s="189">
        <f>-1*C198</f>
        <v/>
      </c>
      <c r="G198" s="189">
        <f>-1*D198</f>
        <v/>
      </c>
      <c r="H198" s="189">
        <f>E198</f>
        <v/>
      </c>
      <c r="I198" s="51">
        <f>C197</f>
        <v/>
      </c>
    </row>
    <row r="199">
      <c r="C199" s="189">
        <f>D198</f>
        <v/>
      </c>
      <c r="D199" s="8">
        <f>IF(I17="", 0, (S17*(K17^2))+(O17*(J17^2)))</f>
        <v/>
      </c>
      <c r="E199" s="189">
        <f>IF(I17="", 0, P17*J17)</f>
        <v/>
      </c>
      <c r="F199" s="189">
        <f>-1*D198</f>
        <v/>
      </c>
      <c r="G199" s="189">
        <f>-1*D199</f>
        <v/>
      </c>
      <c r="H199" s="189">
        <f>E199</f>
        <v/>
      </c>
      <c r="I199" s="51">
        <f>D197</f>
        <v/>
      </c>
    </row>
    <row r="200">
      <c r="B200" s="118" t="inlineStr">
        <is>
          <t>K4 =</t>
        </is>
      </c>
      <c r="C200" s="189">
        <f>E198</f>
        <v/>
      </c>
      <c r="D200" s="189">
        <f>E199</f>
        <v/>
      </c>
      <c r="E200" s="8">
        <f>IF(I17="", 0, Q17)</f>
        <v/>
      </c>
      <c r="F200" s="189">
        <f>-1*E198</f>
        <v/>
      </c>
      <c r="G200" s="189">
        <f>-1*E199</f>
        <v/>
      </c>
      <c r="H200" s="189">
        <f>IF(I17="", 0, R17)</f>
        <v/>
      </c>
      <c r="I200" s="51">
        <f>E197</f>
        <v/>
      </c>
    </row>
    <row r="201">
      <c r="C201" s="189">
        <f>F198</f>
        <v/>
      </c>
      <c r="D201" s="189">
        <f>F199</f>
        <v/>
      </c>
      <c r="E201" s="189">
        <f>F200</f>
        <v/>
      </c>
      <c r="F201" s="8">
        <f>C198</f>
        <v/>
      </c>
      <c r="G201" s="189">
        <f>D198</f>
        <v/>
      </c>
      <c r="H201" s="189">
        <f>-1*E198</f>
        <v/>
      </c>
      <c r="I201" s="51">
        <f>F197</f>
        <v/>
      </c>
    </row>
    <row r="202">
      <c r="C202" s="189">
        <f>G198</f>
        <v/>
      </c>
      <c r="D202" s="189">
        <f>G199</f>
        <v/>
      </c>
      <c r="E202" s="189">
        <f>G200</f>
        <v/>
      </c>
      <c r="F202" s="189">
        <f>G201</f>
        <v/>
      </c>
      <c r="G202" s="8">
        <f>D199</f>
        <v/>
      </c>
      <c r="H202" s="189">
        <f>-1*E199</f>
        <v/>
      </c>
      <c r="I202" s="51">
        <f>G197</f>
        <v/>
      </c>
    </row>
    <row r="203">
      <c r="C203" s="189">
        <f>H198</f>
        <v/>
      </c>
      <c r="D203" s="189">
        <f>H199</f>
        <v/>
      </c>
      <c r="E203" s="189">
        <f>H200</f>
        <v/>
      </c>
      <c r="F203" s="189">
        <f>H201</f>
        <v/>
      </c>
      <c r="G203" s="189">
        <f>H202</f>
        <v/>
      </c>
      <c r="H203" s="8">
        <f>E200</f>
        <v/>
      </c>
      <c r="I203" s="51">
        <f>H197</f>
        <v/>
      </c>
    </row>
    <row r="205">
      <c r="C205" s="51" t="inlineStr">
        <is>
          <t>U1X</t>
        </is>
      </c>
      <c r="D205" s="51" t="inlineStr">
        <is>
          <t>U1Y</t>
        </is>
      </c>
      <c r="E205" s="51" t="inlineStr">
        <is>
          <t>U1θ</t>
        </is>
      </c>
      <c r="F205" s="51" t="inlineStr">
        <is>
          <t>U2X</t>
        </is>
      </c>
      <c r="G205" s="51" t="inlineStr">
        <is>
          <t>U2Y</t>
        </is>
      </c>
      <c r="H205" s="51" t="inlineStr">
        <is>
          <t>U2θ</t>
        </is>
      </c>
      <c r="I205" s="51" t="inlineStr">
        <is>
          <t>U3X</t>
        </is>
      </c>
      <c r="J205" s="51" t="inlineStr">
        <is>
          <t>U3Y</t>
        </is>
      </c>
      <c r="K205" s="51" t="inlineStr">
        <is>
          <t>U3θ</t>
        </is>
      </c>
      <c r="L205" s="51" t="inlineStr">
        <is>
          <t>U4X</t>
        </is>
      </c>
      <c r="M205" s="51" t="inlineStr">
        <is>
          <t>U4Y</t>
        </is>
      </c>
      <c r="N205" s="51" t="inlineStr">
        <is>
          <t>U4θ</t>
        </is>
      </c>
      <c r="O205" s="51" t="inlineStr">
        <is>
          <t>U5X</t>
        </is>
      </c>
      <c r="P205" s="51" t="inlineStr">
        <is>
          <t>U5Y</t>
        </is>
      </c>
      <c r="Q205" s="51" t="inlineStr">
        <is>
          <t>U5θ</t>
        </is>
      </c>
      <c r="R205" s="51" t="inlineStr">
        <is>
          <t>U6X</t>
        </is>
      </c>
      <c r="S205" s="51" t="inlineStr">
        <is>
          <t>U6Y</t>
        </is>
      </c>
      <c r="T205" s="51" t="inlineStr">
        <is>
          <t>U6θ</t>
        </is>
      </c>
      <c r="U205" s="51" t="inlineStr">
        <is>
          <t>U7X</t>
        </is>
      </c>
      <c r="V205" s="51" t="inlineStr">
        <is>
          <t>U7Y</t>
        </is>
      </c>
      <c r="W205" s="51" t="inlineStr">
        <is>
          <t>U7θ</t>
        </is>
      </c>
      <c r="X205" s="51" t="inlineStr">
        <is>
          <t>U8X</t>
        </is>
      </c>
      <c r="Y205" s="51" t="inlineStr">
        <is>
          <t>U8Y</t>
        </is>
      </c>
      <c r="Z205" s="51" t="inlineStr">
        <is>
          <t>U8θ</t>
        </is>
      </c>
      <c r="AA205" s="51" t="inlineStr">
        <is>
          <t>U9X</t>
        </is>
      </c>
      <c r="AB205" s="51" t="inlineStr">
        <is>
          <t>U9Y</t>
        </is>
      </c>
      <c r="AC205" s="51" t="inlineStr">
        <is>
          <t>U9θ</t>
        </is>
      </c>
      <c r="AD205" s="51" t="inlineStr">
        <is>
          <t>U10X</t>
        </is>
      </c>
      <c r="AE205" s="51" t="inlineStr">
        <is>
          <t>U10Y</t>
        </is>
      </c>
      <c r="AF205" s="51" t="inlineStr">
        <is>
          <t>U10θ</t>
        </is>
      </c>
      <c r="AG205" s="51" t="inlineStr">
        <is>
          <t>U11X</t>
        </is>
      </c>
      <c r="AH205" s="51" t="inlineStr">
        <is>
          <t>U11Y</t>
        </is>
      </c>
      <c r="AI205" s="51" t="inlineStr">
        <is>
          <t>U11θ</t>
        </is>
      </c>
      <c r="AJ205" s="51" t="inlineStr">
        <is>
          <t>U12X</t>
        </is>
      </c>
      <c r="AK205" s="51" t="inlineStr">
        <is>
          <t>U12Y</t>
        </is>
      </c>
      <c r="AL205" s="51" t="inlineStr">
        <is>
          <t>U12θ</t>
        </is>
      </c>
    </row>
    <row r="206">
      <c r="C206" s="189" t="n"/>
      <c r="D206" s="189" t="n"/>
      <c r="E206" s="189" t="n"/>
      <c r="F206" s="189" t="n"/>
      <c r="G206" s="189" t="n"/>
      <c r="H206" s="189" t="n"/>
      <c r="I206" s="189" t="n"/>
      <c r="J206" s="189" t="n"/>
      <c r="K206" s="189" t="n"/>
      <c r="L206" s="189" t="n"/>
      <c r="M206" s="189" t="n"/>
      <c r="N206" s="189" t="n"/>
      <c r="O206" s="189" t="n"/>
      <c r="P206" s="189" t="n"/>
      <c r="Q206" s="189" t="n"/>
      <c r="R206" s="189" t="n"/>
      <c r="S206" s="189" t="n"/>
      <c r="T206" s="189" t="n"/>
      <c r="U206" s="189" t="n"/>
      <c r="V206" s="189" t="n"/>
      <c r="W206" s="189" t="n"/>
      <c r="X206" s="189" t="n"/>
      <c r="Y206" s="189" t="n"/>
      <c r="Z206" s="189" t="n"/>
      <c r="AA206" s="189" t="n"/>
      <c r="AB206" s="189" t="n"/>
      <c r="AC206" s="189" t="n"/>
      <c r="AD206" s="189" t="n"/>
      <c r="AE206" s="189" t="n"/>
      <c r="AF206" s="189" t="n"/>
      <c r="AG206" s="189" t="n"/>
      <c r="AH206" s="189" t="n"/>
      <c r="AI206" s="189" t="n"/>
      <c r="AJ206" s="189" t="n"/>
      <c r="AK206" s="189" t="n"/>
      <c r="AL206" s="189" t="n"/>
      <c r="AM206" s="51" t="inlineStr">
        <is>
          <t>U1X</t>
        </is>
      </c>
    </row>
    <row r="207">
      <c r="C207" s="189" t="n"/>
      <c r="D207" s="189" t="n"/>
      <c r="E207" s="189" t="n"/>
      <c r="F207" s="189" t="n"/>
      <c r="G207" s="189" t="n"/>
      <c r="H207" s="189" t="n"/>
      <c r="I207" s="189" t="n"/>
      <c r="J207" s="189" t="n"/>
      <c r="K207" s="189" t="n"/>
      <c r="L207" s="189" t="n"/>
      <c r="M207" s="189" t="n"/>
      <c r="N207" s="189" t="n"/>
      <c r="O207" s="189" t="n"/>
      <c r="P207" s="189" t="n"/>
      <c r="Q207" s="189" t="n"/>
      <c r="R207" s="189" t="n"/>
      <c r="S207" s="189" t="n"/>
      <c r="T207" s="189" t="n"/>
      <c r="U207" s="189" t="n"/>
      <c r="V207" s="189" t="n"/>
      <c r="W207" s="189" t="n"/>
      <c r="X207" s="189" t="n"/>
      <c r="Y207" s="189" t="n"/>
      <c r="Z207" s="189" t="n"/>
      <c r="AA207" s="189" t="n"/>
      <c r="AB207" s="189" t="n"/>
      <c r="AC207" s="189" t="n"/>
      <c r="AD207" s="189" t="n"/>
      <c r="AE207" s="189" t="n"/>
      <c r="AF207" s="189" t="n"/>
      <c r="AG207" s="189" t="n"/>
      <c r="AH207" s="189" t="n"/>
      <c r="AI207" s="189" t="n"/>
      <c r="AJ207" s="189" t="n"/>
      <c r="AK207" s="189" t="n"/>
      <c r="AL207" s="189" t="n"/>
      <c r="AM207" s="51" t="inlineStr">
        <is>
          <t>U1Y</t>
        </is>
      </c>
    </row>
    <row r="208">
      <c r="C208" s="189" t="n"/>
      <c r="D208" s="189" t="n"/>
      <c r="E208" s="189" t="n"/>
      <c r="F208" s="189" t="n"/>
      <c r="G208" s="189" t="n"/>
      <c r="H208" s="189" t="n"/>
      <c r="I208" s="189" t="n"/>
      <c r="J208" s="189" t="n"/>
      <c r="K208" s="189" t="n"/>
      <c r="L208" s="189" t="n"/>
      <c r="M208" s="189" t="n"/>
      <c r="N208" s="189" t="n"/>
      <c r="O208" s="189" t="n"/>
      <c r="P208" s="189" t="n"/>
      <c r="Q208" s="189" t="n"/>
      <c r="R208" s="189" t="n"/>
      <c r="S208" s="189" t="n"/>
      <c r="T208" s="189" t="n"/>
      <c r="U208" s="189" t="n"/>
      <c r="V208" s="189" t="n"/>
      <c r="W208" s="189" t="n"/>
      <c r="X208" s="189" t="n"/>
      <c r="Y208" s="189" t="n"/>
      <c r="Z208" s="189" t="n"/>
      <c r="AA208" s="189" t="n"/>
      <c r="AB208" s="189" t="n"/>
      <c r="AC208" s="189" t="n"/>
      <c r="AD208" s="189" t="n"/>
      <c r="AE208" s="189" t="n"/>
      <c r="AF208" s="189" t="n"/>
      <c r="AG208" s="189" t="n"/>
      <c r="AH208" s="189" t="n"/>
      <c r="AI208" s="189" t="n"/>
      <c r="AJ208" s="189" t="n"/>
      <c r="AK208" s="189" t="n"/>
      <c r="AL208" s="189" t="n"/>
      <c r="AM208" s="51" t="inlineStr">
        <is>
          <t>U1θ</t>
        </is>
      </c>
    </row>
    <row r="209">
      <c r="C209" s="189" t="n"/>
      <c r="D209" s="189" t="n"/>
      <c r="E209" s="189" t="n"/>
      <c r="F209" s="189" t="n"/>
      <c r="G209" s="189" t="n"/>
      <c r="H209" s="189" t="n"/>
      <c r="I209" s="189" t="n"/>
      <c r="J209" s="189" t="n"/>
      <c r="K209" s="189" t="n"/>
      <c r="L209" s="189" t="n"/>
      <c r="M209" s="189" t="n"/>
      <c r="N209" s="189" t="n"/>
      <c r="O209" s="189" t="n"/>
      <c r="P209" s="189" t="n"/>
      <c r="Q209" s="189" t="n"/>
      <c r="R209" s="189" t="n"/>
      <c r="S209" s="189" t="n"/>
      <c r="T209" s="189" t="n"/>
      <c r="U209" s="189" t="n"/>
      <c r="V209" s="189" t="n"/>
      <c r="W209" s="189" t="n"/>
      <c r="X209" s="189" t="n"/>
      <c r="Y209" s="189" t="n"/>
      <c r="Z209" s="189" t="n"/>
      <c r="AA209" s="189" t="n"/>
      <c r="AB209" s="189" t="n"/>
      <c r="AC209" s="189" t="n"/>
      <c r="AD209" s="189" t="n"/>
      <c r="AE209" s="189" t="n"/>
      <c r="AF209" s="189" t="n"/>
      <c r="AG209" s="189" t="n"/>
      <c r="AH209" s="189" t="n"/>
      <c r="AI209" s="189" t="n"/>
      <c r="AJ209" s="189" t="n"/>
      <c r="AK209" s="189" t="n"/>
      <c r="AL209" s="189" t="n"/>
      <c r="AM209" s="51" t="inlineStr">
        <is>
          <t>U2X</t>
        </is>
      </c>
    </row>
    <row r="210">
      <c r="C210" s="189" t="n"/>
      <c r="D210" s="189" t="n"/>
      <c r="E210" s="189" t="n"/>
      <c r="F210" s="189" t="n"/>
      <c r="G210" s="189" t="n"/>
      <c r="H210" s="189" t="n"/>
      <c r="I210" s="189" t="n"/>
      <c r="J210" s="189" t="n"/>
      <c r="K210" s="189" t="n"/>
      <c r="L210" s="189" t="n"/>
      <c r="M210" s="189" t="n"/>
      <c r="N210" s="189" t="n"/>
      <c r="O210" s="189" t="n"/>
      <c r="P210" s="189" t="n"/>
      <c r="Q210" s="189" t="n"/>
      <c r="R210" s="189" t="n"/>
      <c r="S210" s="189" t="n"/>
      <c r="T210" s="189" t="n"/>
      <c r="U210" s="189" t="n"/>
      <c r="V210" s="189" t="n"/>
      <c r="W210" s="189" t="n"/>
      <c r="X210" s="189" t="n"/>
      <c r="Y210" s="189" t="n"/>
      <c r="Z210" s="189" t="n"/>
      <c r="AA210" s="189" t="n"/>
      <c r="AB210" s="189" t="n"/>
      <c r="AC210" s="189" t="n"/>
      <c r="AD210" s="189" t="n"/>
      <c r="AE210" s="189" t="n"/>
      <c r="AF210" s="189" t="n"/>
      <c r="AG210" s="189" t="n"/>
      <c r="AH210" s="189" t="n"/>
      <c r="AI210" s="189" t="n"/>
      <c r="AJ210" s="189" t="n"/>
      <c r="AK210" s="189" t="n"/>
      <c r="AL210" s="189" t="n"/>
      <c r="AM210" s="51" t="inlineStr">
        <is>
          <t>U2Y</t>
        </is>
      </c>
    </row>
    <row r="211">
      <c r="C211" s="189" t="n"/>
      <c r="D211" s="189" t="n"/>
      <c r="E211" s="189" t="n"/>
      <c r="F211" s="189" t="n"/>
      <c r="G211" s="189" t="n"/>
      <c r="H211" s="189" t="n"/>
      <c r="I211" s="189" t="n"/>
      <c r="J211" s="189" t="n"/>
      <c r="K211" s="189" t="n"/>
      <c r="L211" s="189" t="n"/>
      <c r="M211" s="189" t="n"/>
      <c r="N211" s="189" t="n"/>
      <c r="O211" s="189" t="n"/>
      <c r="P211" s="189" t="n"/>
      <c r="Q211" s="189" t="n"/>
      <c r="R211" s="189" t="n"/>
      <c r="S211" s="189" t="n"/>
      <c r="T211" s="189" t="n"/>
      <c r="U211" s="189" t="n"/>
      <c r="V211" s="189" t="n"/>
      <c r="W211" s="189" t="n"/>
      <c r="X211" s="189" t="n"/>
      <c r="Y211" s="189" t="n"/>
      <c r="Z211" s="189" t="n"/>
      <c r="AA211" s="189" t="n"/>
      <c r="AB211" s="189" t="n"/>
      <c r="AC211" s="189" t="n"/>
      <c r="AD211" s="189" t="n"/>
      <c r="AE211" s="189" t="n"/>
      <c r="AF211" s="189" t="n"/>
      <c r="AG211" s="189" t="n"/>
      <c r="AH211" s="189" t="n"/>
      <c r="AI211" s="189" t="n"/>
      <c r="AJ211" s="189" t="n"/>
      <c r="AK211" s="189" t="n"/>
      <c r="AL211" s="189" t="n"/>
      <c r="AM211" s="51" t="inlineStr">
        <is>
          <t>U2θ</t>
        </is>
      </c>
    </row>
    <row r="212">
      <c r="C212" s="189" t="n"/>
      <c r="D212" s="189" t="n"/>
      <c r="E212" s="189" t="n"/>
      <c r="F212" s="189" t="n"/>
      <c r="G212" s="189" t="n"/>
      <c r="H212" s="189" t="n"/>
      <c r="I212" s="189" t="n"/>
      <c r="J212" s="189" t="n"/>
      <c r="K212" s="189" t="n"/>
      <c r="L212" s="189" t="n"/>
      <c r="M212" s="189" t="n"/>
      <c r="N212" s="189" t="n"/>
      <c r="O212" s="189" t="n"/>
      <c r="P212" s="189" t="n"/>
      <c r="Q212" s="189" t="n"/>
      <c r="R212" s="189" t="n"/>
      <c r="S212" s="189" t="n"/>
      <c r="T212" s="189" t="n"/>
      <c r="U212" s="189" t="n"/>
      <c r="V212" s="189" t="n"/>
      <c r="W212" s="189" t="n"/>
      <c r="X212" s="189" t="n"/>
      <c r="Y212" s="189" t="n"/>
      <c r="Z212" s="189" t="n"/>
      <c r="AA212" s="189" t="n"/>
      <c r="AB212" s="189" t="n"/>
      <c r="AC212" s="189" t="n"/>
      <c r="AD212" s="189" t="n"/>
      <c r="AE212" s="189" t="n"/>
      <c r="AF212" s="189" t="n"/>
      <c r="AG212" s="189" t="n"/>
      <c r="AH212" s="189" t="n"/>
      <c r="AI212" s="189" t="n"/>
      <c r="AJ212" s="189" t="n"/>
      <c r="AK212" s="189" t="n"/>
      <c r="AL212" s="189" t="n"/>
      <c r="AM212" s="51" t="inlineStr">
        <is>
          <t>U3X</t>
        </is>
      </c>
    </row>
    <row r="213">
      <c r="C213" s="189" t="n"/>
      <c r="D213" s="189" t="n"/>
      <c r="E213" s="189" t="n"/>
      <c r="F213" s="189" t="n"/>
      <c r="G213" s="189" t="n"/>
      <c r="H213" s="189" t="n"/>
      <c r="I213" s="189" t="n"/>
      <c r="J213" s="189" t="n"/>
      <c r="K213" s="189" t="n"/>
      <c r="L213" s="189" t="n"/>
      <c r="M213" s="189" t="n"/>
      <c r="N213" s="189" t="n"/>
      <c r="O213" s="189" t="n"/>
      <c r="P213" s="189" t="n"/>
      <c r="Q213" s="189" t="n"/>
      <c r="R213" s="189" t="n"/>
      <c r="S213" s="189" t="n"/>
      <c r="T213" s="189" t="n"/>
      <c r="U213" s="189" t="n"/>
      <c r="V213" s="189" t="n"/>
      <c r="W213" s="189" t="n"/>
      <c r="X213" s="189" t="n"/>
      <c r="Y213" s="189" t="n"/>
      <c r="Z213" s="189" t="n"/>
      <c r="AA213" s="189" t="n"/>
      <c r="AB213" s="189" t="n"/>
      <c r="AC213" s="189" t="n"/>
      <c r="AD213" s="189" t="n"/>
      <c r="AE213" s="189" t="n"/>
      <c r="AF213" s="189" t="n"/>
      <c r="AG213" s="189" t="n"/>
      <c r="AH213" s="189" t="n"/>
      <c r="AI213" s="189" t="n"/>
      <c r="AJ213" s="189" t="n"/>
      <c r="AK213" s="189" t="n"/>
      <c r="AL213" s="189" t="n"/>
      <c r="AM213" s="51" t="inlineStr">
        <is>
          <t>U3Y</t>
        </is>
      </c>
    </row>
    <row r="214">
      <c r="C214" s="189" t="n"/>
      <c r="D214" s="189" t="n"/>
      <c r="E214" s="189" t="n"/>
      <c r="F214" s="189" t="n"/>
      <c r="G214" s="189" t="n"/>
      <c r="H214" s="189" t="n"/>
      <c r="I214" s="189" t="n"/>
      <c r="J214" s="189" t="n"/>
      <c r="K214" s="189" t="n"/>
      <c r="L214" s="189" t="n"/>
      <c r="M214" s="189" t="n"/>
      <c r="N214" s="189" t="n"/>
      <c r="O214" s="189" t="n"/>
      <c r="P214" s="189" t="n"/>
      <c r="Q214" s="189" t="n"/>
      <c r="R214" s="189" t="n"/>
      <c r="S214" s="189" t="n"/>
      <c r="T214" s="189" t="n"/>
      <c r="U214" s="189" t="n"/>
      <c r="V214" s="189" t="n"/>
      <c r="W214" s="189" t="n"/>
      <c r="X214" s="189" t="n"/>
      <c r="Y214" s="189" t="n"/>
      <c r="Z214" s="189" t="n"/>
      <c r="AA214" s="189" t="n"/>
      <c r="AB214" s="189" t="n"/>
      <c r="AC214" s="189" t="n"/>
      <c r="AD214" s="189" t="n"/>
      <c r="AE214" s="189" t="n"/>
      <c r="AF214" s="189" t="n"/>
      <c r="AG214" s="189" t="n"/>
      <c r="AH214" s="189" t="n"/>
      <c r="AI214" s="189" t="n"/>
      <c r="AJ214" s="189" t="n"/>
      <c r="AK214" s="189" t="n"/>
      <c r="AL214" s="189" t="n"/>
      <c r="AM214" s="51" t="inlineStr">
        <is>
          <t>U3θ</t>
        </is>
      </c>
    </row>
    <row r="215">
      <c r="C215" s="189" t="n"/>
      <c r="D215" s="189" t="n"/>
      <c r="E215" s="189" t="n"/>
      <c r="F215" s="189" t="n"/>
      <c r="G215" s="189" t="n"/>
      <c r="H215" s="189" t="n"/>
      <c r="I215" s="189" t="n"/>
      <c r="J215" s="189" t="n"/>
      <c r="K215" s="189" t="n"/>
      <c r="L215" s="189">
        <f>C198</f>
        <v/>
      </c>
      <c r="M215" s="189">
        <f>D198</f>
        <v/>
      </c>
      <c r="N215" s="189">
        <f>E198</f>
        <v/>
      </c>
      <c r="O215" s="189">
        <f>F198</f>
        <v/>
      </c>
      <c r="P215" s="189">
        <f>G198</f>
        <v/>
      </c>
      <c r="Q215" s="189">
        <f>H198</f>
        <v/>
      </c>
      <c r="R215" s="189" t="n"/>
      <c r="S215" s="189" t="n"/>
      <c r="T215" s="189" t="n"/>
      <c r="U215" s="189" t="n"/>
      <c r="V215" s="189" t="n"/>
      <c r="W215" s="189" t="n"/>
      <c r="X215" s="189" t="n"/>
      <c r="Y215" s="189" t="n"/>
      <c r="Z215" s="189" t="n"/>
      <c r="AA215" s="189" t="n"/>
      <c r="AB215" s="189" t="n"/>
      <c r="AC215" s="189" t="n"/>
      <c r="AD215" s="189" t="n"/>
      <c r="AE215" s="189" t="n"/>
      <c r="AF215" s="189" t="n"/>
      <c r="AG215" s="189" t="n"/>
      <c r="AH215" s="189" t="n"/>
      <c r="AI215" s="189" t="n"/>
      <c r="AJ215" s="189" t="n"/>
      <c r="AK215" s="189" t="n"/>
      <c r="AL215" s="189" t="n"/>
      <c r="AM215" s="51" t="inlineStr">
        <is>
          <t>U4X</t>
        </is>
      </c>
    </row>
    <row r="216">
      <c r="C216" s="189" t="n"/>
      <c r="D216" s="189" t="n"/>
      <c r="E216" s="189" t="n"/>
      <c r="F216" s="189" t="n"/>
      <c r="G216" s="189" t="n"/>
      <c r="H216" s="189" t="n"/>
      <c r="I216" s="189" t="n"/>
      <c r="J216" s="189" t="n"/>
      <c r="K216" s="189" t="n"/>
      <c r="L216" s="189">
        <f>C199</f>
        <v/>
      </c>
      <c r="M216" s="189">
        <f>D199</f>
        <v/>
      </c>
      <c r="N216" s="189">
        <f>E199</f>
        <v/>
      </c>
      <c r="O216" s="189">
        <f>F199</f>
        <v/>
      </c>
      <c r="P216" s="189">
        <f>G199</f>
        <v/>
      </c>
      <c r="Q216" s="189">
        <f>H199</f>
        <v/>
      </c>
      <c r="R216" s="189" t="n"/>
      <c r="S216" s="189" t="n"/>
      <c r="T216" s="189" t="n"/>
      <c r="U216" s="189" t="n"/>
      <c r="V216" s="189" t="n"/>
      <c r="W216" s="189" t="n"/>
      <c r="X216" s="189" t="n"/>
      <c r="Y216" s="189" t="n"/>
      <c r="Z216" s="189" t="n"/>
      <c r="AA216" s="189" t="n"/>
      <c r="AB216" s="189" t="n"/>
      <c r="AC216" s="189" t="n"/>
      <c r="AD216" s="189" t="n"/>
      <c r="AE216" s="189" t="n"/>
      <c r="AF216" s="189" t="n"/>
      <c r="AG216" s="189" t="n"/>
      <c r="AH216" s="189" t="n"/>
      <c r="AI216" s="189" t="n"/>
      <c r="AJ216" s="189" t="n"/>
      <c r="AK216" s="189" t="n"/>
      <c r="AL216" s="189" t="n"/>
      <c r="AM216" s="51" t="inlineStr">
        <is>
          <t>U4Y</t>
        </is>
      </c>
    </row>
    <row r="217">
      <c r="C217" s="189" t="n"/>
      <c r="D217" s="189" t="n"/>
      <c r="E217" s="189" t="n"/>
      <c r="F217" s="189" t="n"/>
      <c r="G217" s="189" t="n"/>
      <c r="H217" s="189" t="n"/>
      <c r="I217" s="189" t="n"/>
      <c r="J217" s="189" t="n"/>
      <c r="K217" s="189" t="n"/>
      <c r="L217" s="189">
        <f>C200</f>
        <v/>
      </c>
      <c r="M217" s="189">
        <f>D200</f>
        <v/>
      </c>
      <c r="N217" s="189">
        <f>E200</f>
        <v/>
      </c>
      <c r="O217" s="189">
        <f>F200</f>
        <v/>
      </c>
      <c r="P217" s="189">
        <f>G200</f>
        <v/>
      </c>
      <c r="Q217" s="189">
        <f>H200</f>
        <v/>
      </c>
      <c r="R217" s="189" t="n"/>
      <c r="S217" s="189" t="n"/>
      <c r="T217" s="189" t="n"/>
      <c r="U217" s="189" t="n"/>
      <c r="V217" s="189" t="n"/>
      <c r="W217" s="189" t="n"/>
      <c r="X217" s="189" t="n"/>
      <c r="Y217" s="189" t="n"/>
      <c r="Z217" s="189" t="n"/>
      <c r="AA217" s="189" t="n"/>
      <c r="AB217" s="189" t="n"/>
      <c r="AC217" s="189" t="n"/>
      <c r="AD217" s="189" t="n"/>
      <c r="AE217" s="189" t="n"/>
      <c r="AF217" s="189" t="n"/>
      <c r="AG217" s="189" t="n"/>
      <c r="AH217" s="189" t="n"/>
      <c r="AI217" s="189" t="n"/>
      <c r="AJ217" s="189" t="n"/>
      <c r="AK217" s="189" t="n"/>
      <c r="AL217" s="189" t="n"/>
      <c r="AM217" s="51" t="inlineStr">
        <is>
          <t>U4θ</t>
        </is>
      </c>
    </row>
    <row r="218">
      <c r="C218" s="189" t="n"/>
      <c r="D218" s="189" t="n"/>
      <c r="E218" s="189" t="n"/>
      <c r="F218" s="189" t="n"/>
      <c r="G218" s="189" t="n"/>
      <c r="H218" s="189" t="n"/>
      <c r="I218" s="189" t="n"/>
      <c r="J218" s="189" t="n"/>
      <c r="K218" s="189" t="n"/>
      <c r="L218" s="189">
        <f>C201</f>
        <v/>
      </c>
      <c r="M218" s="189">
        <f>D201</f>
        <v/>
      </c>
      <c r="N218" s="189">
        <f>E201</f>
        <v/>
      </c>
      <c r="O218" s="189">
        <f>F201</f>
        <v/>
      </c>
      <c r="P218" s="189">
        <f>G201</f>
        <v/>
      </c>
      <c r="Q218" s="189">
        <f>H201</f>
        <v/>
      </c>
      <c r="R218" s="189" t="n"/>
      <c r="S218" s="189" t="n"/>
      <c r="T218" s="189" t="n"/>
      <c r="U218" s="189" t="n"/>
      <c r="V218" s="189" t="n"/>
      <c r="W218" s="189" t="n"/>
      <c r="X218" s="189" t="n"/>
      <c r="Y218" s="189" t="n"/>
      <c r="Z218" s="189" t="n"/>
      <c r="AA218" s="189" t="n"/>
      <c r="AB218" s="189" t="n"/>
      <c r="AC218" s="189" t="n"/>
      <c r="AD218" s="189" t="n"/>
      <c r="AE218" s="189" t="n"/>
      <c r="AF218" s="189" t="n"/>
      <c r="AG218" s="189" t="n"/>
      <c r="AH218" s="189" t="n"/>
      <c r="AI218" s="189" t="n"/>
      <c r="AJ218" s="189" t="n"/>
      <c r="AK218" s="189" t="n"/>
      <c r="AL218" s="189" t="n"/>
      <c r="AM218" s="51" t="inlineStr">
        <is>
          <t>U5X</t>
        </is>
      </c>
    </row>
    <row r="219">
      <c r="C219" s="189" t="n"/>
      <c r="D219" s="189" t="n"/>
      <c r="E219" s="189" t="n"/>
      <c r="F219" s="189" t="n"/>
      <c r="G219" s="189" t="n"/>
      <c r="H219" s="189" t="n"/>
      <c r="I219" s="189" t="n"/>
      <c r="J219" s="189" t="n"/>
      <c r="K219" s="189" t="n"/>
      <c r="L219" s="189">
        <f>C202</f>
        <v/>
      </c>
      <c r="M219" s="189">
        <f>D202</f>
        <v/>
      </c>
      <c r="N219" s="189">
        <f>E202</f>
        <v/>
      </c>
      <c r="O219" s="189">
        <f>F202</f>
        <v/>
      </c>
      <c r="P219" s="189">
        <f>G202</f>
        <v/>
      </c>
      <c r="Q219" s="189">
        <f>H202</f>
        <v/>
      </c>
      <c r="R219" s="189" t="n"/>
      <c r="S219" s="189" t="n"/>
      <c r="T219" s="189" t="n"/>
      <c r="U219" s="189" t="n"/>
      <c r="V219" s="189" t="n"/>
      <c r="W219" s="189" t="n"/>
      <c r="X219" s="189" t="n"/>
      <c r="Y219" s="189" t="n"/>
      <c r="Z219" s="189" t="n"/>
      <c r="AA219" s="189" t="n"/>
      <c r="AB219" s="189" t="n"/>
      <c r="AC219" s="189" t="n"/>
      <c r="AD219" s="189" t="n"/>
      <c r="AE219" s="189" t="n"/>
      <c r="AF219" s="189" t="n"/>
      <c r="AG219" s="189" t="n"/>
      <c r="AH219" s="189" t="n"/>
      <c r="AI219" s="189" t="n"/>
      <c r="AJ219" s="189" t="n"/>
      <c r="AK219" s="189" t="n"/>
      <c r="AL219" s="189" t="n"/>
      <c r="AM219" s="51" t="inlineStr">
        <is>
          <t>U5Y</t>
        </is>
      </c>
    </row>
    <row r="220">
      <c r="C220" s="189" t="n"/>
      <c r="D220" s="189" t="n"/>
      <c r="E220" s="189" t="n"/>
      <c r="F220" s="189" t="n"/>
      <c r="G220" s="189" t="n"/>
      <c r="H220" s="189" t="n"/>
      <c r="I220" s="189" t="n"/>
      <c r="J220" s="189" t="n"/>
      <c r="K220" s="189" t="n"/>
      <c r="L220" s="189">
        <f>C203</f>
        <v/>
      </c>
      <c r="M220" s="189">
        <f>D203</f>
        <v/>
      </c>
      <c r="N220" s="189">
        <f>E203</f>
        <v/>
      </c>
      <c r="O220" s="189">
        <f>F203</f>
        <v/>
      </c>
      <c r="P220" s="189">
        <f>G203</f>
        <v/>
      </c>
      <c r="Q220" s="189">
        <f>H203</f>
        <v/>
      </c>
      <c r="R220" s="189" t="n"/>
      <c r="S220" s="189" t="n"/>
      <c r="T220" s="189" t="n"/>
      <c r="U220" s="189" t="n"/>
      <c r="V220" s="189" t="n"/>
      <c r="W220" s="189" t="n"/>
      <c r="X220" s="189" t="n"/>
      <c r="Y220" s="189" t="n"/>
      <c r="Z220" s="189" t="n"/>
      <c r="AA220" s="189" t="n"/>
      <c r="AB220" s="189" t="n"/>
      <c r="AC220" s="189" t="n"/>
      <c r="AD220" s="189" t="n"/>
      <c r="AE220" s="189" t="n"/>
      <c r="AF220" s="189" t="n"/>
      <c r="AG220" s="189" t="n"/>
      <c r="AH220" s="189" t="n"/>
      <c r="AI220" s="189" t="n"/>
      <c r="AJ220" s="189" t="n"/>
      <c r="AK220" s="189" t="n"/>
      <c r="AL220" s="189" t="n"/>
      <c r="AM220" s="51" t="inlineStr">
        <is>
          <t>U5θ</t>
        </is>
      </c>
    </row>
    <row r="221">
      <c r="C221" s="189" t="n"/>
      <c r="D221" s="189" t="n"/>
      <c r="E221" s="189" t="n"/>
      <c r="F221" s="189" t="n"/>
      <c r="G221" s="189" t="n"/>
      <c r="H221" s="189" t="n"/>
      <c r="I221" s="189" t="n"/>
      <c r="J221" s="189" t="n"/>
      <c r="K221" s="189" t="n"/>
      <c r="L221" s="189" t="n"/>
      <c r="M221" s="189" t="n"/>
      <c r="N221" s="189" t="n"/>
      <c r="O221" s="189" t="n"/>
      <c r="P221" s="189" t="n"/>
      <c r="Q221" s="189" t="n"/>
      <c r="R221" s="189" t="n"/>
      <c r="S221" s="189" t="n"/>
      <c r="T221" s="189" t="n"/>
      <c r="U221" s="189" t="n"/>
      <c r="V221" s="189" t="n"/>
      <c r="W221" s="189" t="n"/>
      <c r="X221" s="189" t="n"/>
      <c r="Y221" s="189" t="n"/>
      <c r="Z221" s="189" t="n"/>
      <c r="AA221" s="189" t="n"/>
      <c r="AB221" s="189" t="n"/>
      <c r="AC221" s="189" t="n"/>
      <c r="AD221" s="189" t="n"/>
      <c r="AE221" s="189" t="n"/>
      <c r="AF221" s="189" t="n"/>
      <c r="AG221" s="189" t="n"/>
      <c r="AH221" s="189" t="n"/>
      <c r="AI221" s="189" t="n"/>
      <c r="AJ221" s="189" t="n"/>
      <c r="AK221" s="189" t="n"/>
      <c r="AL221" s="189" t="n"/>
      <c r="AM221" s="51" t="inlineStr">
        <is>
          <t>U6X</t>
        </is>
      </c>
    </row>
    <row r="222">
      <c r="C222" s="189" t="n"/>
      <c r="D222" s="189" t="n"/>
      <c r="E222" s="189" t="n"/>
      <c r="F222" s="189" t="n"/>
      <c r="G222" s="189" t="n"/>
      <c r="H222" s="189" t="n"/>
      <c r="I222" s="189" t="n"/>
      <c r="J222" s="189" t="n"/>
      <c r="K222" s="189" t="n"/>
      <c r="L222" s="189" t="n"/>
      <c r="M222" s="189" t="n"/>
      <c r="N222" s="189" t="n"/>
      <c r="O222" s="189" t="n"/>
      <c r="P222" s="189" t="n"/>
      <c r="Q222" s="189" t="n"/>
      <c r="R222" s="189" t="n"/>
      <c r="S222" s="189" t="n"/>
      <c r="T222" s="189" t="n"/>
      <c r="U222" s="189" t="n"/>
      <c r="V222" s="189" t="n"/>
      <c r="W222" s="189" t="n"/>
      <c r="X222" s="189" t="n"/>
      <c r="Y222" s="189" t="n"/>
      <c r="Z222" s="189" t="n"/>
      <c r="AA222" s="189" t="n"/>
      <c r="AB222" s="189" t="n"/>
      <c r="AC222" s="189" t="n"/>
      <c r="AD222" s="189" t="n"/>
      <c r="AE222" s="189" t="n"/>
      <c r="AF222" s="189" t="n"/>
      <c r="AG222" s="189" t="n"/>
      <c r="AH222" s="189" t="n"/>
      <c r="AI222" s="189" t="n"/>
      <c r="AJ222" s="189" t="n"/>
      <c r="AK222" s="189" t="n"/>
      <c r="AL222" s="189" t="n"/>
      <c r="AM222" s="51" t="inlineStr">
        <is>
          <t>U6Y</t>
        </is>
      </c>
    </row>
    <row r="223">
      <c r="B223" s="118" t="inlineStr">
        <is>
          <t>K4 =</t>
        </is>
      </c>
      <c r="C223" s="189" t="n"/>
      <c r="D223" s="189" t="n"/>
      <c r="E223" s="189" t="n"/>
      <c r="F223" s="189" t="n"/>
      <c r="G223" s="189" t="n"/>
      <c r="H223" s="189" t="n"/>
      <c r="I223" s="189" t="n"/>
      <c r="J223" s="189" t="n"/>
      <c r="K223" s="189" t="n"/>
      <c r="L223" s="189" t="n"/>
      <c r="M223" s="189" t="n"/>
      <c r="N223" s="189" t="n"/>
      <c r="O223" s="189" t="n"/>
      <c r="P223" s="189" t="n"/>
      <c r="Q223" s="189" t="n"/>
      <c r="R223" s="189" t="n"/>
      <c r="S223" s="189" t="n"/>
      <c r="T223" s="189" t="n"/>
      <c r="U223" s="189" t="n"/>
      <c r="V223" s="189" t="n"/>
      <c r="W223" s="189" t="n"/>
      <c r="X223" s="189" t="n"/>
      <c r="Y223" s="189" t="n"/>
      <c r="Z223" s="189" t="n"/>
      <c r="AA223" s="189" t="n"/>
      <c r="AB223" s="189" t="n"/>
      <c r="AC223" s="189" t="n"/>
      <c r="AD223" s="189" t="n"/>
      <c r="AE223" s="189" t="n"/>
      <c r="AF223" s="189" t="n"/>
      <c r="AG223" s="189" t="n"/>
      <c r="AH223" s="189" t="n"/>
      <c r="AI223" s="189" t="n"/>
      <c r="AJ223" s="189" t="n"/>
      <c r="AK223" s="189" t="n"/>
      <c r="AL223" s="189" t="n"/>
      <c r="AM223" s="51" t="inlineStr">
        <is>
          <t>U6θ</t>
        </is>
      </c>
    </row>
    <row r="224">
      <c r="C224" s="189" t="n"/>
      <c r="D224" s="189" t="n"/>
      <c r="E224" s="189" t="n"/>
      <c r="F224" s="189" t="n"/>
      <c r="G224" s="189" t="n"/>
      <c r="H224" s="189" t="n"/>
      <c r="I224" s="189" t="n"/>
      <c r="J224" s="189" t="n"/>
      <c r="K224" s="189" t="n"/>
      <c r="L224" s="189" t="n"/>
      <c r="M224" s="189" t="n"/>
      <c r="N224" s="189" t="n"/>
      <c r="O224" s="189" t="n"/>
      <c r="P224" s="189" t="n"/>
      <c r="Q224" s="189" t="n"/>
      <c r="R224" s="189" t="n"/>
      <c r="S224" s="189" t="n"/>
      <c r="T224" s="189" t="n"/>
      <c r="U224" s="189" t="n"/>
      <c r="V224" s="189" t="n"/>
      <c r="W224" s="189" t="n"/>
      <c r="X224" s="189" t="n"/>
      <c r="Y224" s="189" t="n"/>
      <c r="Z224" s="189" t="n"/>
      <c r="AA224" s="189" t="n"/>
      <c r="AB224" s="189" t="n"/>
      <c r="AC224" s="189" t="n"/>
      <c r="AD224" s="189" t="n"/>
      <c r="AE224" s="189" t="n"/>
      <c r="AF224" s="189" t="n"/>
      <c r="AG224" s="189" t="n"/>
      <c r="AH224" s="189" t="n"/>
      <c r="AI224" s="189" t="n"/>
      <c r="AJ224" s="189" t="n"/>
      <c r="AK224" s="189" t="n"/>
      <c r="AL224" s="189" t="n"/>
      <c r="AM224" s="51" t="inlineStr">
        <is>
          <t>U7X</t>
        </is>
      </c>
    </row>
    <row r="225">
      <c r="C225" s="189" t="n"/>
      <c r="D225" s="189" t="n"/>
      <c r="E225" s="189" t="n"/>
      <c r="F225" s="189" t="n"/>
      <c r="G225" s="189" t="n"/>
      <c r="H225" s="189" t="n"/>
      <c r="I225" s="189" t="n"/>
      <c r="J225" s="189" t="n"/>
      <c r="K225" s="189" t="n"/>
      <c r="L225" s="189" t="n"/>
      <c r="M225" s="189" t="n"/>
      <c r="N225" s="189" t="n"/>
      <c r="O225" s="189" t="n"/>
      <c r="P225" s="189" t="n"/>
      <c r="Q225" s="189" t="n"/>
      <c r="R225" s="189" t="n"/>
      <c r="S225" s="189" t="n"/>
      <c r="T225" s="189" t="n"/>
      <c r="U225" s="189" t="n"/>
      <c r="V225" s="189" t="n"/>
      <c r="W225" s="189" t="n"/>
      <c r="X225" s="189" t="n"/>
      <c r="Y225" s="189" t="n"/>
      <c r="Z225" s="189" t="n"/>
      <c r="AA225" s="189" t="n"/>
      <c r="AB225" s="189" t="n"/>
      <c r="AC225" s="189" t="n"/>
      <c r="AD225" s="189" t="n"/>
      <c r="AE225" s="189" t="n"/>
      <c r="AF225" s="189" t="n"/>
      <c r="AG225" s="189" t="n"/>
      <c r="AH225" s="189" t="n"/>
      <c r="AI225" s="189" t="n"/>
      <c r="AJ225" s="189" t="n"/>
      <c r="AK225" s="189" t="n"/>
      <c r="AL225" s="189" t="n"/>
      <c r="AM225" s="51" t="inlineStr">
        <is>
          <t>U7Y</t>
        </is>
      </c>
    </row>
    <row r="226">
      <c r="C226" s="189" t="n"/>
      <c r="D226" s="189" t="n"/>
      <c r="E226" s="189" t="n"/>
      <c r="F226" s="189" t="n"/>
      <c r="G226" s="189" t="n"/>
      <c r="H226" s="189" t="n"/>
      <c r="I226" s="189" t="n"/>
      <c r="J226" s="189" t="n"/>
      <c r="K226" s="189" t="n"/>
      <c r="L226" s="189" t="n"/>
      <c r="M226" s="189" t="n"/>
      <c r="N226" s="189" t="n"/>
      <c r="O226" s="189" t="n"/>
      <c r="P226" s="189" t="n"/>
      <c r="Q226" s="189" t="n"/>
      <c r="R226" s="189" t="n"/>
      <c r="S226" s="189" t="n"/>
      <c r="T226" s="189" t="n"/>
      <c r="U226" s="189" t="n"/>
      <c r="V226" s="189" t="n"/>
      <c r="W226" s="189" t="n"/>
      <c r="X226" s="189" t="n"/>
      <c r="Y226" s="189" t="n"/>
      <c r="Z226" s="189" t="n"/>
      <c r="AA226" s="189" t="n"/>
      <c r="AB226" s="189" t="n"/>
      <c r="AC226" s="189" t="n"/>
      <c r="AD226" s="189" t="n"/>
      <c r="AE226" s="189" t="n"/>
      <c r="AF226" s="189" t="n"/>
      <c r="AG226" s="189" t="n"/>
      <c r="AH226" s="189" t="n"/>
      <c r="AI226" s="189" t="n"/>
      <c r="AJ226" s="189" t="n"/>
      <c r="AK226" s="189" t="n"/>
      <c r="AL226" s="189" t="n"/>
      <c r="AM226" s="51" t="inlineStr">
        <is>
          <t>U7θ</t>
        </is>
      </c>
    </row>
    <row r="227">
      <c r="C227" s="189" t="n"/>
      <c r="D227" s="189" t="n"/>
      <c r="E227" s="189" t="n"/>
      <c r="F227" s="189" t="n"/>
      <c r="G227" s="189" t="n"/>
      <c r="H227" s="189" t="n"/>
      <c r="I227" s="189" t="n"/>
      <c r="J227" s="189" t="n"/>
      <c r="K227" s="189" t="n"/>
      <c r="L227" s="189" t="n"/>
      <c r="M227" s="189" t="n"/>
      <c r="N227" s="189" t="n"/>
      <c r="O227" s="189" t="n"/>
      <c r="P227" s="189" t="n"/>
      <c r="Q227" s="189" t="n"/>
      <c r="R227" s="189" t="n"/>
      <c r="S227" s="189" t="n"/>
      <c r="T227" s="189" t="n"/>
      <c r="U227" s="189" t="n"/>
      <c r="V227" s="189" t="n"/>
      <c r="W227" s="189" t="n"/>
      <c r="X227" s="189" t="n"/>
      <c r="Y227" s="189" t="n"/>
      <c r="Z227" s="189" t="n"/>
      <c r="AA227" s="189" t="n"/>
      <c r="AB227" s="189" t="n"/>
      <c r="AC227" s="189" t="n"/>
      <c r="AD227" s="189" t="n"/>
      <c r="AE227" s="189" t="n"/>
      <c r="AF227" s="189" t="n"/>
      <c r="AG227" s="189" t="n"/>
      <c r="AH227" s="189" t="n"/>
      <c r="AI227" s="189" t="n"/>
      <c r="AJ227" s="189" t="n"/>
      <c r="AK227" s="189" t="n"/>
      <c r="AL227" s="189" t="n"/>
      <c r="AM227" s="51" t="inlineStr">
        <is>
          <t>U8X</t>
        </is>
      </c>
    </row>
    <row r="228">
      <c r="C228" s="189" t="n"/>
      <c r="D228" s="189" t="n"/>
      <c r="E228" s="189" t="n"/>
      <c r="F228" s="189" t="n"/>
      <c r="G228" s="189" t="n"/>
      <c r="H228" s="189" t="n"/>
      <c r="I228" s="189" t="n"/>
      <c r="J228" s="189" t="n"/>
      <c r="K228" s="189" t="n"/>
      <c r="L228" s="189" t="n"/>
      <c r="M228" s="189" t="n"/>
      <c r="N228" s="189" t="n"/>
      <c r="O228" s="189" t="n"/>
      <c r="P228" s="189" t="n"/>
      <c r="Q228" s="189" t="n"/>
      <c r="R228" s="189" t="n"/>
      <c r="S228" s="189" t="n"/>
      <c r="T228" s="189" t="n"/>
      <c r="U228" s="189" t="n"/>
      <c r="V228" s="189" t="n"/>
      <c r="W228" s="189" t="n"/>
      <c r="X228" s="189" t="n"/>
      <c r="Y228" s="189" t="n"/>
      <c r="Z228" s="189" t="n"/>
      <c r="AA228" s="189" t="n"/>
      <c r="AB228" s="189" t="n"/>
      <c r="AC228" s="189" t="n"/>
      <c r="AD228" s="189" t="n"/>
      <c r="AE228" s="189" t="n"/>
      <c r="AF228" s="189" t="n"/>
      <c r="AG228" s="189" t="n"/>
      <c r="AH228" s="189" t="n"/>
      <c r="AI228" s="189" t="n"/>
      <c r="AJ228" s="189" t="n"/>
      <c r="AK228" s="189" t="n"/>
      <c r="AL228" s="189" t="n"/>
      <c r="AM228" s="51" t="inlineStr">
        <is>
          <t>U8Y</t>
        </is>
      </c>
    </row>
    <row r="229">
      <c r="C229" s="189" t="n"/>
      <c r="D229" s="189" t="n"/>
      <c r="E229" s="189" t="n"/>
      <c r="F229" s="189" t="n"/>
      <c r="G229" s="189" t="n"/>
      <c r="H229" s="189" t="n"/>
      <c r="I229" s="189" t="n"/>
      <c r="J229" s="189" t="n"/>
      <c r="K229" s="189" t="n"/>
      <c r="L229" s="189" t="n"/>
      <c r="M229" s="189" t="n"/>
      <c r="N229" s="189" t="n"/>
      <c r="O229" s="189" t="n"/>
      <c r="P229" s="189" t="n"/>
      <c r="Q229" s="189" t="n"/>
      <c r="R229" s="189" t="n"/>
      <c r="S229" s="189" t="n"/>
      <c r="T229" s="189" t="n"/>
      <c r="U229" s="189" t="n"/>
      <c r="V229" s="189" t="n"/>
      <c r="W229" s="189" t="n"/>
      <c r="X229" s="189" t="n"/>
      <c r="Y229" s="189" t="n"/>
      <c r="Z229" s="189" t="n"/>
      <c r="AA229" s="189" t="n"/>
      <c r="AB229" s="189" t="n"/>
      <c r="AC229" s="189" t="n"/>
      <c r="AD229" s="189" t="n"/>
      <c r="AE229" s="189" t="n"/>
      <c r="AF229" s="189" t="n"/>
      <c r="AG229" s="189" t="n"/>
      <c r="AH229" s="189" t="n"/>
      <c r="AI229" s="189" t="n"/>
      <c r="AJ229" s="189" t="n"/>
      <c r="AK229" s="189" t="n"/>
      <c r="AL229" s="189" t="n"/>
      <c r="AM229" s="51" t="inlineStr">
        <is>
          <t>U8θ</t>
        </is>
      </c>
    </row>
    <row r="230">
      <c r="C230" s="189" t="n"/>
      <c r="D230" s="189" t="n"/>
      <c r="E230" s="189" t="n"/>
      <c r="F230" s="189" t="n"/>
      <c r="G230" s="189" t="n"/>
      <c r="H230" s="189" t="n"/>
      <c r="I230" s="189" t="n"/>
      <c r="J230" s="189" t="n"/>
      <c r="K230" s="189" t="n"/>
      <c r="L230" s="189" t="n"/>
      <c r="M230" s="189" t="n"/>
      <c r="N230" s="189" t="n"/>
      <c r="O230" s="189" t="n"/>
      <c r="P230" s="189" t="n"/>
      <c r="Q230" s="189" t="n"/>
      <c r="R230" s="189" t="n"/>
      <c r="S230" s="189" t="n"/>
      <c r="T230" s="189" t="n"/>
      <c r="U230" s="189" t="n"/>
      <c r="V230" s="189" t="n"/>
      <c r="W230" s="189" t="n"/>
      <c r="X230" s="189" t="n"/>
      <c r="Y230" s="189" t="n"/>
      <c r="Z230" s="189" t="n"/>
      <c r="AA230" s="189" t="n"/>
      <c r="AB230" s="189" t="n"/>
      <c r="AC230" s="189" t="n"/>
      <c r="AD230" s="189" t="n"/>
      <c r="AE230" s="189" t="n"/>
      <c r="AF230" s="189" t="n"/>
      <c r="AG230" s="189" t="n"/>
      <c r="AH230" s="189" t="n"/>
      <c r="AI230" s="189" t="n"/>
      <c r="AJ230" s="189" t="n"/>
      <c r="AK230" s="189" t="n"/>
      <c r="AL230" s="189" t="n"/>
      <c r="AM230" s="51" t="inlineStr">
        <is>
          <t>U9X</t>
        </is>
      </c>
    </row>
    <row r="231">
      <c r="C231" s="189" t="n"/>
      <c r="D231" s="189" t="n"/>
      <c r="E231" s="189" t="n"/>
      <c r="F231" s="189" t="n"/>
      <c r="G231" s="189" t="n"/>
      <c r="H231" s="189" t="n"/>
      <c r="I231" s="189" t="n"/>
      <c r="J231" s="189" t="n"/>
      <c r="K231" s="189" t="n"/>
      <c r="L231" s="189" t="n"/>
      <c r="M231" s="189" t="n"/>
      <c r="N231" s="189" t="n"/>
      <c r="O231" s="189" t="n"/>
      <c r="P231" s="189" t="n"/>
      <c r="Q231" s="189" t="n"/>
      <c r="R231" s="189" t="n"/>
      <c r="S231" s="189" t="n"/>
      <c r="T231" s="189" t="n"/>
      <c r="U231" s="189" t="n"/>
      <c r="V231" s="189" t="n"/>
      <c r="W231" s="189" t="n"/>
      <c r="X231" s="189" t="n"/>
      <c r="Y231" s="189" t="n"/>
      <c r="Z231" s="189" t="n"/>
      <c r="AA231" s="189" t="n"/>
      <c r="AB231" s="189" t="n"/>
      <c r="AC231" s="189" t="n"/>
      <c r="AD231" s="189" t="n"/>
      <c r="AE231" s="189" t="n"/>
      <c r="AF231" s="189" t="n"/>
      <c r="AG231" s="189" t="n"/>
      <c r="AH231" s="189" t="n"/>
      <c r="AI231" s="189" t="n"/>
      <c r="AJ231" s="189" t="n"/>
      <c r="AK231" s="189" t="n"/>
      <c r="AL231" s="189" t="n"/>
      <c r="AM231" s="51" t="inlineStr">
        <is>
          <t>U9Y</t>
        </is>
      </c>
    </row>
    <row r="232">
      <c r="C232" s="189" t="n"/>
      <c r="D232" s="189" t="n"/>
      <c r="E232" s="189" t="n"/>
      <c r="F232" s="189" t="n"/>
      <c r="G232" s="189" t="n"/>
      <c r="H232" s="189" t="n"/>
      <c r="I232" s="189" t="n"/>
      <c r="J232" s="189" t="n"/>
      <c r="K232" s="189" t="n"/>
      <c r="L232" s="189" t="n"/>
      <c r="M232" s="189" t="n"/>
      <c r="N232" s="189" t="n"/>
      <c r="O232" s="189" t="n"/>
      <c r="P232" s="189" t="n"/>
      <c r="Q232" s="189" t="n"/>
      <c r="R232" s="189" t="n"/>
      <c r="S232" s="189" t="n"/>
      <c r="T232" s="189" t="n"/>
      <c r="U232" s="189" t="n"/>
      <c r="V232" s="189" t="n"/>
      <c r="W232" s="189" t="n"/>
      <c r="X232" s="189" t="n"/>
      <c r="Y232" s="189" t="n"/>
      <c r="Z232" s="189" t="n"/>
      <c r="AA232" s="189" t="n"/>
      <c r="AB232" s="189" t="n"/>
      <c r="AC232" s="189" t="n"/>
      <c r="AD232" s="189" t="n"/>
      <c r="AE232" s="189" t="n"/>
      <c r="AF232" s="189" t="n"/>
      <c r="AG232" s="189" t="n"/>
      <c r="AH232" s="189" t="n"/>
      <c r="AI232" s="189" t="n"/>
      <c r="AJ232" s="189" t="n"/>
      <c r="AK232" s="189" t="n"/>
      <c r="AL232" s="189" t="n"/>
      <c r="AM232" s="51" t="inlineStr">
        <is>
          <t>U9θ</t>
        </is>
      </c>
    </row>
    <row r="233">
      <c r="C233" s="189" t="n"/>
      <c r="D233" s="189" t="n"/>
      <c r="E233" s="189" t="n"/>
      <c r="F233" s="189" t="n"/>
      <c r="G233" s="189" t="n"/>
      <c r="H233" s="189" t="n"/>
      <c r="I233" s="189" t="n"/>
      <c r="J233" s="189" t="n"/>
      <c r="K233" s="189" t="n"/>
      <c r="L233" s="189" t="n"/>
      <c r="M233" s="189" t="n"/>
      <c r="N233" s="189" t="n"/>
      <c r="O233" s="189" t="n"/>
      <c r="P233" s="189" t="n"/>
      <c r="Q233" s="189" t="n"/>
      <c r="R233" s="189" t="n"/>
      <c r="S233" s="189" t="n"/>
      <c r="T233" s="189" t="n"/>
      <c r="U233" s="189" t="n"/>
      <c r="V233" s="189" t="n"/>
      <c r="W233" s="189" t="n"/>
      <c r="X233" s="189" t="n"/>
      <c r="Y233" s="189" t="n"/>
      <c r="Z233" s="189" t="n"/>
      <c r="AA233" s="189" t="n"/>
      <c r="AB233" s="189" t="n"/>
      <c r="AC233" s="189" t="n"/>
      <c r="AD233" s="189" t="n"/>
      <c r="AE233" s="189" t="n"/>
      <c r="AF233" s="189" t="n"/>
      <c r="AG233" s="189" t="n"/>
      <c r="AH233" s="189" t="n"/>
      <c r="AI233" s="189" t="n"/>
      <c r="AJ233" s="189" t="n"/>
      <c r="AK233" s="189" t="n"/>
      <c r="AL233" s="189" t="n"/>
      <c r="AM233" s="51" t="inlineStr">
        <is>
          <t>U10X</t>
        </is>
      </c>
    </row>
    <row r="234">
      <c r="C234" s="189" t="n"/>
      <c r="D234" s="189" t="n"/>
      <c r="E234" s="189" t="n"/>
      <c r="F234" s="189" t="n"/>
      <c r="G234" s="189" t="n"/>
      <c r="H234" s="189" t="n"/>
      <c r="I234" s="189" t="n"/>
      <c r="J234" s="189" t="n"/>
      <c r="K234" s="189" t="n"/>
      <c r="L234" s="189" t="n"/>
      <c r="M234" s="189" t="n"/>
      <c r="N234" s="189" t="n"/>
      <c r="O234" s="189" t="n"/>
      <c r="P234" s="189" t="n"/>
      <c r="Q234" s="189" t="n"/>
      <c r="R234" s="189" t="n"/>
      <c r="S234" s="189" t="n"/>
      <c r="T234" s="189" t="n"/>
      <c r="U234" s="189" t="n"/>
      <c r="V234" s="189" t="n"/>
      <c r="W234" s="189" t="n"/>
      <c r="X234" s="189" t="n"/>
      <c r="Y234" s="189" t="n"/>
      <c r="Z234" s="189" t="n"/>
      <c r="AA234" s="189" t="n"/>
      <c r="AB234" s="189" t="n"/>
      <c r="AC234" s="189" t="n"/>
      <c r="AD234" s="189" t="n"/>
      <c r="AE234" s="189" t="n"/>
      <c r="AF234" s="189" t="n"/>
      <c r="AG234" s="189" t="n"/>
      <c r="AH234" s="189" t="n"/>
      <c r="AI234" s="189" t="n"/>
      <c r="AJ234" s="189" t="n"/>
      <c r="AK234" s="189" t="n"/>
      <c r="AL234" s="189" t="n"/>
      <c r="AM234" s="51" t="inlineStr">
        <is>
          <t>U10Y</t>
        </is>
      </c>
    </row>
    <row r="235">
      <c r="C235" s="189" t="n"/>
      <c r="D235" s="189" t="n"/>
      <c r="E235" s="189" t="n"/>
      <c r="F235" s="189" t="n"/>
      <c r="G235" s="189" t="n"/>
      <c r="H235" s="189" t="n"/>
      <c r="I235" s="189" t="n"/>
      <c r="J235" s="189" t="n"/>
      <c r="K235" s="189" t="n"/>
      <c r="L235" s="189" t="n"/>
      <c r="M235" s="189" t="n"/>
      <c r="N235" s="189" t="n"/>
      <c r="O235" s="189" t="n"/>
      <c r="P235" s="189" t="n"/>
      <c r="Q235" s="189" t="n"/>
      <c r="R235" s="189" t="n"/>
      <c r="S235" s="189" t="n"/>
      <c r="T235" s="189" t="n"/>
      <c r="U235" s="189" t="n"/>
      <c r="V235" s="189" t="n"/>
      <c r="W235" s="189" t="n"/>
      <c r="X235" s="189" t="n"/>
      <c r="Y235" s="189" t="n"/>
      <c r="Z235" s="189" t="n"/>
      <c r="AA235" s="189" t="n"/>
      <c r="AB235" s="189" t="n"/>
      <c r="AC235" s="189" t="n"/>
      <c r="AD235" s="189" t="n"/>
      <c r="AE235" s="189" t="n"/>
      <c r="AF235" s="189" t="n"/>
      <c r="AG235" s="189" t="n"/>
      <c r="AH235" s="189" t="n"/>
      <c r="AI235" s="189" t="n"/>
      <c r="AJ235" s="189" t="n"/>
      <c r="AK235" s="189" t="n"/>
      <c r="AL235" s="189" t="n"/>
      <c r="AM235" s="51" t="inlineStr">
        <is>
          <t>U10θ</t>
        </is>
      </c>
    </row>
    <row r="236">
      <c r="C236" s="189" t="n"/>
      <c r="D236" s="189" t="n"/>
      <c r="E236" s="189" t="n"/>
      <c r="F236" s="189" t="n"/>
      <c r="G236" s="189" t="n"/>
      <c r="H236" s="189" t="n"/>
      <c r="I236" s="189" t="n"/>
      <c r="J236" s="189" t="n"/>
      <c r="K236" s="189" t="n"/>
      <c r="L236" s="189" t="n"/>
      <c r="M236" s="189" t="n"/>
      <c r="N236" s="189" t="n"/>
      <c r="O236" s="189" t="n"/>
      <c r="P236" s="189" t="n"/>
      <c r="Q236" s="189" t="n"/>
      <c r="R236" s="189" t="n"/>
      <c r="S236" s="189" t="n"/>
      <c r="T236" s="189" t="n"/>
      <c r="U236" s="189" t="n"/>
      <c r="V236" s="189" t="n"/>
      <c r="W236" s="189" t="n"/>
      <c r="X236" s="189" t="n"/>
      <c r="Y236" s="189" t="n"/>
      <c r="Z236" s="189" t="n"/>
      <c r="AA236" s="189" t="n"/>
      <c r="AB236" s="189" t="n"/>
      <c r="AC236" s="189" t="n"/>
      <c r="AD236" s="189" t="n"/>
      <c r="AE236" s="189" t="n"/>
      <c r="AF236" s="189" t="n"/>
      <c r="AG236" s="189" t="n"/>
      <c r="AH236" s="189" t="n"/>
      <c r="AI236" s="189" t="n"/>
      <c r="AJ236" s="189" t="n"/>
      <c r="AK236" s="189" t="n"/>
      <c r="AL236" s="189" t="n"/>
      <c r="AM236" s="51" t="inlineStr">
        <is>
          <t>U11X</t>
        </is>
      </c>
    </row>
    <row r="237">
      <c r="C237" s="189" t="n"/>
      <c r="D237" s="189" t="n"/>
      <c r="E237" s="189" t="n"/>
      <c r="F237" s="189" t="n"/>
      <c r="G237" s="189" t="n"/>
      <c r="H237" s="189" t="n"/>
      <c r="I237" s="189" t="n"/>
      <c r="J237" s="189" t="n"/>
      <c r="K237" s="189" t="n"/>
      <c r="L237" s="189" t="n"/>
      <c r="M237" s="189" t="n"/>
      <c r="N237" s="189" t="n"/>
      <c r="O237" s="189" t="n"/>
      <c r="P237" s="189" t="n"/>
      <c r="Q237" s="189" t="n"/>
      <c r="R237" s="189" t="n"/>
      <c r="S237" s="189" t="n"/>
      <c r="T237" s="189" t="n"/>
      <c r="U237" s="189" t="n"/>
      <c r="V237" s="189" t="n"/>
      <c r="W237" s="189" t="n"/>
      <c r="X237" s="189" t="n"/>
      <c r="Y237" s="189" t="n"/>
      <c r="Z237" s="189" t="n"/>
      <c r="AA237" s="189" t="n"/>
      <c r="AB237" s="189" t="n"/>
      <c r="AC237" s="189" t="n"/>
      <c r="AD237" s="189" t="n"/>
      <c r="AE237" s="189" t="n"/>
      <c r="AF237" s="189" t="n"/>
      <c r="AG237" s="189" t="n"/>
      <c r="AH237" s="189" t="n"/>
      <c r="AI237" s="189" t="n"/>
      <c r="AJ237" s="189" t="n"/>
      <c r="AK237" s="189" t="n"/>
      <c r="AL237" s="189" t="n"/>
      <c r="AM237" s="51" t="inlineStr">
        <is>
          <t>U11Y</t>
        </is>
      </c>
    </row>
    <row r="238">
      <c r="C238" s="189" t="n"/>
      <c r="D238" s="189" t="n"/>
      <c r="E238" s="189" t="n"/>
      <c r="F238" s="189" t="n"/>
      <c r="G238" s="189" t="n"/>
      <c r="H238" s="189" t="n"/>
      <c r="I238" s="189" t="n"/>
      <c r="J238" s="189" t="n"/>
      <c r="K238" s="189" t="n"/>
      <c r="L238" s="189" t="n"/>
      <c r="M238" s="189" t="n"/>
      <c r="N238" s="189" t="n"/>
      <c r="O238" s="189" t="n"/>
      <c r="P238" s="189" t="n"/>
      <c r="Q238" s="189" t="n"/>
      <c r="R238" s="189" t="n"/>
      <c r="S238" s="189" t="n"/>
      <c r="T238" s="189" t="n"/>
      <c r="U238" s="189" t="n"/>
      <c r="V238" s="189" t="n"/>
      <c r="W238" s="189" t="n"/>
      <c r="X238" s="189" t="n"/>
      <c r="Y238" s="189" t="n"/>
      <c r="Z238" s="189" t="n"/>
      <c r="AA238" s="189" t="n"/>
      <c r="AB238" s="189" t="n"/>
      <c r="AC238" s="189" t="n"/>
      <c r="AD238" s="189" t="n"/>
      <c r="AE238" s="189" t="n"/>
      <c r="AF238" s="189" t="n"/>
      <c r="AG238" s="189" t="n"/>
      <c r="AH238" s="189" t="n"/>
      <c r="AI238" s="189" t="n"/>
      <c r="AJ238" s="189" t="n"/>
      <c r="AK238" s="189" t="n"/>
      <c r="AL238" s="189" t="n"/>
      <c r="AM238" s="51" t="inlineStr">
        <is>
          <t>U11θ</t>
        </is>
      </c>
    </row>
    <row r="239">
      <c r="C239" s="189" t="n"/>
      <c r="D239" s="189" t="n"/>
      <c r="E239" s="189" t="n"/>
      <c r="F239" s="189" t="n"/>
      <c r="G239" s="189" t="n"/>
      <c r="H239" s="189" t="n"/>
      <c r="I239" s="189" t="n"/>
      <c r="J239" s="189" t="n"/>
      <c r="K239" s="189" t="n"/>
      <c r="L239" s="189" t="n"/>
      <c r="M239" s="189" t="n"/>
      <c r="N239" s="189" t="n"/>
      <c r="O239" s="189" t="n"/>
      <c r="P239" s="189" t="n"/>
      <c r="Q239" s="189" t="n"/>
      <c r="R239" s="189" t="n"/>
      <c r="S239" s="189" t="n"/>
      <c r="T239" s="189" t="n"/>
      <c r="U239" s="189" t="n"/>
      <c r="V239" s="189" t="n"/>
      <c r="W239" s="189" t="n"/>
      <c r="X239" s="189" t="n"/>
      <c r="Y239" s="189" t="n"/>
      <c r="Z239" s="189" t="n"/>
      <c r="AA239" s="189" t="n"/>
      <c r="AB239" s="189" t="n"/>
      <c r="AC239" s="189" t="n"/>
      <c r="AD239" s="189" t="n"/>
      <c r="AE239" s="189" t="n"/>
      <c r="AF239" s="189" t="n"/>
      <c r="AG239" s="189" t="n"/>
      <c r="AH239" s="189" t="n"/>
      <c r="AI239" s="189" t="n"/>
      <c r="AJ239" s="189" t="n"/>
      <c r="AK239" s="189" t="n"/>
      <c r="AL239" s="189" t="n"/>
      <c r="AM239" s="51" t="inlineStr">
        <is>
          <t>U12X</t>
        </is>
      </c>
    </row>
    <row r="240">
      <c r="C240" s="189" t="n"/>
      <c r="D240" s="189" t="n"/>
      <c r="E240" s="189" t="n"/>
      <c r="F240" s="189" t="n"/>
      <c r="G240" s="189" t="n"/>
      <c r="H240" s="189" t="n"/>
      <c r="I240" s="189" t="n"/>
      <c r="J240" s="189" t="n"/>
      <c r="K240" s="189" t="n"/>
      <c r="L240" s="189" t="n"/>
      <c r="M240" s="189" t="n"/>
      <c r="N240" s="189" t="n"/>
      <c r="O240" s="189" t="n"/>
      <c r="P240" s="189" t="n"/>
      <c r="Q240" s="189" t="n"/>
      <c r="R240" s="189" t="n"/>
      <c r="S240" s="189" t="n"/>
      <c r="T240" s="189" t="n"/>
      <c r="U240" s="189" t="n"/>
      <c r="V240" s="189" t="n"/>
      <c r="W240" s="189" t="n"/>
      <c r="X240" s="189" t="n"/>
      <c r="Y240" s="189" t="n"/>
      <c r="Z240" s="189" t="n"/>
      <c r="AA240" s="189" t="n"/>
      <c r="AB240" s="189" t="n"/>
      <c r="AC240" s="189" t="n"/>
      <c r="AD240" s="189" t="n"/>
      <c r="AE240" s="189" t="n"/>
      <c r="AF240" s="189" t="n"/>
      <c r="AG240" s="189" t="n"/>
      <c r="AH240" s="189" t="n"/>
      <c r="AI240" s="189" t="n"/>
      <c r="AJ240" s="189" t="n"/>
      <c r="AK240" s="189" t="n"/>
      <c r="AL240" s="189" t="n"/>
      <c r="AM240" s="51" t="inlineStr">
        <is>
          <t>U12Y</t>
        </is>
      </c>
    </row>
    <row r="241">
      <c r="C241" s="189" t="n"/>
      <c r="D241" s="189" t="n"/>
      <c r="E241" s="189" t="n"/>
      <c r="F241" s="189" t="n"/>
      <c r="G241" s="189" t="n"/>
      <c r="H241" s="189" t="n"/>
      <c r="I241" s="189" t="n"/>
      <c r="J241" s="189" t="n"/>
      <c r="K241" s="189" t="n"/>
      <c r="L241" s="189" t="n"/>
      <c r="M241" s="189" t="n"/>
      <c r="N241" s="189" t="n"/>
      <c r="O241" s="189" t="n"/>
      <c r="P241" s="189" t="n"/>
      <c r="Q241" s="189" t="n"/>
      <c r="R241" s="189" t="n"/>
      <c r="S241" s="189" t="n"/>
      <c r="T241" s="189" t="n"/>
      <c r="U241" s="189" t="n"/>
      <c r="V241" s="189" t="n"/>
      <c r="W241" s="189" t="n"/>
      <c r="X241" s="189" t="n"/>
      <c r="Y241" s="189" t="n"/>
      <c r="Z241" s="189" t="n"/>
      <c r="AA241" s="189" t="n"/>
      <c r="AB241" s="189" t="n"/>
      <c r="AC241" s="189" t="n"/>
      <c r="AD241" s="189" t="n"/>
      <c r="AE241" s="189" t="n"/>
      <c r="AF241" s="189" t="n"/>
      <c r="AG241" s="189" t="n"/>
      <c r="AH241" s="189" t="n"/>
      <c r="AI241" s="189" t="n"/>
      <c r="AJ241" s="189" t="n"/>
      <c r="AK241" s="189" t="n"/>
      <c r="AL241" s="189" t="n"/>
      <c r="AM241" s="51" t="inlineStr">
        <is>
          <t>U12θ</t>
        </is>
      </c>
    </row>
    <row r="244">
      <c r="C244" s="51">
        <f>IF(C32="","", CONCATENATE("U",C32,C$27))</f>
        <v/>
      </c>
      <c r="D244" s="51">
        <f>IF(D32="","", CONCATENATE("U",D32,D$27))</f>
        <v/>
      </c>
      <c r="E244" s="51">
        <f>IF(E32="","", CONCATENATE("U",E32,E$27))</f>
        <v/>
      </c>
      <c r="F244" s="51">
        <f>IF(F32="","", CONCATENATE("U",F32,F$27))</f>
        <v/>
      </c>
      <c r="G244" s="51">
        <f>IF(G32="","", CONCATENATE("U",G32,G$27))</f>
        <v/>
      </c>
      <c r="H244" s="51">
        <f>IF(H32="","", CONCATENATE("U",H32,H$27))</f>
        <v/>
      </c>
    </row>
    <row r="245">
      <c r="C245" s="8">
        <f>IF(I18="", 0, (S18*(J18^2))+(O18*(K18^2)))</f>
        <v/>
      </c>
      <c r="D245" s="189">
        <f>IF(I18="", 0, (S18-O18)*J18*K18)</f>
        <v/>
      </c>
      <c r="E245" s="189">
        <f>IF(I18="", 0, -P18*K18)</f>
        <v/>
      </c>
      <c r="F245" s="189">
        <f>-1*C245</f>
        <v/>
      </c>
      <c r="G245" s="189">
        <f>-1*D245</f>
        <v/>
      </c>
      <c r="H245" s="189">
        <f>E245</f>
        <v/>
      </c>
      <c r="I245" s="51">
        <f>C244</f>
        <v/>
      </c>
    </row>
    <row r="246">
      <c r="C246" s="189">
        <f>D245</f>
        <v/>
      </c>
      <c r="D246" s="8">
        <f>IF(I18="", 0, (S18*(K18^2))+(O18*(J18^2)))</f>
        <v/>
      </c>
      <c r="E246" s="189">
        <f>IF(I18="", 0, P18*J18)</f>
        <v/>
      </c>
      <c r="F246" s="189">
        <f>-1*D245</f>
        <v/>
      </c>
      <c r="G246" s="189">
        <f>-1*D246</f>
        <v/>
      </c>
      <c r="H246" s="189">
        <f>E246</f>
        <v/>
      </c>
      <c r="I246" s="51">
        <f>D244</f>
        <v/>
      </c>
    </row>
    <row r="247">
      <c r="B247" s="118" t="inlineStr">
        <is>
          <t>K5 =</t>
        </is>
      </c>
      <c r="C247" s="189">
        <f>E245</f>
        <v/>
      </c>
      <c r="D247" s="189">
        <f>E246</f>
        <v/>
      </c>
      <c r="E247" s="8">
        <f>IF(I18="", 0, Q18)</f>
        <v/>
      </c>
      <c r="F247" s="189">
        <f>-1*E245</f>
        <v/>
      </c>
      <c r="G247" s="189">
        <f>-1*E246</f>
        <v/>
      </c>
      <c r="H247" s="189">
        <f>IF(I18="", 0, R18)</f>
        <v/>
      </c>
      <c r="I247" s="51">
        <f>E244</f>
        <v/>
      </c>
    </row>
    <row r="248">
      <c r="C248" s="189">
        <f>F245</f>
        <v/>
      </c>
      <c r="D248" s="189">
        <f>F246</f>
        <v/>
      </c>
      <c r="E248" s="189">
        <f>F247</f>
        <v/>
      </c>
      <c r="F248" s="8">
        <f>C245</f>
        <v/>
      </c>
      <c r="G248" s="189">
        <f>D245</f>
        <v/>
      </c>
      <c r="H248" s="189">
        <f>-1*E245</f>
        <v/>
      </c>
      <c r="I248" s="51">
        <f>F244</f>
        <v/>
      </c>
    </row>
    <row r="249">
      <c r="C249" s="189">
        <f>G245</f>
        <v/>
      </c>
      <c r="D249" s="189">
        <f>G246</f>
        <v/>
      </c>
      <c r="E249" s="189">
        <f>G247</f>
        <v/>
      </c>
      <c r="F249" s="189">
        <f>G248</f>
        <v/>
      </c>
      <c r="G249" s="8">
        <f>D246</f>
        <v/>
      </c>
      <c r="H249" s="189">
        <f>-1*E246</f>
        <v/>
      </c>
      <c r="I249" s="51">
        <f>G244</f>
        <v/>
      </c>
    </row>
    <row r="250">
      <c r="C250" s="189">
        <f>H245</f>
        <v/>
      </c>
      <c r="D250" s="189">
        <f>H246</f>
        <v/>
      </c>
      <c r="E250" s="189">
        <f>H247</f>
        <v/>
      </c>
      <c r="F250" s="189">
        <f>H248</f>
        <v/>
      </c>
      <c r="G250" s="189">
        <f>H249</f>
        <v/>
      </c>
      <c r="H250" s="8">
        <f>E247</f>
        <v/>
      </c>
      <c r="I250" s="51">
        <f>H244</f>
        <v/>
      </c>
    </row>
    <row r="252">
      <c r="C252" s="51" t="inlineStr">
        <is>
          <t>U1X</t>
        </is>
      </c>
      <c r="D252" s="51" t="inlineStr">
        <is>
          <t>U1Y</t>
        </is>
      </c>
      <c r="E252" s="51" t="inlineStr">
        <is>
          <t>U1θ</t>
        </is>
      </c>
      <c r="F252" s="51" t="inlineStr">
        <is>
          <t>U2X</t>
        </is>
      </c>
      <c r="G252" s="51" t="inlineStr">
        <is>
          <t>U2Y</t>
        </is>
      </c>
      <c r="H252" s="51" t="inlineStr">
        <is>
          <t>U2θ</t>
        </is>
      </c>
      <c r="I252" s="51" t="inlineStr">
        <is>
          <t>U3X</t>
        </is>
      </c>
      <c r="J252" s="51" t="inlineStr">
        <is>
          <t>U3Y</t>
        </is>
      </c>
      <c r="K252" s="51" t="inlineStr">
        <is>
          <t>U3θ</t>
        </is>
      </c>
      <c r="L252" s="51" t="inlineStr">
        <is>
          <t>U4X</t>
        </is>
      </c>
      <c r="M252" s="51" t="inlineStr">
        <is>
          <t>U4Y</t>
        </is>
      </c>
      <c r="N252" s="51" t="inlineStr">
        <is>
          <t>U4θ</t>
        </is>
      </c>
      <c r="O252" s="51" t="inlineStr">
        <is>
          <t>U5X</t>
        </is>
      </c>
      <c r="P252" s="51" t="inlineStr">
        <is>
          <t>U5Y</t>
        </is>
      </c>
      <c r="Q252" s="51" t="inlineStr">
        <is>
          <t>U5θ</t>
        </is>
      </c>
      <c r="R252" s="51" t="inlineStr">
        <is>
          <t>U6X</t>
        </is>
      </c>
      <c r="S252" s="51" t="inlineStr">
        <is>
          <t>U6Y</t>
        </is>
      </c>
      <c r="T252" s="51" t="inlineStr">
        <is>
          <t>U6θ</t>
        </is>
      </c>
      <c r="U252" s="51" t="inlineStr">
        <is>
          <t>U7X</t>
        </is>
      </c>
      <c r="V252" s="51" t="inlineStr">
        <is>
          <t>U7Y</t>
        </is>
      </c>
      <c r="W252" s="51" t="inlineStr">
        <is>
          <t>U7θ</t>
        </is>
      </c>
      <c r="X252" s="51" t="inlineStr">
        <is>
          <t>U8X</t>
        </is>
      </c>
      <c r="Y252" s="51" t="inlineStr">
        <is>
          <t>U8Y</t>
        </is>
      </c>
      <c r="Z252" s="51" t="inlineStr">
        <is>
          <t>U8θ</t>
        </is>
      </c>
      <c r="AA252" s="51" t="inlineStr">
        <is>
          <t>U9X</t>
        </is>
      </c>
      <c r="AB252" s="51" t="inlineStr">
        <is>
          <t>U9Y</t>
        </is>
      </c>
      <c r="AC252" s="51" t="inlineStr">
        <is>
          <t>U9θ</t>
        </is>
      </c>
      <c r="AD252" s="51" t="inlineStr">
        <is>
          <t>U10X</t>
        </is>
      </c>
      <c r="AE252" s="51" t="inlineStr">
        <is>
          <t>U10Y</t>
        </is>
      </c>
      <c r="AF252" s="51" t="inlineStr">
        <is>
          <t>U10θ</t>
        </is>
      </c>
      <c r="AG252" s="51" t="inlineStr">
        <is>
          <t>U11X</t>
        </is>
      </c>
      <c r="AH252" s="51" t="inlineStr">
        <is>
          <t>U11Y</t>
        </is>
      </c>
      <c r="AI252" s="51" t="inlineStr">
        <is>
          <t>U11θ</t>
        </is>
      </c>
      <c r="AJ252" s="51" t="inlineStr">
        <is>
          <t>U12X</t>
        </is>
      </c>
      <c r="AK252" s="51" t="inlineStr">
        <is>
          <t>U12Y</t>
        </is>
      </c>
      <c r="AL252" s="51" t="inlineStr">
        <is>
          <t>U12θ</t>
        </is>
      </c>
    </row>
    <row r="253">
      <c r="C253" s="189" t="n"/>
      <c r="D253" s="189" t="n"/>
      <c r="E253" s="189" t="n"/>
      <c r="F253" s="189" t="n"/>
      <c r="G253" s="189" t="n"/>
      <c r="H253" s="189" t="n"/>
      <c r="I253" s="189" t="n"/>
      <c r="J253" s="189" t="n"/>
      <c r="K253" s="189" t="n"/>
      <c r="L253" s="189" t="n"/>
      <c r="M253" s="189" t="n"/>
      <c r="N253" s="189" t="n"/>
      <c r="O253" s="189" t="n"/>
      <c r="P253" s="189" t="n"/>
      <c r="Q253" s="189" t="n"/>
      <c r="R253" s="189" t="n"/>
      <c r="S253" s="189" t="n"/>
      <c r="T253" s="189" t="n"/>
      <c r="U253" s="189" t="n"/>
      <c r="V253" s="189" t="n"/>
      <c r="W253" s="189" t="n"/>
      <c r="X253" s="189" t="n"/>
      <c r="Y253" s="189" t="n"/>
      <c r="Z253" s="189" t="n"/>
      <c r="AA253" s="189" t="n"/>
      <c r="AB253" s="189" t="n"/>
      <c r="AC253" s="189" t="n"/>
      <c r="AD253" s="189" t="n"/>
      <c r="AE253" s="189" t="n"/>
      <c r="AF253" s="189" t="n"/>
      <c r="AG253" s="189" t="n"/>
      <c r="AH253" s="189" t="n"/>
      <c r="AI253" s="189" t="n"/>
      <c r="AJ253" s="189" t="n"/>
      <c r="AK253" s="189" t="n"/>
      <c r="AL253" s="189" t="n"/>
      <c r="AM253" s="51" t="inlineStr">
        <is>
          <t>U1X</t>
        </is>
      </c>
    </row>
    <row r="254">
      <c r="C254" s="189" t="n"/>
      <c r="D254" s="189" t="n"/>
      <c r="E254" s="189" t="n"/>
      <c r="F254" s="189" t="n"/>
      <c r="G254" s="189" t="n"/>
      <c r="H254" s="189" t="n"/>
      <c r="I254" s="189" t="n"/>
      <c r="J254" s="189" t="n"/>
      <c r="K254" s="189" t="n"/>
      <c r="L254" s="189" t="n"/>
      <c r="M254" s="189" t="n"/>
      <c r="N254" s="189" t="n"/>
      <c r="O254" s="189" t="n"/>
      <c r="P254" s="189" t="n"/>
      <c r="Q254" s="189" t="n"/>
      <c r="R254" s="189" t="n"/>
      <c r="S254" s="189" t="n"/>
      <c r="T254" s="189" t="n"/>
      <c r="U254" s="189" t="n"/>
      <c r="V254" s="189" t="n"/>
      <c r="W254" s="189" t="n"/>
      <c r="X254" s="189" t="n"/>
      <c r="Y254" s="189" t="n"/>
      <c r="Z254" s="189" t="n"/>
      <c r="AA254" s="189" t="n"/>
      <c r="AB254" s="189" t="n"/>
      <c r="AC254" s="189" t="n"/>
      <c r="AD254" s="189" t="n"/>
      <c r="AE254" s="189" t="n"/>
      <c r="AF254" s="189" t="n"/>
      <c r="AG254" s="189" t="n"/>
      <c r="AH254" s="189" t="n"/>
      <c r="AI254" s="189" t="n"/>
      <c r="AJ254" s="189" t="n"/>
      <c r="AK254" s="189" t="n"/>
      <c r="AL254" s="189" t="n"/>
      <c r="AM254" s="51" t="inlineStr">
        <is>
          <t>U1Y</t>
        </is>
      </c>
    </row>
    <row r="255">
      <c r="C255" s="189" t="n"/>
      <c r="D255" s="189" t="n"/>
      <c r="E255" s="189" t="n"/>
      <c r="F255" s="189" t="n"/>
      <c r="G255" s="189" t="n"/>
      <c r="H255" s="189" t="n"/>
      <c r="I255" s="189" t="n"/>
      <c r="J255" s="189" t="n"/>
      <c r="K255" s="189" t="n"/>
      <c r="L255" s="189" t="n"/>
      <c r="M255" s="189" t="n"/>
      <c r="N255" s="189" t="n"/>
      <c r="O255" s="189" t="n"/>
      <c r="P255" s="189" t="n"/>
      <c r="Q255" s="189" t="n"/>
      <c r="R255" s="189" t="n"/>
      <c r="S255" s="189" t="n"/>
      <c r="T255" s="189" t="n"/>
      <c r="U255" s="189" t="n"/>
      <c r="V255" s="189" t="n"/>
      <c r="W255" s="189" t="n"/>
      <c r="X255" s="189" t="n"/>
      <c r="Y255" s="189" t="n"/>
      <c r="Z255" s="189" t="n"/>
      <c r="AA255" s="189" t="n"/>
      <c r="AB255" s="189" t="n"/>
      <c r="AC255" s="189" t="n"/>
      <c r="AD255" s="189" t="n"/>
      <c r="AE255" s="189" t="n"/>
      <c r="AF255" s="189" t="n"/>
      <c r="AG255" s="189" t="n"/>
      <c r="AH255" s="189" t="n"/>
      <c r="AI255" s="189" t="n"/>
      <c r="AJ255" s="189" t="n"/>
      <c r="AK255" s="189" t="n"/>
      <c r="AL255" s="189" t="n"/>
      <c r="AM255" s="51" t="inlineStr">
        <is>
          <t>U1θ</t>
        </is>
      </c>
    </row>
    <row r="256">
      <c r="C256" s="189" t="n"/>
      <c r="D256" s="189" t="n"/>
      <c r="E256" s="189" t="n"/>
      <c r="F256" s="189" t="n"/>
      <c r="G256" s="189" t="n"/>
      <c r="H256" s="189" t="n"/>
      <c r="I256" s="189" t="n"/>
      <c r="J256" s="189" t="n"/>
      <c r="K256" s="189" t="n"/>
      <c r="L256" s="189" t="n"/>
      <c r="M256" s="189" t="n"/>
      <c r="N256" s="189" t="n"/>
      <c r="O256" s="189" t="n"/>
      <c r="P256" s="189" t="n"/>
      <c r="Q256" s="189" t="n"/>
      <c r="R256" s="189" t="n"/>
      <c r="S256" s="189" t="n"/>
      <c r="T256" s="189" t="n"/>
      <c r="U256" s="189" t="n"/>
      <c r="V256" s="189" t="n"/>
      <c r="W256" s="189" t="n"/>
      <c r="X256" s="189" t="n"/>
      <c r="Y256" s="189" t="n"/>
      <c r="Z256" s="189" t="n"/>
      <c r="AA256" s="189" t="n"/>
      <c r="AB256" s="189" t="n"/>
      <c r="AC256" s="189" t="n"/>
      <c r="AD256" s="189" t="n"/>
      <c r="AE256" s="189" t="n"/>
      <c r="AF256" s="189" t="n"/>
      <c r="AG256" s="189" t="n"/>
      <c r="AH256" s="189" t="n"/>
      <c r="AI256" s="189" t="n"/>
      <c r="AJ256" s="189" t="n"/>
      <c r="AK256" s="189" t="n"/>
      <c r="AL256" s="189" t="n"/>
      <c r="AM256" s="51" t="inlineStr">
        <is>
          <t>U2X</t>
        </is>
      </c>
    </row>
    <row r="257">
      <c r="C257" s="189" t="n"/>
      <c r="D257" s="189" t="n"/>
      <c r="E257" s="189" t="n"/>
      <c r="F257" s="189" t="n"/>
      <c r="G257" s="189" t="n"/>
      <c r="H257" s="189" t="n"/>
      <c r="I257" s="189" t="n"/>
      <c r="J257" s="189" t="n"/>
      <c r="K257" s="189" t="n"/>
      <c r="L257" s="189" t="n"/>
      <c r="M257" s="189" t="n"/>
      <c r="N257" s="189" t="n"/>
      <c r="O257" s="189" t="n"/>
      <c r="P257" s="189" t="n"/>
      <c r="Q257" s="189" t="n"/>
      <c r="R257" s="189" t="n"/>
      <c r="S257" s="189" t="n"/>
      <c r="T257" s="189" t="n"/>
      <c r="U257" s="189" t="n"/>
      <c r="V257" s="189" t="n"/>
      <c r="W257" s="189" t="n"/>
      <c r="X257" s="189" t="n"/>
      <c r="Y257" s="189" t="n"/>
      <c r="Z257" s="189" t="n"/>
      <c r="AA257" s="189" t="n"/>
      <c r="AB257" s="189" t="n"/>
      <c r="AC257" s="189" t="n"/>
      <c r="AD257" s="189" t="n"/>
      <c r="AE257" s="189" t="n"/>
      <c r="AF257" s="189" t="n"/>
      <c r="AG257" s="189" t="n"/>
      <c r="AH257" s="189" t="n"/>
      <c r="AI257" s="189" t="n"/>
      <c r="AJ257" s="189" t="n"/>
      <c r="AK257" s="189" t="n"/>
      <c r="AL257" s="189" t="n"/>
      <c r="AM257" s="51" t="inlineStr">
        <is>
          <t>U2Y</t>
        </is>
      </c>
    </row>
    <row r="258">
      <c r="C258" s="189" t="n"/>
      <c r="D258" s="189" t="n"/>
      <c r="E258" s="189" t="n"/>
      <c r="F258" s="189" t="n"/>
      <c r="G258" s="189" t="n"/>
      <c r="H258" s="189" t="n"/>
      <c r="I258" s="189" t="n"/>
      <c r="J258" s="189" t="n"/>
      <c r="K258" s="189" t="n"/>
      <c r="L258" s="189" t="n"/>
      <c r="M258" s="189" t="n"/>
      <c r="N258" s="189" t="n"/>
      <c r="O258" s="189" t="n"/>
      <c r="P258" s="189" t="n"/>
      <c r="Q258" s="189" t="n"/>
      <c r="R258" s="189" t="n"/>
      <c r="S258" s="189" t="n"/>
      <c r="T258" s="189" t="n"/>
      <c r="U258" s="189" t="n"/>
      <c r="V258" s="189" t="n"/>
      <c r="W258" s="189" t="n"/>
      <c r="X258" s="189" t="n"/>
      <c r="Y258" s="189" t="n"/>
      <c r="Z258" s="189" t="n"/>
      <c r="AA258" s="189" t="n"/>
      <c r="AB258" s="189" t="n"/>
      <c r="AC258" s="189" t="n"/>
      <c r="AD258" s="189" t="n"/>
      <c r="AE258" s="189" t="n"/>
      <c r="AF258" s="189" t="n"/>
      <c r="AG258" s="189" t="n"/>
      <c r="AH258" s="189" t="n"/>
      <c r="AI258" s="189" t="n"/>
      <c r="AJ258" s="189" t="n"/>
      <c r="AK258" s="189" t="n"/>
      <c r="AL258" s="189" t="n"/>
      <c r="AM258" s="51" t="inlineStr">
        <is>
          <t>U2θ</t>
        </is>
      </c>
    </row>
    <row r="259">
      <c r="C259" s="189" t="n"/>
      <c r="D259" s="189" t="n"/>
      <c r="E259" s="189" t="n"/>
      <c r="F259" s="189" t="n"/>
      <c r="G259" s="189" t="n"/>
      <c r="H259" s="189" t="n"/>
      <c r="I259" s="189" t="n"/>
      <c r="J259" s="189" t="n"/>
      <c r="K259" s="189" t="n"/>
      <c r="L259" s="189" t="n"/>
      <c r="M259" s="189" t="n"/>
      <c r="N259" s="189" t="n"/>
      <c r="O259" s="189" t="n"/>
      <c r="P259" s="189" t="n"/>
      <c r="Q259" s="189" t="n"/>
      <c r="R259" s="189" t="n"/>
      <c r="S259" s="189" t="n"/>
      <c r="T259" s="189" t="n"/>
      <c r="U259" s="189" t="n"/>
      <c r="V259" s="189" t="n"/>
      <c r="W259" s="189" t="n"/>
      <c r="X259" s="189" t="n"/>
      <c r="Y259" s="189" t="n"/>
      <c r="Z259" s="189" t="n"/>
      <c r="AA259" s="189" t="n"/>
      <c r="AB259" s="189" t="n"/>
      <c r="AC259" s="189" t="n"/>
      <c r="AD259" s="189" t="n"/>
      <c r="AE259" s="189" t="n"/>
      <c r="AF259" s="189" t="n"/>
      <c r="AG259" s="189" t="n"/>
      <c r="AH259" s="189" t="n"/>
      <c r="AI259" s="189" t="n"/>
      <c r="AJ259" s="189" t="n"/>
      <c r="AK259" s="189" t="n"/>
      <c r="AL259" s="189" t="n"/>
      <c r="AM259" s="51" t="inlineStr">
        <is>
          <t>U3X</t>
        </is>
      </c>
    </row>
    <row r="260">
      <c r="C260" s="189" t="n"/>
      <c r="D260" s="189" t="n"/>
      <c r="E260" s="189" t="n"/>
      <c r="F260" s="189" t="n"/>
      <c r="G260" s="189" t="n"/>
      <c r="H260" s="189" t="n"/>
      <c r="I260" s="189" t="n"/>
      <c r="J260" s="189" t="n"/>
      <c r="K260" s="189" t="n"/>
      <c r="L260" s="189" t="n"/>
      <c r="M260" s="189" t="n"/>
      <c r="N260" s="189" t="n"/>
      <c r="O260" s="189" t="n"/>
      <c r="P260" s="189" t="n"/>
      <c r="Q260" s="189" t="n"/>
      <c r="R260" s="189" t="n"/>
      <c r="S260" s="189" t="n"/>
      <c r="T260" s="189" t="n"/>
      <c r="U260" s="189" t="n"/>
      <c r="V260" s="189" t="n"/>
      <c r="W260" s="189" t="n"/>
      <c r="X260" s="189" t="n"/>
      <c r="Y260" s="189" t="n"/>
      <c r="Z260" s="189" t="n"/>
      <c r="AA260" s="189" t="n"/>
      <c r="AB260" s="189" t="n"/>
      <c r="AC260" s="189" t="n"/>
      <c r="AD260" s="189" t="n"/>
      <c r="AE260" s="189" t="n"/>
      <c r="AF260" s="189" t="n"/>
      <c r="AG260" s="189" t="n"/>
      <c r="AH260" s="189" t="n"/>
      <c r="AI260" s="189" t="n"/>
      <c r="AJ260" s="189" t="n"/>
      <c r="AK260" s="189" t="n"/>
      <c r="AL260" s="189" t="n"/>
      <c r="AM260" s="51" t="inlineStr">
        <is>
          <t>U3Y</t>
        </is>
      </c>
    </row>
    <row r="261">
      <c r="C261" s="189" t="n"/>
      <c r="D261" s="189" t="n"/>
      <c r="E261" s="189" t="n"/>
      <c r="F261" s="189" t="n"/>
      <c r="G261" s="189" t="n"/>
      <c r="H261" s="189" t="n"/>
      <c r="I261" s="189" t="n"/>
      <c r="J261" s="189" t="n"/>
      <c r="K261" s="189" t="n"/>
      <c r="L261" s="189" t="n"/>
      <c r="M261" s="189" t="n"/>
      <c r="N261" s="189" t="n"/>
      <c r="O261" s="189" t="n"/>
      <c r="P261" s="189" t="n"/>
      <c r="Q261" s="189" t="n"/>
      <c r="R261" s="189" t="n"/>
      <c r="S261" s="189" t="n"/>
      <c r="T261" s="189" t="n"/>
      <c r="U261" s="189" t="n"/>
      <c r="V261" s="189" t="n"/>
      <c r="W261" s="189" t="n"/>
      <c r="X261" s="189" t="n"/>
      <c r="Y261" s="189" t="n"/>
      <c r="Z261" s="189" t="n"/>
      <c r="AA261" s="189" t="n"/>
      <c r="AB261" s="189" t="n"/>
      <c r="AC261" s="189" t="n"/>
      <c r="AD261" s="189" t="n"/>
      <c r="AE261" s="189" t="n"/>
      <c r="AF261" s="189" t="n"/>
      <c r="AG261" s="189" t="n"/>
      <c r="AH261" s="189" t="n"/>
      <c r="AI261" s="189" t="n"/>
      <c r="AJ261" s="189" t="n"/>
      <c r="AK261" s="189" t="n"/>
      <c r="AL261" s="189" t="n"/>
      <c r="AM261" s="51" t="inlineStr">
        <is>
          <t>U3θ</t>
        </is>
      </c>
    </row>
    <row r="262">
      <c r="C262" s="189" t="n"/>
      <c r="D262" s="189" t="n"/>
      <c r="E262" s="189" t="n"/>
      <c r="F262" s="189" t="n"/>
      <c r="G262" s="189" t="n"/>
      <c r="H262" s="189" t="n"/>
      <c r="I262" s="189" t="n"/>
      <c r="J262" s="189" t="n"/>
      <c r="K262" s="189" t="n"/>
      <c r="L262" s="189" t="n"/>
      <c r="M262" s="189" t="n"/>
      <c r="N262" s="189" t="n"/>
      <c r="O262" s="189" t="n"/>
      <c r="P262" s="189" t="n"/>
      <c r="Q262" s="189" t="n"/>
      <c r="R262" s="189" t="n"/>
      <c r="S262" s="189" t="n"/>
      <c r="T262" s="189" t="n"/>
      <c r="U262" s="189" t="n"/>
      <c r="V262" s="189" t="n"/>
      <c r="W262" s="189" t="n"/>
      <c r="X262" s="189" t="n"/>
      <c r="Y262" s="189" t="n"/>
      <c r="Z262" s="189" t="n"/>
      <c r="AA262" s="189" t="n"/>
      <c r="AB262" s="189" t="n"/>
      <c r="AC262" s="189" t="n"/>
      <c r="AD262" s="189" t="n"/>
      <c r="AE262" s="189" t="n"/>
      <c r="AF262" s="189" t="n"/>
      <c r="AG262" s="189" t="n"/>
      <c r="AH262" s="189" t="n"/>
      <c r="AI262" s="189" t="n"/>
      <c r="AJ262" s="189" t="n"/>
      <c r="AK262" s="189" t="n"/>
      <c r="AL262" s="189" t="n"/>
      <c r="AM262" s="51" t="inlineStr">
        <is>
          <t>U4X</t>
        </is>
      </c>
    </row>
    <row r="263">
      <c r="C263" s="189" t="n"/>
      <c r="D263" s="189" t="n"/>
      <c r="E263" s="189" t="n"/>
      <c r="F263" s="189" t="n"/>
      <c r="G263" s="189" t="n"/>
      <c r="H263" s="189" t="n"/>
      <c r="I263" s="189" t="n"/>
      <c r="J263" s="189" t="n"/>
      <c r="K263" s="189" t="n"/>
      <c r="L263" s="189" t="n"/>
      <c r="M263" s="189" t="n"/>
      <c r="N263" s="189" t="n"/>
      <c r="O263" s="189" t="n"/>
      <c r="P263" s="189" t="n"/>
      <c r="Q263" s="189" t="n"/>
      <c r="R263" s="189" t="n"/>
      <c r="S263" s="189" t="n"/>
      <c r="T263" s="189" t="n"/>
      <c r="U263" s="189" t="n"/>
      <c r="V263" s="189" t="n"/>
      <c r="W263" s="189" t="n"/>
      <c r="X263" s="189" t="n"/>
      <c r="Y263" s="189" t="n"/>
      <c r="Z263" s="189" t="n"/>
      <c r="AA263" s="189" t="n"/>
      <c r="AB263" s="189" t="n"/>
      <c r="AC263" s="189" t="n"/>
      <c r="AD263" s="189" t="n"/>
      <c r="AE263" s="189" t="n"/>
      <c r="AF263" s="189" t="n"/>
      <c r="AG263" s="189" t="n"/>
      <c r="AH263" s="189" t="n"/>
      <c r="AI263" s="189" t="n"/>
      <c r="AJ263" s="189" t="n"/>
      <c r="AK263" s="189" t="n"/>
      <c r="AL263" s="189" t="n"/>
      <c r="AM263" s="51" t="inlineStr">
        <is>
          <t>U4Y</t>
        </is>
      </c>
    </row>
    <row r="264">
      <c r="C264" s="189" t="n"/>
      <c r="D264" s="189" t="n"/>
      <c r="E264" s="189" t="n"/>
      <c r="F264" s="189" t="n"/>
      <c r="G264" s="189" t="n"/>
      <c r="H264" s="189" t="n"/>
      <c r="I264" s="189" t="n"/>
      <c r="J264" s="189" t="n"/>
      <c r="K264" s="189" t="n"/>
      <c r="L264" s="189" t="n"/>
      <c r="M264" s="189" t="n"/>
      <c r="N264" s="189" t="n"/>
      <c r="O264" s="189" t="n"/>
      <c r="P264" s="189" t="n"/>
      <c r="Q264" s="189" t="n"/>
      <c r="R264" s="189" t="n"/>
      <c r="S264" s="189" t="n"/>
      <c r="T264" s="189" t="n"/>
      <c r="U264" s="189" t="n"/>
      <c r="V264" s="189" t="n"/>
      <c r="W264" s="189" t="n"/>
      <c r="X264" s="189" t="n"/>
      <c r="Y264" s="189" t="n"/>
      <c r="Z264" s="189" t="n"/>
      <c r="AA264" s="189" t="n"/>
      <c r="AB264" s="189" t="n"/>
      <c r="AC264" s="189" t="n"/>
      <c r="AD264" s="189" t="n"/>
      <c r="AE264" s="189" t="n"/>
      <c r="AF264" s="189" t="n"/>
      <c r="AG264" s="189" t="n"/>
      <c r="AH264" s="189" t="n"/>
      <c r="AI264" s="189" t="n"/>
      <c r="AJ264" s="189" t="n"/>
      <c r="AK264" s="189" t="n"/>
      <c r="AL264" s="189" t="n"/>
      <c r="AM264" s="51" t="inlineStr">
        <is>
          <t>U4θ</t>
        </is>
      </c>
    </row>
    <row r="265">
      <c r="C265" s="189" t="n"/>
      <c r="D265" s="189" t="n"/>
      <c r="E265" s="189" t="n"/>
      <c r="F265" s="189" t="n"/>
      <c r="G265" s="189" t="n"/>
      <c r="H265" s="189" t="n"/>
      <c r="I265" s="189" t="n"/>
      <c r="J265" s="189" t="n"/>
      <c r="K265" s="189" t="n"/>
      <c r="L265" s="189" t="n"/>
      <c r="M265" s="189" t="n"/>
      <c r="N265" s="189" t="n"/>
      <c r="O265" s="189">
        <f>C245</f>
        <v/>
      </c>
      <c r="P265" s="189">
        <f>D245</f>
        <v/>
      </c>
      <c r="Q265" s="189">
        <f>E245</f>
        <v/>
      </c>
      <c r="R265" s="189">
        <f>F245</f>
        <v/>
      </c>
      <c r="S265" s="189">
        <f>G245</f>
        <v/>
      </c>
      <c r="T265" s="189">
        <f>H245</f>
        <v/>
      </c>
      <c r="U265" s="189" t="n"/>
      <c r="V265" s="189" t="n"/>
      <c r="W265" s="189" t="n"/>
      <c r="X265" s="189" t="n"/>
      <c r="Y265" s="189" t="n"/>
      <c r="Z265" s="189" t="n"/>
      <c r="AA265" s="189" t="n"/>
      <c r="AB265" s="189" t="n"/>
      <c r="AC265" s="189" t="n"/>
      <c r="AD265" s="189" t="n"/>
      <c r="AE265" s="189" t="n"/>
      <c r="AF265" s="189" t="n"/>
      <c r="AG265" s="189" t="n"/>
      <c r="AH265" s="189" t="n"/>
      <c r="AI265" s="189" t="n"/>
      <c r="AJ265" s="189" t="n"/>
      <c r="AK265" s="189" t="n"/>
      <c r="AL265" s="189" t="n"/>
      <c r="AM265" s="51" t="inlineStr">
        <is>
          <t>U5X</t>
        </is>
      </c>
    </row>
    <row r="266">
      <c r="C266" s="189" t="n"/>
      <c r="D266" s="189" t="n"/>
      <c r="E266" s="189" t="n"/>
      <c r="F266" s="189" t="n"/>
      <c r="G266" s="189" t="n"/>
      <c r="H266" s="189" t="n"/>
      <c r="I266" s="189" t="n"/>
      <c r="J266" s="189" t="n"/>
      <c r="K266" s="189" t="n"/>
      <c r="L266" s="189" t="n"/>
      <c r="M266" s="189" t="n"/>
      <c r="N266" s="189" t="n"/>
      <c r="O266" s="189">
        <f>C246</f>
        <v/>
      </c>
      <c r="P266" s="189">
        <f>D246</f>
        <v/>
      </c>
      <c r="Q266" s="189">
        <f>E246</f>
        <v/>
      </c>
      <c r="R266" s="189">
        <f>F246</f>
        <v/>
      </c>
      <c r="S266" s="189">
        <f>G246</f>
        <v/>
      </c>
      <c r="T266" s="189">
        <f>H246</f>
        <v/>
      </c>
      <c r="U266" s="189" t="n"/>
      <c r="V266" s="189" t="n"/>
      <c r="W266" s="189" t="n"/>
      <c r="X266" s="189" t="n"/>
      <c r="Y266" s="189" t="n"/>
      <c r="Z266" s="189" t="n"/>
      <c r="AA266" s="189" t="n"/>
      <c r="AB266" s="189" t="n"/>
      <c r="AC266" s="189" t="n"/>
      <c r="AD266" s="189" t="n"/>
      <c r="AE266" s="189" t="n"/>
      <c r="AF266" s="189" t="n"/>
      <c r="AG266" s="189" t="n"/>
      <c r="AH266" s="189" t="n"/>
      <c r="AI266" s="189" t="n"/>
      <c r="AJ266" s="189" t="n"/>
      <c r="AK266" s="189" t="n"/>
      <c r="AL266" s="189" t="n"/>
      <c r="AM266" s="51" t="inlineStr">
        <is>
          <t>U5Y</t>
        </is>
      </c>
    </row>
    <row r="267">
      <c r="C267" s="189" t="n"/>
      <c r="D267" s="189" t="n"/>
      <c r="E267" s="189" t="n"/>
      <c r="F267" s="189" t="n"/>
      <c r="G267" s="189" t="n"/>
      <c r="H267" s="189" t="n"/>
      <c r="I267" s="189" t="n"/>
      <c r="J267" s="189" t="n"/>
      <c r="K267" s="189" t="n"/>
      <c r="L267" s="189" t="n"/>
      <c r="M267" s="189" t="n"/>
      <c r="N267" s="189" t="n"/>
      <c r="O267" s="189">
        <f>C247</f>
        <v/>
      </c>
      <c r="P267" s="189">
        <f>D247</f>
        <v/>
      </c>
      <c r="Q267" s="189">
        <f>E247</f>
        <v/>
      </c>
      <c r="R267" s="189">
        <f>F247</f>
        <v/>
      </c>
      <c r="S267" s="189">
        <f>G247</f>
        <v/>
      </c>
      <c r="T267" s="189">
        <f>H247</f>
        <v/>
      </c>
      <c r="U267" s="189" t="n"/>
      <c r="V267" s="189" t="n"/>
      <c r="W267" s="189" t="n"/>
      <c r="X267" s="189" t="n"/>
      <c r="Y267" s="189" t="n"/>
      <c r="Z267" s="189" t="n"/>
      <c r="AA267" s="189" t="n"/>
      <c r="AB267" s="189" t="n"/>
      <c r="AC267" s="189" t="n"/>
      <c r="AD267" s="189" t="n"/>
      <c r="AE267" s="189" t="n"/>
      <c r="AF267" s="189" t="n"/>
      <c r="AG267" s="189" t="n"/>
      <c r="AH267" s="189" t="n"/>
      <c r="AI267" s="189" t="n"/>
      <c r="AJ267" s="189" t="n"/>
      <c r="AK267" s="189" t="n"/>
      <c r="AL267" s="189" t="n"/>
      <c r="AM267" s="51" t="inlineStr">
        <is>
          <t>U5θ</t>
        </is>
      </c>
    </row>
    <row r="268">
      <c r="C268" s="189" t="n"/>
      <c r="D268" s="189" t="n"/>
      <c r="E268" s="189" t="n"/>
      <c r="F268" s="189" t="n"/>
      <c r="G268" s="189" t="n"/>
      <c r="H268" s="189" t="n"/>
      <c r="I268" s="189" t="n"/>
      <c r="J268" s="189" t="n"/>
      <c r="K268" s="189" t="n"/>
      <c r="L268" s="189" t="n"/>
      <c r="M268" s="189" t="n"/>
      <c r="N268" s="189" t="n"/>
      <c r="O268" s="189">
        <f>C248</f>
        <v/>
      </c>
      <c r="P268" s="189">
        <f>D248</f>
        <v/>
      </c>
      <c r="Q268" s="189">
        <f>E248</f>
        <v/>
      </c>
      <c r="R268" s="189">
        <f>F248</f>
        <v/>
      </c>
      <c r="S268" s="189">
        <f>G248</f>
        <v/>
      </c>
      <c r="T268" s="189">
        <f>H248</f>
        <v/>
      </c>
      <c r="U268" s="189" t="n"/>
      <c r="V268" s="189" t="n"/>
      <c r="W268" s="189" t="n"/>
      <c r="X268" s="189" t="n"/>
      <c r="Y268" s="189" t="n"/>
      <c r="Z268" s="189" t="n"/>
      <c r="AA268" s="189" t="n"/>
      <c r="AB268" s="189" t="n"/>
      <c r="AC268" s="189" t="n"/>
      <c r="AD268" s="189" t="n"/>
      <c r="AE268" s="189" t="n"/>
      <c r="AF268" s="189" t="n"/>
      <c r="AG268" s="189" t="n"/>
      <c r="AH268" s="189" t="n"/>
      <c r="AI268" s="189" t="n"/>
      <c r="AJ268" s="189" t="n"/>
      <c r="AK268" s="189" t="n"/>
      <c r="AL268" s="189" t="n"/>
      <c r="AM268" s="51" t="inlineStr">
        <is>
          <t>U6X</t>
        </is>
      </c>
    </row>
    <row r="269">
      <c r="C269" s="189" t="n"/>
      <c r="D269" s="189" t="n"/>
      <c r="E269" s="189" t="n"/>
      <c r="F269" s="189" t="n"/>
      <c r="G269" s="189" t="n"/>
      <c r="H269" s="189" t="n"/>
      <c r="I269" s="189" t="n"/>
      <c r="J269" s="189" t="n"/>
      <c r="K269" s="189" t="n"/>
      <c r="L269" s="189" t="n"/>
      <c r="M269" s="189" t="n"/>
      <c r="N269" s="189" t="n"/>
      <c r="O269" s="189">
        <f>C249</f>
        <v/>
      </c>
      <c r="P269" s="189">
        <f>D249</f>
        <v/>
      </c>
      <c r="Q269" s="189">
        <f>E249</f>
        <v/>
      </c>
      <c r="R269" s="189">
        <f>F249</f>
        <v/>
      </c>
      <c r="S269" s="189">
        <f>G249</f>
        <v/>
      </c>
      <c r="T269" s="189">
        <f>H249</f>
        <v/>
      </c>
      <c r="U269" s="189" t="n"/>
      <c r="V269" s="189" t="n"/>
      <c r="W269" s="189" t="n"/>
      <c r="X269" s="189" t="n"/>
      <c r="Y269" s="189" t="n"/>
      <c r="Z269" s="189" t="n"/>
      <c r="AA269" s="189" t="n"/>
      <c r="AB269" s="189" t="n"/>
      <c r="AC269" s="189" t="n"/>
      <c r="AD269" s="189" t="n"/>
      <c r="AE269" s="189" t="n"/>
      <c r="AF269" s="189" t="n"/>
      <c r="AG269" s="189" t="n"/>
      <c r="AH269" s="189" t="n"/>
      <c r="AI269" s="189" t="n"/>
      <c r="AJ269" s="189" t="n"/>
      <c r="AK269" s="189" t="n"/>
      <c r="AL269" s="189" t="n"/>
      <c r="AM269" s="51" t="inlineStr">
        <is>
          <t>U6Y</t>
        </is>
      </c>
    </row>
    <row r="270">
      <c r="B270" s="118" t="inlineStr">
        <is>
          <t>K5 =</t>
        </is>
      </c>
      <c r="C270" s="189" t="n"/>
      <c r="D270" s="189" t="n"/>
      <c r="E270" s="189" t="n"/>
      <c r="F270" s="189" t="n"/>
      <c r="G270" s="189" t="n"/>
      <c r="H270" s="189" t="n"/>
      <c r="I270" s="189" t="n"/>
      <c r="J270" s="189" t="n"/>
      <c r="K270" s="189" t="n"/>
      <c r="L270" s="189" t="n"/>
      <c r="M270" s="189" t="n"/>
      <c r="N270" s="189" t="n"/>
      <c r="O270" s="189">
        <f>C250</f>
        <v/>
      </c>
      <c r="P270" s="189">
        <f>D250</f>
        <v/>
      </c>
      <c r="Q270" s="189">
        <f>E250</f>
        <v/>
      </c>
      <c r="R270" s="189">
        <f>F250</f>
        <v/>
      </c>
      <c r="S270" s="189">
        <f>G250</f>
        <v/>
      </c>
      <c r="T270" s="189">
        <f>H250</f>
        <v/>
      </c>
      <c r="U270" s="189" t="n"/>
      <c r="V270" s="189" t="n"/>
      <c r="W270" s="189" t="n"/>
      <c r="X270" s="189" t="n"/>
      <c r="Y270" s="189" t="n"/>
      <c r="Z270" s="189" t="n"/>
      <c r="AA270" s="189" t="n"/>
      <c r="AB270" s="189" t="n"/>
      <c r="AC270" s="189" t="n"/>
      <c r="AD270" s="189" t="n"/>
      <c r="AE270" s="189" t="n"/>
      <c r="AF270" s="189" t="n"/>
      <c r="AG270" s="189" t="n"/>
      <c r="AH270" s="189" t="n"/>
      <c r="AI270" s="189" t="n"/>
      <c r="AJ270" s="189" t="n"/>
      <c r="AK270" s="189" t="n"/>
      <c r="AL270" s="189" t="n"/>
      <c r="AM270" s="51" t="inlineStr">
        <is>
          <t>U6θ</t>
        </is>
      </c>
    </row>
    <row r="271">
      <c r="C271" s="189" t="n"/>
      <c r="D271" s="189" t="n"/>
      <c r="E271" s="189" t="n"/>
      <c r="F271" s="189" t="n"/>
      <c r="G271" s="189" t="n"/>
      <c r="H271" s="189" t="n"/>
      <c r="I271" s="189" t="n"/>
      <c r="J271" s="189" t="n"/>
      <c r="K271" s="189" t="n"/>
      <c r="L271" s="189" t="n"/>
      <c r="M271" s="189" t="n"/>
      <c r="N271" s="189" t="n"/>
      <c r="O271" s="189" t="n"/>
      <c r="P271" s="189" t="n"/>
      <c r="Q271" s="189" t="n"/>
      <c r="R271" s="189" t="n"/>
      <c r="S271" s="189" t="n"/>
      <c r="T271" s="189" t="n"/>
      <c r="U271" s="189" t="n"/>
      <c r="V271" s="189" t="n"/>
      <c r="W271" s="189" t="n"/>
      <c r="X271" s="189" t="n"/>
      <c r="Y271" s="189" t="n"/>
      <c r="Z271" s="189" t="n"/>
      <c r="AA271" s="189" t="n"/>
      <c r="AB271" s="189" t="n"/>
      <c r="AC271" s="189" t="n"/>
      <c r="AD271" s="189" t="n"/>
      <c r="AE271" s="189" t="n"/>
      <c r="AF271" s="189" t="n"/>
      <c r="AG271" s="189" t="n"/>
      <c r="AH271" s="189" t="n"/>
      <c r="AI271" s="189" t="n"/>
      <c r="AJ271" s="189" t="n"/>
      <c r="AK271" s="189" t="n"/>
      <c r="AL271" s="189" t="n"/>
      <c r="AM271" s="51" t="inlineStr">
        <is>
          <t>U7X</t>
        </is>
      </c>
    </row>
    <row r="272">
      <c r="C272" s="189" t="n"/>
      <c r="D272" s="189" t="n"/>
      <c r="E272" s="189" t="n"/>
      <c r="F272" s="189" t="n"/>
      <c r="G272" s="189" t="n"/>
      <c r="H272" s="189" t="n"/>
      <c r="I272" s="189" t="n"/>
      <c r="J272" s="189" t="n"/>
      <c r="K272" s="189" t="n"/>
      <c r="L272" s="189" t="n"/>
      <c r="M272" s="189" t="n"/>
      <c r="N272" s="189" t="n"/>
      <c r="O272" s="189" t="n"/>
      <c r="P272" s="189" t="n"/>
      <c r="Q272" s="189" t="n"/>
      <c r="R272" s="189" t="n"/>
      <c r="S272" s="189" t="n"/>
      <c r="T272" s="189" t="n"/>
      <c r="U272" s="189" t="n"/>
      <c r="V272" s="189" t="n"/>
      <c r="W272" s="189" t="n"/>
      <c r="X272" s="189" t="n"/>
      <c r="Y272" s="189" t="n"/>
      <c r="Z272" s="189" t="n"/>
      <c r="AA272" s="189" t="n"/>
      <c r="AB272" s="189" t="n"/>
      <c r="AC272" s="189" t="n"/>
      <c r="AD272" s="189" t="n"/>
      <c r="AE272" s="189" t="n"/>
      <c r="AF272" s="189" t="n"/>
      <c r="AG272" s="189" t="n"/>
      <c r="AH272" s="189" t="n"/>
      <c r="AI272" s="189" t="n"/>
      <c r="AJ272" s="189" t="n"/>
      <c r="AK272" s="189" t="n"/>
      <c r="AL272" s="189" t="n"/>
      <c r="AM272" s="51" t="inlineStr">
        <is>
          <t>U7Y</t>
        </is>
      </c>
    </row>
    <row r="273">
      <c r="C273" s="189" t="n"/>
      <c r="D273" s="189" t="n"/>
      <c r="E273" s="189" t="n"/>
      <c r="F273" s="189" t="n"/>
      <c r="G273" s="189" t="n"/>
      <c r="H273" s="189" t="n"/>
      <c r="I273" s="189" t="n"/>
      <c r="J273" s="189" t="n"/>
      <c r="K273" s="189" t="n"/>
      <c r="L273" s="189" t="n"/>
      <c r="M273" s="189" t="n"/>
      <c r="N273" s="189" t="n"/>
      <c r="O273" s="189" t="n"/>
      <c r="P273" s="189" t="n"/>
      <c r="Q273" s="189" t="n"/>
      <c r="R273" s="189" t="n"/>
      <c r="S273" s="189" t="n"/>
      <c r="T273" s="189" t="n"/>
      <c r="U273" s="189" t="n"/>
      <c r="V273" s="189" t="n"/>
      <c r="W273" s="189" t="n"/>
      <c r="X273" s="189" t="n"/>
      <c r="Y273" s="189" t="n"/>
      <c r="Z273" s="189" t="n"/>
      <c r="AA273" s="189" t="n"/>
      <c r="AB273" s="189" t="n"/>
      <c r="AC273" s="189" t="n"/>
      <c r="AD273" s="189" t="n"/>
      <c r="AE273" s="189" t="n"/>
      <c r="AF273" s="189" t="n"/>
      <c r="AG273" s="189" t="n"/>
      <c r="AH273" s="189" t="n"/>
      <c r="AI273" s="189" t="n"/>
      <c r="AJ273" s="189" t="n"/>
      <c r="AK273" s="189" t="n"/>
      <c r="AL273" s="189" t="n"/>
      <c r="AM273" s="51" t="inlineStr">
        <is>
          <t>U7θ</t>
        </is>
      </c>
    </row>
    <row r="274">
      <c r="C274" s="189" t="n"/>
      <c r="D274" s="189" t="n"/>
      <c r="E274" s="189" t="n"/>
      <c r="F274" s="189" t="n"/>
      <c r="G274" s="189" t="n"/>
      <c r="H274" s="189" t="n"/>
      <c r="I274" s="189" t="n"/>
      <c r="J274" s="189" t="n"/>
      <c r="K274" s="189" t="n"/>
      <c r="L274" s="189" t="n"/>
      <c r="M274" s="189" t="n"/>
      <c r="N274" s="189" t="n"/>
      <c r="O274" s="189" t="n"/>
      <c r="P274" s="189" t="n"/>
      <c r="Q274" s="189" t="n"/>
      <c r="R274" s="189" t="n"/>
      <c r="S274" s="189" t="n"/>
      <c r="T274" s="189" t="n"/>
      <c r="U274" s="189" t="n"/>
      <c r="V274" s="189" t="n"/>
      <c r="W274" s="189" t="n"/>
      <c r="X274" s="189" t="n"/>
      <c r="Y274" s="189" t="n"/>
      <c r="Z274" s="189" t="n"/>
      <c r="AA274" s="189" t="n"/>
      <c r="AB274" s="189" t="n"/>
      <c r="AC274" s="189" t="n"/>
      <c r="AD274" s="189" t="n"/>
      <c r="AE274" s="189" t="n"/>
      <c r="AF274" s="189" t="n"/>
      <c r="AG274" s="189" t="n"/>
      <c r="AH274" s="189" t="n"/>
      <c r="AI274" s="189" t="n"/>
      <c r="AJ274" s="189" t="n"/>
      <c r="AK274" s="189" t="n"/>
      <c r="AL274" s="189" t="n"/>
      <c r="AM274" s="51" t="inlineStr">
        <is>
          <t>U8X</t>
        </is>
      </c>
    </row>
    <row r="275">
      <c r="C275" s="189" t="n"/>
      <c r="D275" s="189" t="n"/>
      <c r="E275" s="189" t="n"/>
      <c r="F275" s="189" t="n"/>
      <c r="G275" s="189" t="n"/>
      <c r="H275" s="189" t="n"/>
      <c r="I275" s="189" t="n"/>
      <c r="J275" s="189" t="n"/>
      <c r="K275" s="189" t="n"/>
      <c r="L275" s="189" t="n"/>
      <c r="M275" s="189" t="n"/>
      <c r="N275" s="189" t="n"/>
      <c r="O275" s="189" t="n"/>
      <c r="P275" s="189" t="n"/>
      <c r="Q275" s="189" t="n"/>
      <c r="R275" s="189" t="n"/>
      <c r="S275" s="189" t="n"/>
      <c r="T275" s="189" t="n"/>
      <c r="U275" s="189" t="n"/>
      <c r="V275" s="189" t="n"/>
      <c r="W275" s="189" t="n"/>
      <c r="X275" s="189" t="n"/>
      <c r="Y275" s="189" t="n"/>
      <c r="Z275" s="189" t="n"/>
      <c r="AA275" s="189" t="n"/>
      <c r="AB275" s="189" t="n"/>
      <c r="AC275" s="189" t="n"/>
      <c r="AD275" s="189" t="n"/>
      <c r="AE275" s="189" t="n"/>
      <c r="AF275" s="189" t="n"/>
      <c r="AG275" s="189" t="n"/>
      <c r="AH275" s="189" t="n"/>
      <c r="AI275" s="189" t="n"/>
      <c r="AJ275" s="189" t="n"/>
      <c r="AK275" s="189" t="n"/>
      <c r="AL275" s="189" t="n"/>
      <c r="AM275" s="51" t="inlineStr">
        <is>
          <t>U8Y</t>
        </is>
      </c>
    </row>
    <row r="276">
      <c r="C276" s="189" t="n"/>
      <c r="D276" s="189" t="n"/>
      <c r="E276" s="189" t="n"/>
      <c r="F276" s="189" t="n"/>
      <c r="G276" s="189" t="n"/>
      <c r="H276" s="189" t="n"/>
      <c r="I276" s="189" t="n"/>
      <c r="J276" s="189" t="n"/>
      <c r="K276" s="189" t="n"/>
      <c r="L276" s="189" t="n"/>
      <c r="M276" s="189" t="n"/>
      <c r="N276" s="189" t="n"/>
      <c r="O276" s="189" t="n"/>
      <c r="P276" s="189" t="n"/>
      <c r="Q276" s="189" t="n"/>
      <c r="R276" s="189" t="n"/>
      <c r="S276" s="189" t="n"/>
      <c r="T276" s="189" t="n"/>
      <c r="U276" s="189" t="n"/>
      <c r="V276" s="189" t="n"/>
      <c r="W276" s="189" t="n"/>
      <c r="X276" s="189" t="n"/>
      <c r="Y276" s="189" t="n"/>
      <c r="Z276" s="189" t="n"/>
      <c r="AA276" s="189" t="n"/>
      <c r="AB276" s="189" t="n"/>
      <c r="AC276" s="189" t="n"/>
      <c r="AD276" s="189" t="n"/>
      <c r="AE276" s="189" t="n"/>
      <c r="AF276" s="189" t="n"/>
      <c r="AG276" s="189" t="n"/>
      <c r="AH276" s="189" t="n"/>
      <c r="AI276" s="189" t="n"/>
      <c r="AJ276" s="189" t="n"/>
      <c r="AK276" s="189" t="n"/>
      <c r="AL276" s="189" t="n"/>
      <c r="AM276" s="51" t="inlineStr">
        <is>
          <t>U8θ</t>
        </is>
      </c>
    </row>
    <row r="277">
      <c r="C277" s="189" t="n"/>
      <c r="D277" s="189" t="n"/>
      <c r="E277" s="189" t="n"/>
      <c r="F277" s="189" t="n"/>
      <c r="G277" s="189" t="n"/>
      <c r="H277" s="189" t="n"/>
      <c r="I277" s="189" t="n"/>
      <c r="J277" s="189" t="n"/>
      <c r="K277" s="189" t="n"/>
      <c r="L277" s="189" t="n"/>
      <c r="M277" s="189" t="n"/>
      <c r="N277" s="189" t="n"/>
      <c r="O277" s="189" t="n"/>
      <c r="P277" s="189" t="n"/>
      <c r="Q277" s="189" t="n"/>
      <c r="R277" s="189" t="n"/>
      <c r="S277" s="189" t="n"/>
      <c r="T277" s="189" t="n"/>
      <c r="U277" s="189" t="n"/>
      <c r="V277" s="189" t="n"/>
      <c r="W277" s="189" t="n"/>
      <c r="X277" s="189" t="n"/>
      <c r="Y277" s="189" t="n"/>
      <c r="Z277" s="189" t="n"/>
      <c r="AA277" s="189" t="n"/>
      <c r="AB277" s="189" t="n"/>
      <c r="AC277" s="189" t="n"/>
      <c r="AD277" s="189" t="n"/>
      <c r="AE277" s="189" t="n"/>
      <c r="AF277" s="189" t="n"/>
      <c r="AG277" s="189" t="n"/>
      <c r="AH277" s="189" t="n"/>
      <c r="AI277" s="189" t="n"/>
      <c r="AJ277" s="189" t="n"/>
      <c r="AK277" s="189" t="n"/>
      <c r="AL277" s="189" t="n"/>
      <c r="AM277" s="51" t="inlineStr">
        <is>
          <t>U9X</t>
        </is>
      </c>
    </row>
    <row r="278">
      <c r="C278" s="189" t="n"/>
      <c r="D278" s="189" t="n"/>
      <c r="E278" s="189" t="n"/>
      <c r="F278" s="189" t="n"/>
      <c r="G278" s="189" t="n"/>
      <c r="H278" s="189" t="n"/>
      <c r="I278" s="189" t="n"/>
      <c r="J278" s="189" t="n"/>
      <c r="K278" s="189" t="n"/>
      <c r="L278" s="189" t="n"/>
      <c r="M278" s="189" t="n"/>
      <c r="N278" s="189" t="n"/>
      <c r="O278" s="189" t="n"/>
      <c r="P278" s="189" t="n"/>
      <c r="Q278" s="189" t="n"/>
      <c r="R278" s="189" t="n"/>
      <c r="S278" s="189" t="n"/>
      <c r="T278" s="189" t="n"/>
      <c r="U278" s="189" t="n"/>
      <c r="V278" s="189" t="n"/>
      <c r="W278" s="189" t="n"/>
      <c r="X278" s="189" t="n"/>
      <c r="Y278" s="189" t="n"/>
      <c r="Z278" s="189" t="n"/>
      <c r="AA278" s="189" t="n"/>
      <c r="AB278" s="189" t="n"/>
      <c r="AC278" s="189" t="n"/>
      <c r="AD278" s="189" t="n"/>
      <c r="AE278" s="189" t="n"/>
      <c r="AF278" s="189" t="n"/>
      <c r="AG278" s="189" t="n"/>
      <c r="AH278" s="189" t="n"/>
      <c r="AI278" s="189" t="n"/>
      <c r="AJ278" s="189" t="n"/>
      <c r="AK278" s="189" t="n"/>
      <c r="AL278" s="189" t="n"/>
      <c r="AM278" s="51" t="inlineStr">
        <is>
          <t>U9Y</t>
        </is>
      </c>
    </row>
    <row r="279">
      <c r="C279" s="189" t="n"/>
      <c r="D279" s="189" t="n"/>
      <c r="E279" s="189" t="n"/>
      <c r="F279" s="189" t="n"/>
      <c r="G279" s="189" t="n"/>
      <c r="H279" s="189" t="n"/>
      <c r="I279" s="189" t="n"/>
      <c r="J279" s="189" t="n"/>
      <c r="K279" s="189" t="n"/>
      <c r="L279" s="189" t="n"/>
      <c r="M279" s="189" t="n"/>
      <c r="N279" s="189" t="n"/>
      <c r="O279" s="189" t="n"/>
      <c r="P279" s="189" t="n"/>
      <c r="Q279" s="189" t="n"/>
      <c r="R279" s="189" t="n"/>
      <c r="S279" s="189" t="n"/>
      <c r="T279" s="189" t="n"/>
      <c r="U279" s="189" t="n"/>
      <c r="V279" s="189" t="n"/>
      <c r="W279" s="189" t="n"/>
      <c r="X279" s="189" t="n"/>
      <c r="Y279" s="189" t="n"/>
      <c r="Z279" s="189" t="n"/>
      <c r="AA279" s="189" t="n"/>
      <c r="AB279" s="189" t="n"/>
      <c r="AC279" s="189" t="n"/>
      <c r="AD279" s="189" t="n"/>
      <c r="AE279" s="189" t="n"/>
      <c r="AF279" s="189" t="n"/>
      <c r="AG279" s="189" t="n"/>
      <c r="AH279" s="189" t="n"/>
      <c r="AI279" s="189" t="n"/>
      <c r="AJ279" s="189" t="n"/>
      <c r="AK279" s="189" t="n"/>
      <c r="AL279" s="189" t="n"/>
      <c r="AM279" s="51" t="inlineStr">
        <is>
          <t>U9θ</t>
        </is>
      </c>
    </row>
    <row r="280">
      <c r="C280" s="189" t="n"/>
      <c r="D280" s="189" t="n"/>
      <c r="E280" s="189" t="n"/>
      <c r="F280" s="189" t="n"/>
      <c r="G280" s="189" t="n"/>
      <c r="H280" s="189" t="n"/>
      <c r="I280" s="189" t="n"/>
      <c r="J280" s="189" t="n"/>
      <c r="K280" s="189" t="n"/>
      <c r="L280" s="189" t="n"/>
      <c r="M280" s="189" t="n"/>
      <c r="N280" s="189" t="n"/>
      <c r="O280" s="189" t="n"/>
      <c r="P280" s="189" t="n"/>
      <c r="Q280" s="189" t="n"/>
      <c r="R280" s="189" t="n"/>
      <c r="S280" s="189" t="n"/>
      <c r="T280" s="189" t="n"/>
      <c r="U280" s="189" t="n"/>
      <c r="V280" s="189" t="n"/>
      <c r="W280" s="189" t="n"/>
      <c r="X280" s="189" t="n"/>
      <c r="Y280" s="189" t="n"/>
      <c r="Z280" s="189" t="n"/>
      <c r="AA280" s="189" t="n"/>
      <c r="AB280" s="189" t="n"/>
      <c r="AC280" s="189" t="n"/>
      <c r="AD280" s="189" t="n"/>
      <c r="AE280" s="189" t="n"/>
      <c r="AF280" s="189" t="n"/>
      <c r="AG280" s="189" t="n"/>
      <c r="AH280" s="189" t="n"/>
      <c r="AI280" s="189" t="n"/>
      <c r="AJ280" s="189" t="n"/>
      <c r="AK280" s="189" t="n"/>
      <c r="AL280" s="189" t="n"/>
      <c r="AM280" s="51" t="inlineStr">
        <is>
          <t>U10X</t>
        </is>
      </c>
    </row>
    <row r="281">
      <c r="C281" s="189" t="n"/>
      <c r="D281" s="189" t="n"/>
      <c r="E281" s="189" t="n"/>
      <c r="F281" s="189" t="n"/>
      <c r="G281" s="189" t="n"/>
      <c r="H281" s="189" t="n"/>
      <c r="I281" s="189" t="n"/>
      <c r="J281" s="189" t="n"/>
      <c r="K281" s="189" t="n"/>
      <c r="L281" s="189" t="n"/>
      <c r="M281" s="189" t="n"/>
      <c r="N281" s="189" t="n"/>
      <c r="O281" s="189" t="n"/>
      <c r="P281" s="189" t="n"/>
      <c r="Q281" s="189" t="n"/>
      <c r="R281" s="189" t="n"/>
      <c r="S281" s="189" t="n"/>
      <c r="T281" s="189" t="n"/>
      <c r="U281" s="189" t="n"/>
      <c r="V281" s="189" t="n"/>
      <c r="W281" s="189" t="n"/>
      <c r="X281" s="189" t="n"/>
      <c r="Y281" s="189" t="n"/>
      <c r="Z281" s="189" t="n"/>
      <c r="AA281" s="189" t="n"/>
      <c r="AB281" s="189" t="n"/>
      <c r="AC281" s="189" t="n"/>
      <c r="AD281" s="189" t="n"/>
      <c r="AE281" s="189" t="n"/>
      <c r="AF281" s="189" t="n"/>
      <c r="AG281" s="189" t="n"/>
      <c r="AH281" s="189" t="n"/>
      <c r="AI281" s="189" t="n"/>
      <c r="AJ281" s="189" t="n"/>
      <c r="AK281" s="189" t="n"/>
      <c r="AL281" s="189" t="n"/>
      <c r="AM281" s="51" t="inlineStr">
        <is>
          <t>U10Y</t>
        </is>
      </c>
    </row>
    <row r="282">
      <c r="C282" s="189" t="n"/>
      <c r="D282" s="189" t="n"/>
      <c r="E282" s="189" t="n"/>
      <c r="F282" s="189" t="n"/>
      <c r="G282" s="189" t="n"/>
      <c r="H282" s="189" t="n"/>
      <c r="I282" s="189" t="n"/>
      <c r="J282" s="189" t="n"/>
      <c r="K282" s="189" t="n"/>
      <c r="L282" s="189" t="n"/>
      <c r="M282" s="189" t="n"/>
      <c r="N282" s="189" t="n"/>
      <c r="O282" s="189" t="n"/>
      <c r="P282" s="189" t="n"/>
      <c r="Q282" s="189" t="n"/>
      <c r="R282" s="189" t="n"/>
      <c r="S282" s="189" t="n"/>
      <c r="T282" s="189" t="n"/>
      <c r="U282" s="189" t="n"/>
      <c r="V282" s="189" t="n"/>
      <c r="W282" s="189" t="n"/>
      <c r="X282" s="189" t="n"/>
      <c r="Y282" s="189" t="n"/>
      <c r="Z282" s="189" t="n"/>
      <c r="AA282" s="189" t="n"/>
      <c r="AB282" s="189" t="n"/>
      <c r="AC282" s="189" t="n"/>
      <c r="AD282" s="189" t="n"/>
      <c r="AE282" s="189" t="n"/>
      <c r="AF282" s="189" t="n"/>
      <c r="AG282" s="189" t="n"/>
      <c r="AH282" s="189" t="n"/>
      <c r="AI282" s="189" t="n"/>
      <c r="AJ282" s="189" t="n"/>
      <c r="AK282" s="189" t="n"/>
      <c r="AL282" s="189" t="n"/>
      <c r="AM282" s="51" t="inlineStr">
        <is>
          <t>U10θ</t>
        </is>
      </c>
    </row>
    <row r="283">
      <c r="C283" s="189" t="n"/>
      <c r="D283" s="189" t="n"/>
      <c r="E283" s="189" t="n"/>
      <c r="F283" s="189" t="n"/>
      <c r="G283" s="189" t="n"/>
      <c r="H283" s="189" t="n"/>
      <c r="I283" s="189" t="n"/>
      <c r="J283" s="189" t="n"/>
      <c r="K283" s="189" t="n"/>
      <c r="L283" s="189" t="n"/>
      <c r="M283" s="189" t="n"/>
      <c r="N283" s="189" t="n"/>
      <c r="O283" s="189" t="n"/>
      <c r="P283" s="189" t="n"/>
      <c r="Q283" s="189" t="n"/>
      <c r="R283" s="189" t="n"/>
      <c r="S283" s="189" t="n"/>
      <c r="T283" s="189" t="n"/>
      <c r="U283" s="189" t="n"/>
      <c r="V283" s="189" t="n"/>
      <c r="W283" s="189" t="n"/>
      <c r="X283" s="189" t="n"/>
      <c r="Y283" s="189" t="n"/>
      <c r="Z283" s="189" t="n"/>
      <c r="AA283" s="189" t="n"/>
      <c r="AB283" s="189" t="n"/>
      <c r="AC283" s="189" t="n"/>
      <c r="AD283" s="189" t="n"/>
      <c r="AE283" s="189" t="n"/>
      <c r="AF283" s="189" t="n"/>
      <c r="AG283" s="189" t="n"/>
      <c r="AH283" s="189" t="n"/>
      <c r="AI283" s="189" t="n"/>
      <c r="AJ283" s="189" t="n"/>
      <c r="AK283" s="189" t="n"/>
      <c r="AL283" s="189" t="n"/>
      <c r="AM283" s="51" t="inlineStr">
        <is>
          <t>U11X</t>
        </is>
      </c>
    </row>
    <row r="284">
      <c r="C284" s="189" t="n"/>
      <c r="D284" s="189" t="n"/>
      <c r="E284" s="189" t="n"/>
      <c r="F284" s="189" t="n"/>
      <c r="G284" s="189" t="n"/>
      <c r="H284" s="189" t="n"/>
      <c r="I284" s="189" t="n"/>
      <c r="J284" s="189" t="n"/>
      <c r="K284" s="189" t="n"/>
      <c r="L284" s="189" t="n"/>
      <c r="M284" s="189" t="n"/>
      <c r="N284" s="189" t="n"/>
      <c r="O284" s="189" t="n"/>
      <c r="P284" s="189" t="n"/>
      <c r="Q284" s="189" t="n"/>
      <c r="R284" s="189" t="n"/>
      <c r="S284" s="189" t="n"/>
      <c r="T284" s="189" t="n"/>
      <c r="U284" s="189" t="n"/>
      <c r="V284" s="189" t="n"/>
      <c r="W284" s="189" t="n"/>
      <c r="X284" s="189" t="n"/>
      <c r="Y284" s="189" t="n"/>
      <c r="Z284" s="189" t="n"/>
      <c r="AA284" s="189" t="n"/>
      <c r="AB284" s="189" t="n"/>
      <c r="AC284" s="189" t="n"/>
      <c r="AD284" s="189" t="n"/>
      <c r="AE284" s="189" t="n"/>
      <c r="AF284" s="189" t="n"/>
      <c r="AG284" s="189" t="n"/>
      <c r="AH284" s="189" t="n"/>
      <c r="AI284" s="189" t="n"/>
      <c r="AJ284" s="189" t="n"/>
      <c r="AK284" s="189" t="n"/>
      <c r="AL284" s="189" t="n"/>
      <c r="AM284" s="51" t="inlineStr">
        <is>
          <t>U11Y</t>
        </is>
      </c>
    </row>
    <row r="285">
      <c r="C285" s="189" t="n"/>
      <c r="D285" s="189" t="n"/>
      <c r="E285" s="189" t="n"/>
      <c r="F285" s="189" t="n"/>
      <c r="G285" s="189" t="n"/>
      <c r="H285" s="189" t="n"/>
      <c r="I285" s="189" t="n"/>
      <c r="J285" s="189" t="n"/>
      <c r="K285" s="189" t="n"/>
      <c r="L285" s="189" t="n"/>
      <c r="M285" s="189" t="n"/>
      <c r="N285" s="189" t="n"/>
      <c r="O285" s="189" t="n"/>
      <c r="P285" s="189" t="n"/>
      <c r="Q285" s="189" t="n"/>
      <c r="R285" s="189" t="n"/>
      <c r="S285" s="189" t="n"/>
      <c r="T285" s="189" t="n"/>
      <c r="U285" s="189" t="n"/>
      <c r="V285" s="189" t="n"/>
      <c r="W285" s="189" t="n"/>
      <c r="X285" s="189" t="n"/>
      <c r="Y285" s="189" t="n"/>
      <c r="Z285" s="189" t="n"/>
      <c r="AA285" s="189" t="n"/>
      <c r="AB285" s="189" t="n"/>
      <c r="AC285" s="189" t="n"/>
      <c r="AD285" s="189" t="n"/>
      <c r="AE285" s="189" t="n"/>
      <c r="AF285" s="189" t="n"/>
      <c r="AG285" s="189" t="n"/>
      <c r="AH285" s="189" t="n"/>
      <c r="AI285" s="189" t="n"/>
      <c r="AJ285" s="189" t="n"/>
      <c r="AK285" s="189" t="n"/>
      <c r="AL285" s="189" t="n"/>
      <c r="AM285" s="51" t="inlineStr">
        <is>
          <t>U11θ</t>
        </is>
      </c>
    </row>
    <row r="286">
      <c r="C286" s="189" t="n"/>
      <c r="D286" s="189" t="n"/>
      <c r="E286" s="189" t="n"/>
      <c r="F286" s="189" t="n"/>
      <c r="G286" s="189" t="n"/>
      <c r="H286" s="189" t="n"/>
      <c r="I286" s="189" t="n"/>
      <c r="J286" s="189" t="n"/>
      <c r="K286" s="189" t="n"/>
      <c r="L286" s="189" t="n"/>
      <c r="M286" s="189" t="n"/>
      <c r="N286" s="189" t="n"/>
      <c r="O286" s="189" t="n"/>
      <c r="P286" s="189" t="n"/>
      <c r="Q286" s="189" t="n"/>
      <c r="R286" s="189" t="n"/>
      <c r="S286" s="189" t="n"/>
      <c r="T286" s="189" t="n"/>
      <c r="U286" s="189" t="n"/>
      <c r="V286" s="189" t="n"/>
      <c r="W286" s="189" t="n"/>
      <c r="X286" s="189" t="n"/>
      <c r="Y286" s="189" t="n"/>
      <c r="Z286" s="189" t="n"/>
      <c r="AA286" s="189" t="n"/>
      <c r="AB286" s="189" t="n"/>
      <c r="AC286" s="189" t="n"/>
      <c r="AD286" s="189" t="n"/>
      <c r="AE286" s="189" t="n"/>
      <c r="AF286" s="189" t="n"/>
      <c r="AG286" s="189" t="n"/>
      <c r="AH286" s="189" t="n"/>
      <c r="AI286" s="189" t="n"/>
      <c r="AJ286" s="189" t="n"/>
      <c r="AK286" s="189" t="n"/>
      <c r="AL286" s="189" t="n"/>
      <c r="AM286" s="51" t="inlineStr">
        <is>
          <t>U12X</t>
        </is>
      </c>
    </row>
    <row r="287">
      <c r="C287" s="189" t="n"/>
      <c r="D287" s="189" t="n"/>
      <c r="E287" s="189" t="n"/>
      <c r="F287" s="189" t="n"/>
      <c r="G287" s="189" t="n"/>
      <c r="H287" s="189" t="n"/>
      <c r="I287" s="189" t="n"/>
      <c r="J287" s="189" t="n"/>
      <c r="K287" s="189" t="n"/>
      <c r="L287" s="189" t="n"/>
      <c r="M287" s="189" t="n"/>
      <c r="N287" s="189" t="n"/>
      <c r="O287" s="189" t="n"/>
      <c r="P287" s="189" t="n"/>
      <c r="Q287" s="189" t="n"/>
      <c r="R287" s="189" t="n"/>
      <c r="S287" s="189" t="n"/>
      <c r="T287" s="189" t="n"/>
      <c r="U287" s="189" t="n"/>
      <c r="V287" s="189" t="n"/>
      <c r="W287" s="189" t="n"/>
      <c r="X287" s="189" t="n"/>
      <c r="Y287" s="189" t="n"/>
      <c r="Z287" s="189" t="n"/>
      <c r="AA287" s="189" t="n"/>
      <c r="AB287" s="189" t="n"/>
      <c r="AC287" s="189" t="n"/>
      <c r="AD287" s="189" t="n"/>
      <c r="AE287" s="189" t="n"/>
      <c r="AF287" s="189" t="n"/>
      <c r="AG287" s="189" t="n"/>
      <c r="AH287" s="189" t="n"/>
      <c r="AI287" s="189" t="n"/>
      <c r="AJ287" s="189" t="n"/>
      <c r="AK287" s="189" t="n"/>
      <c r="AL287" s="189" t="n"/>
      <c r="AM287" s="51" t="inlineStr">
        <is>
          <t>U12Y</t>
        </is>
      </c>
    </row>
    <row r="288">
      <c r="C288" s="189" t="n"/>
      <c r="D288" s="189" t="n"/>
      <c r="E288" s="189" t="n"/>
      <c r="F288" s="189" t="n"/>
      <c r="G288" s="189" t="n"/>
      <c r="H288" s="189" t="n"/>
      <c r="I288" s="189" t="n"/>
      <c r="J288" s="189" t="n"/>
      <c r="K288" s="189" t="n"/>
      <c r="L288" s="189" t="n"/>
      <c r="M288" s="189" t="n"/>
      <c r="N288" s="189" t="n"/>
      <c r="O288" s="189" t="n"/>
      <c r="P288" s="189" t="n"/>
      <c r="Q288" s="189" t="n"/>
      <c r="R288" s="189" t="n"/>
      <c r="S288" s="189" t="n"/>
      <c r="T288" s="189" t="n"/>
      <c r="U288" s="189" t="n"/>
      <c r="V288" s="189" t="n"/>
      <c r="W288" s="189" t="n"/>
      <c r="X288" s="189" t="n"/>
      <c r="Y288" s="189" t="n"/>
      <c r="Z288" s="189" t="n"/>
      <c r="AA288" s="189" t="n"/>
      <c r="AB288" s="189" t="n"/>
      <c r="AC288" s="189" t="n"/>
      <c r="AD288" s="189" t="n"/>
      <c r="AE288" s="189" t="n"/>
      <c r="AF288" s="189" t="n"/>
      <c r="AG288" s="189" t="n"/>
      <c r="AH288" s="189" t="n"/>
      <c r="AI288" s="189" t="n"/>
      <c r="AJ288" s="189" t="n"/>
      <c r="AK288" s="189" t="n"/>
      <c r="AL288" s="189" t="n"/>
      <c r="AM288" s="51" t="inlineStr">
        <is>
          <t>U12θ</t>
        </is>
      </c>
    </row>
    <row r="291">
      <c r="C291" s="51">
        <f>IF(C33="","", CONCATENATE("U",C33,C$27))</f>
        <v/>
      </c>
      <c r="D291" s="51">
        <f>IF(D33="","", CONCATENATE("U",D33,D$27))</f>
        <v/>
      </c>
      <c r="E291" s="51">
        <f>IF(E33="","", CONCATENATE("U",E33,E$27))</f>
        <v/>
      </c>
      <c r="F291" s="51">
        <f>IF(F33="","", CONCATENATE("U",F33,F$27))</f>
        <v/>
      </c>
      <c r="G291" s="51">
        <f>IF(G33="","", CONCATENATE("U",G33,G$27))</f>
        <v/>
      </c>
      <c r="H291" s="51">
        <f>IF(H33="","", CONCATENATE("U",H33,H$27))</f>
        <v/>
      </c>
    </row>
    <row r="292">
      <c r="C292" s="8">
        <f>IF(I19="", 0, (S19*(J19^2))+(O19*(K19^2)))</f>
        <v/>
      </c>
      <c r="D292" s="189">
        <f>IF(I19="", 0, (S19-O19)*J19*K19)</f>
        <v/>
      </c>
      <c r="E292" s="189">
        <f>IF(I19="", 0, -P19*K19)</f>
        <v/>
      </c>
      <c r="F292" s="189">
        <f>-1*C292</f>
        <v/>
      </c>
      <c r="G292" s="189">
        <f>-1*D292</f>
        <v/>
      </c>
      <c r="H292" s="189">
        <f>E292</f>
        <v/>
      </c>
      <c r="I292" s="51">
        <f>C291</f>
        <v/>
      </c>
    </row>
    <row r="293">
      <c r="C293" s="189">
        <f>D292</f>
        <v/>
      </c>
      <c r="D293" s="8">
        <f>IF(I19="", 0, (S19*(K19^2))+(O19*(J19^2)))</f>
        <v/>
      </c>
      <c r="E293" s="189">
        <f>IF(I19="", 0, P19*J19)</f>
        <v/>
      </c>
      <c r="F293" s="189">
        <f>-1*D292</f>
        <v/>
      </c>
      <c r="G293" s="189">
        <f>-1*D293</f>
        <v/>
      </c>
      <c r="H293" s="189">
        <f>E293</f>
        <v/>
      </c>
      <c r="I293" s="51">
        <f>D291</f>
        <v/>
      </c>
    </row>
    <row r="294">
      <c r="B294" s="118" t="inlineStr">
        <is>
          <t>K6 =</t>
        </is>
      </c>
      <c r="C294" s="189">
        <f>E292</f>
        <v/>
      </c>
      <c r="D294" s="189">
        <f>E293</f>
        <v/>
      </c>
      <c r="E294" s="8">
        <f>IF(I19="", 0, Q19)</f>
        <v/>
      </c>
      <c r="F294" s="189">
        <f>-1*E292</f>
        <v/>
      </c>
      <c r="G294" s="189">
        <f>-1*E293</f>
        <v/>
      </c>
      <c r="H294" s="189">
        <f>IF(I19="", 0, R19)</f>
        <v/>
      </c>
      <c r="I294" s="51">
        <f>E291</f>
        <v/>
      </c>
    </row>
    <row r="295">
      <c r="C295" s="189">
        <f>F292</f>
        <v/>
      </c>
      <c r="D295" s="189">
        <f>F293</f>
        <v/>
      </c>
      <c r="E295" s="189">
        <f>F294</f>
        <v/>
      </c>
      <c r="F295" s="8">
        <f>C292</f>
        <v/>
      </c>
      <c r="G295" s="189">
        <f>D292</f>
        <v/>
      </c>
      <c r="H295" s="189">
        <f>-1*E292</f>
        <v/>
      </c>
      <c r="I295" s="51">
        <f>F291</f>
        <v/>
      </c>
    </row>
    <row r="296">
      <c r="C296" s="189">
        <f>G292</f>
        <v/>
      </c>
      <c r="D296" s="189">
        <f>G293</f>
        <v/>
      </c>
      <c r="E296" s="189">
        <f>G294</f>
        <v/>
      </c>
      <c r="F296" s="189">
        <f>G295</f>
        <v/>
      </c>
      <c r="G296" s="8">
        <f>D293</f>
        <v/>
      </c>
      <c r="H296" s="189">
        <f>-1*E293</f>
        <v/>
      </c>
      <c r="I296" s="51">
        <f>G291</f>
        <v/>
      </c>
    </row>
    <row r="297">
      <c r="C297" s="189">
        <f>H292</f>
        <v/>
      </c>
      <c r="D297" s="189">
        <f>H293</f>
        <v/>
      </c>
      <c r="E297" s="189">
        <f>H294</f>
        <v/>
      </c>
      <c r="F297" s="189">
        <f>H295</f>
        <v/>
      </c>
      <c r="G297" s="189">
        <f>H296</f>
        <v/>
      </c>
      <c r="H297" s="8">
        <f>E294</f>
        <v/>
      </c>
      <c r="I297" s="51">
        <f>H291</f>
        <v/>
      </c>
    </row>
    <row r="299">
      <c r="C299" s="51" t="inlineStr">
        <is>
          <t>U1X</t>
        </is>
      </c>
      <c r="D299" s="51" t="inlineStr">
        <is>
          <t>U1Y</t>
        </is>
      </c>
      <c r="E299" s="51" t="inlineStr">
        <is>
          <t>U1θ</t>
        </is>
      </c>
      <c r="F299" s="51" t="inlineStr">
        <is>
          <t>U2X</t>
        </is>
      </c>
      <c r="G299" s="51" t="inlineStr">
        <is>
          <t>U2Y</t>
        </is>
      </c>
      <c r="H299" s="51" t="inlineStr">
        <is>
          <t>U2θ</t>
        </is>
      </c>
      <c r="I299" s="51" t="inlineStr">
        <is>
          <t>U3X</t>
        </is>
      </c>
      <c r="J299" s="51" t="inlineStr">
        <is>
          <t>U3Y</t>
        </is>
      </c>
      <c r="K299" s="51" t="inlineStr">
        <is>
          <t>U3θ</t>
        </is>
      </c>
      <c r="L299" s="51" t="inlineStr">
        <is>
          <t>U4X</t>
        </is>
      </c>
      <c r="M299" s="51" t="inlineStr">
        <is>
          <t>U4Y</t>
        </is>
      </c>
      <c r="N299" s="51" t="inlineStr">
        <is>
          <t>U4θ</t>
        </is>
      </c>
      <c r="O299" s="51" t="inlineStr">
        <is>
          <t>U5X</t>
        </is>
      </c>
      <c r="P299" s="51" t="inlineStr">
        <is>
          <t>U5Y</t>
        </is>
      </c>
      <c r="Q299" s="51" t="inlineStr">
        <is>
          <t>U5θ</t>
        </is>
      </c>
      <c r="R299" s="51" t="inlineStr">
        <is>
          <t>U6X</t>
        </is>
      </c>
      <c r="S299" s="51" t="inlineStr">
        <is>
          <t>U6Y</t>
        </is>
      </c>
      <c r="T299" s="51" t="inlineStr">
        <is>
          <t>U6θ</t>
        </is>
      </c>
      <c r="U299" s="51" t="inlineStr">
        <is>
          <t>U7X</t>
        </is>
      </c>
      <c r="V299" s="51" t="inlineStr">
        <is>
          <t>U7Y</t>
        </is>
      </c>
      <c r="W299" s="51" t="inlineStr">
        <is>
          <t>U7θ</t>
        </is>
      </c>
      <c r="X299" s="51" t="inlineStr">
        <is>
          <t>U8X</t>
        </is>
      </c>
      <c r="Y299" s="51" t="inlineStr">
        <is>
          <t>U8Y</t>
        </is>
      </c>
      <c r="Z299" s="51" t="inlineStr">
        <is>
          <t>U8θ</t>
        </is>
      </c>
      <c r="AA299" s="51" t="inlineStr">
        <is>
          <t>U9X</t>
        </is>
      </c>
      <c r="AB299" s="51" t="inlineStr">
        <is>
          <t>U9Y</t>
        </is>
      </c>
      <c r="AC299" s="51" t="inlineStr">
        <is>
          <t>U9θ</t>
        </is>
      </c>
      <c r="AD299" s="51" t="inlineStr">
        <is>
          <t>U10X</t>
        </is>
      </c>
      <c r="AE299" s="51" t="inlineStr">
        <is>
          <t>U10Y</t>
        </is>
      </c>
      <c r="AF299" s="51" t="inlineStr">
        <is>
          <t>U10θ</t>
        </is>
      </c>
      <c r="AG299" s="51" t="inlineStr">
        <is>
          <t>U11X</t>
        </is>
      </c>
      <c r="AH299" s="51" t="inlineStr">
        <is>
          <t>U11Y</t>
        </is>
      </c>
      <c r="AI299" s="51" t="inlineStr">
        <is>
          <t>U11θ</t>
        </is>
      </c>
      <c r="AJ299" s="51" t="inlineStr">
        <is>
          <t>U12X</t>
        </is>
      </c>
      <c r="AK299" s="51" t="inlineStr">
        <is>
          <t>U12Y</t>
        </is>
      </c>
      <c r="AL299" s="51" t="inlineStr">
        <is>
          <t>U12θ</t>
        </is>
      </c>
    </row>
    <row r="300">
      <c r="C300" s="189" t="n"/>
      <c r="D300" s="189" t="n"/>
      <c r="E300" s="189" t="n"/>
      <c r="F300" s="189" t="n"/>
      <c r="G300" s="189" t="n"/>
      <c r="H300" s="189" t="n"/>
      <c r="I300" s="189" t="n"/>
      <c r="J300" s="189" t="n"/>
      <c r="K300" s="189" t="n"/>
      <c r="L300" s="189" t="n"/>
      <c r="M300" s="189" t="n"/>
      <c r="N300" s="189" t="n"/>
      <c r="O300" s="189" t="n"/>
      <c r="P300" s="189" t="n"/>
      <c r="Q300" s="189" t="n"/>
      <c r="R300" s="189" t="n"/>
      <c r="S300" s="189" t="n"/>
      <c r="T300" s="189" t="n"/>
      <c r="U300" s="189" t="n"/>
      <c r="V300" s="189" t="n"/>
      <c r="W300" s="189" t="n"/>
      <c r="X300" s="189" t="n"/>
      <c r="Y300" s="189" t="n"/>
      <c r="Z300" s="189" t="n"/>
      <c r="AA300" s="189" t="n"/>
      <c r="AB300" s="189" t="n"/>
      <c r="AC300" s="189" t="n"/>
      <c r="AD300" s="189" t="n"/>
      <c r="AE300" s="189" t="n"/>
      <c r="AF300" s="189" t="n"/>
      <c r="AG300" s="189" t="n"/>
      <c r="AH300" s="189" t="n"/>
      <c r="AI300" s="189" t="n"/>
      <c r="AJ300" s="189" t="n"/>
      <c r="AK300" s="189" t="n"/>
      <c r="AL300" s="189" t="n"/>
      <c r="AM300" s="51" t="inlineStr">
        <is>
          <t>U1X</t>
        </is>
      </c>
    </row>
    <row r="301">
      <c r="C301" s="189" t="n"/>
      <c r="D301" s="189" t="n"/>
      <c r="E301" s="189" t="n"/>
      <c r="F301" s="189" t="n"/>
      <c r="G301" s="189" t="n"/>
      <c r="H301" s="189" t="n"/>
      <c r="I301" s="189" t="n"/>
      <c r="J301" s="189" t="n"/>
      <c r="K301" s="189" t="n"/>
      <c r="L301" s="189" t="n"/>
      <c r="M301" s="189" t="n"/>
      <c r="N301" s="189" t="n"/>
      <c r="O301" s="189" t="n"/>
      <c r="P301" s="189" t="n"/>
      <c r="Q301" s="189" t="n"/>
      <c r="R301" s="189" t="n"/>
      <c r="S301" s="189" t="n"/>
      <c r="T301" s="189" t="n"/>
      <c r="U301" s="189" t="n"/>
      <c r="V301" s="189" t="n"/>
      <c r="W301" s="189" t="n"/>
      <c r="X301" s="189" t="n"/>
      <c r="Y301" s="189" t="n"/>
      <c r="Z301" s="189" t="n"/>
      <c r="AA301" s="189" t="n"/>
      <c r="AB301" s="189" t="n"/>
      <c r="AC301" s="189" t="n"/>
      <c r="AD301" s="189" t="n"/>
      <c r="AE301" s="189" t="n"/>
      <c r="AF301" s="189" t="n"/>
      <c r="AG301" s="189" t="n"/>
      <c r="AH301" s="189" t="n"/>
      <c r="AI301" s="189" t="n"/>
      <c r="AJ301" s="189" t="n"/>
      <c r="AK301" s="189" t="n"/>
      <c r="AL301" s="189" t="n"/>
      <c r="AM301" s="51" t="inlineStr">
        <is>
          <t>U1Y</t>
        </is>
      </c>
    </row>
    <row r="302">
      <c r="C302" s="189" t="n"/>
      <c r="D302" s="189" t="n"/>
      <c r="E302" s="189" t="n"/>
      <c r="F302" s="189" t="n"/>
      <c r="G302" s="189" t="n"/>
      <c r="H302" s="189" t="n"/>
      <c r="I302" s="189" t="n"/>
      <c r="J302" s="189" t="n"/>
      <c r="K302" s="189" t="n"/>
      <c r="L302" s="189" t="n"/>
      <c r="M302" s="189" t="n"/>
      <c r="N302" s="189" t="n"/>
      <c r="O302" s="189" t="n"/>
      <c r="P302" s="189" t="n"/>
      <c r="Q302" s="189" t="n"/>
      <c r="R302" s="189" t="n"/>
      <c r="S302" s="189" t="n"/>
      <c r="T302" s="189" t="n"/>
      <c r="U302" s="189" t="n"/>
      <c r="V302" s="189" t="n"/>
      <c r="W302" s="189" t="n"/>
      <c r="X302" s="189" t="n"/>
      <c r="Y302" s="189" t="n"/>
      <c r="Z302" s="189" t="n"/>
      <c r="AA302" s="189" t="n"/>
      <c r="AB302" s="189" t="n"/>
      <c r="AC302" s="189" t="n"/>
      <c r="AD302" s="189" t="n"/>
      <c r="AE302" s="189" t="n"/>
      <c r="AF302" s="189" t="n"/>
      <c r="AG302" s="189" t="n"/>
      <c r="AH302" s="189" t="n"/>
      <c r="AI302" s="189" t="n"/>
      <c r="AJ302" s="189" t="n"/>
      <c r="AK302" s="189" t="n"/>
      <c r="AL302" s="189" t="n"/>
      <c r="AM302" s="51" t="inlineStr">
        <is>
          <t>U1θ</t>
        </is>
      </c>
    </row>
    <row r="303">
      <c r="C303" s="189" t="n"/>
      <c r="D303" s="189" t="n"/>
      <c r="E303" s="189" t="n"/>
      <c r="F303" s="189" t="n"/>
      <c r="G303" s="189" t="n"/>
      <c r="H303" s="189" t="n"/>
      <c r="I303" s="189" t="n"/>
      <c r="J303" s="189" t="n"/>
      <c r="K303" s="189" t="n"/>
      <c r="L303" s="189" t="n"/>
      <c r="M303" s="189" t="n"/>
      <c r="N303" s="189" t="n"/>
      <c r="O303" s="189" t="n"/>
      <c r="P303" s="189" t="n"/>
      <c r="Q303" s="189" t="n"/>
      <c r="R303" s="189" t="n"/>
      <c r="S303" s="189" t="n"/>
      <c r="T303" s="189" t="n"/>
      <c r="U303" s="189" t="n"/>
      <c r="V303" s="189" t="n"/>
      <c r="W303" s="189" t="n"/>
      <c r="X303" s="189" t="n"/>
      <c r="Y303" s="189" t="n"/>
      <c r="Z303" s="189" t="n"/>
      <c r="AA303" s="189" t="n"/>
      <c r="AB303" s="189" t="n"/>
      <c r="AC303" s="189" t="n"/>
      <c r="AD303" s="189" t="n"/>
      <c r="AE303" s="189" t="n"/>
      <c r="AF303" s="189" t="n"/>
      <c r="AG303" s="189" t="n"/>
      <c r="AH303" s="189" t="n"/>
      <c r="AI303" s="189" t="n"/>
      <c r="AJ303" s="189" t="n"/>
      <c r="AK303" s="189" t="n"/>
      <c r="AL303" s="189" t="n"/>
      <c r="AM303" s="51" t="inlineStr">
        <is>
          <t>U2X</t>
        </is>
      </c>
    </row>
    <row r="304">
      <c r="C304" s="189" t="n"/>
      <c r="D304" s="189" t="n"/>
      <c r="E304" s="189" t="n"/>
      <c r="F304" s="189" t="n"/>
      <c r="G304" s="189" t="n"/>
      <c r="H304" s="189" t="n"/>
      <c r="I304" s="189" t="n"/>
      <c r="J304" s="189" t="n"/>
      <c r="K304" s="189" t="n"/>
      <c r="L304" s="189" t="n"/>
      <c r="M304" s="189" t="n"/>
      <c r="N304" s="189" t="n"/>
      <c r="O304" s="189" t="n"/>
      <c r="P304" s="189" t="n"/>
      <c r="Q304" s="189" t="n"/>
      <c r="R304" s="189" t="n"/>
      <c r="S304" s="189" t="n"/>
      <c r="T304" s="189" t="n"/>
      <c r="U304" s="189" t="n"/>
      <c r="V304" s="189" t="n"/>
      <c r="W304" s="189" t="n"/>
      <c r="X304" s="189" t="n"/>
      <c r="Y304" s="189" t="n"/>
      <c r="Z304" s="189" t="n"/>
      <c r="AA304" s="189" t="n"/>
      <c r="AB304" s="189" t="n"/>
      <c r="AC304" s="189" t="n"/>
      <c r="AD304" s="189" t="n"/>
      <c r="AE304" s="189" t="n"/>
      <c r="AF304" s="189" t="n"/>
      <c r="AG304" s="189" t="n"/>
      <c r="AH304" s="189" t="n"/>
      <c r="AI304" s="189" t="n"/>
      <c r="AJ304" s="189" t="n"/>
      <c r="AK304" s="189" t="n"/>
      <c r="AL304" s="189" t="n"/>
      <c r="AM304" s="51" t="inlineStr">
        <is>
          <t>U2Y</t>
        </is>
      </c>
    </row>
    <row r="305">
      <c r="C305" s="189" t="n"/>
      <c r="D305" s="189" t="n"/>
      <c r="E305" s="189" t="n"/>
      <c r="F305" s="189" t="n"/>
      <c r="G305" s="189" t="n"/>
      <c r="H305" s="189" t="n"/>
      <c r="I305" s="189" t="n"/>
      <c r="J305" s="189" t="n"/>
      <c r="K305" s="189" t="n"/>
      <c r="L305" s="189" t="n"/>
      <c r="M305" s="189" t="n"/>
      <c r="N305" s="189" t="n"/>
      <c r="O305" s="189" t="n"/>
      <c r="P305" s="189" t="n"/>
      <c r="Q305" s="189" t="n"/>
      <c r="R305" s="189" t="n"/>
      <c r="S305" s="189" t="n"/>
      <c r="T305" s="189" t="n"/>
      <c r="U305" s="189" t="n"/>
      <c r="V305" s="189" t="n"/>
      <c r="W305" s="189" t="n"/>
      <c r="X305" s="189" t="n"/>
      <c r="Y305" s="189" t="n"/>
      <c r="Z305" s="189" t="n"/>
      <c r="AA305" s="189" t="n"/>
      <c r="AB305" s="189" t="n"/>
      <c r="AC305" s="189" t="n"/>
      <c r="AD305" s="189" t="n"/>
      <c r="AE305" s="189" t="n"/>
      <c r="AF305" s="189" t="n"/>
      <c r="AG305" s="189" t="n"/>
      <c r="AH305" s="189" t="n"/>
      <c r="AI305" s="189" t="n"/>
      <c r="AJ305" s="189" t="n"/>
      <c r="AK305" s="189" t="n"/>
      <c r="AL305" s="189" t="n"/>
      <c r="AM305" s="51" t="inlineStr">
        <is>
          <t>U2θ</t>
        </is>
      </c>
    </row>
    <row r="306">
      <c r="C306" s="189" t="n"/>
      <c r="D306" s="189" t="n"/>
      <c r="E306" s="189" t="n"/>
      <c r="F306" s="189" t="n"/>
      <c r="G306" s="189" t="n"/>
      <c r="H306" s="189" t="n"/>
      <c r="I306" s="189" t="n"/>
      <c r="J306" s="189" t="n"/>
      <c r="K306" s="189" t="n"/>
      <c r="L306" s="189" t="n"/>
      <c r="M306" s="189" t="n"/>
      <c r="N306" s="189" t="n"/>
      <c r="O306" s="189" t="n"/>
      <c r="P306" s="189" t="n"/>
      <c r="Q306" s="189" t="n"/>
      <c r="R306" s="189" t="n"/>
      <c r="S306" s="189" t="n"/>
      <c r="T306" s="189" t="n"/>
      <c r="U306" s="189" t="n"/>
      <c r="V306" s="189" t="n"/>
      <c r="W306" s="189" t="n"/>
      <c r="X306" s="189" t="n"/>
      <c r="Y306" s="189" t="n"/>
      <c r="Z306" s="189" t="n"/>
      <c r="AA306" s="189" t="n"/>
      <c r="AB306" s="189" t="n"/>
      <c r="AC306" s="189" t="n"/>
      <c r="AD306" s="189" t="n"/>
      <c r="AE306" s="189" t="n"/>
      <c r="AF306" s="189" t="n"/>
      <c r="AG306" s="189" t="n"/>
      <c r="AH306" s="189" t="n"/>
      <c r="AI306" s="189" t="n"/>
      <c r="AJ306" s="189" t="n"/>
      <c r="AK306" s="189" t="n"/>
      <c r="AL306" s="189" t="n"/>
      <c r="AM306" s="51" t="inlineStr">
        <is>
          <t>U3X</t>
        </is>
      </c>
    </row>
    <row r="307">
      <c r="C307" s="189" t="n"/>
      <c r="D307" s="189" t="n"/>
      <c r="E307" s="189" t="n"/>
      <c r="F307" s="189" t="n"/>
      <c r="G307" s="189" t="n"/>
      <c r="H307" s="189" t="n"/>
      <c r="I307" s="189" t="n"/>
      <c r="J307" s="189" t="n"/>
      <c r="K307" s="189" t="n"/>
      <c r="L307" s="189" t="n"/>
      <c r="M307" s="189" t="n"/>
      <c r="N307" s="189" t="n"/>
      <c r="O307" s="189" t="n"/>
      <c r="P307" s="189" t="n"/>
      <c r="Q307" s="189" t="n"/>
      <c r="R307" s="189" t="n"/>
      <c r="S307" s="189" t="n"/>
      <c r="T307" s="189" t="n"/>
      <c r="U307" s="189" t="n"/>
      <c r="V307" s="189" t="n"/>
      <c r="W307" s="189" t="n"/>
      <c r="X307" s="189" t="n"/>
      <c r="Y307" s="189" t="n"/>
      <c r="Z307" s="189" t="n"/>
      <c r="AA307" s="189" t="n"/>
      <c r="AB307" s="189" t="n"/>
      <c r="AC307" s="189" t="n"/>
      <c r="AD307" s="189" t="n"/>
      <c r="AE307" s="189" t="n"/>
      <c r="AF307" s="189" t="n"/>
      <c r="AG307" s="189" t="n"/>
      <c r="AH307" s="189" t="n"/>
      <c r="AI307" s="189" t="n"/>
      <c r="AJ307" s="189" t="n"/>
      <c r="AK307" s="189" t="n"/>
      <c r="AL307" s="189" t="n"/>
      <c r="AM307" s="51" t="inlineStr">
        <is>
          <t>U3Y</t>
        </is>
      </c>
    </row>
    <row r="308">
      <c r="C308" s="189" t="n"/>
      <c r="D308" s="189" t="n"/>
      <c r="E308" s="189" t="n"/>
      <c r="F308" s="189" t="n"/>
      <c r="G308" s="189" t="n"/>
      <c r="H308" s="189" t="n"/>
      <c r="I308" s="189" t="n"/>
      <c r="J308" s="189" t="n"/>
      <c r="K308" s="189" t="n"/>
      <c r="L308" s="189" t="n"/>
      <c r="M308" s="189" t="n"/>
      <c r="N308" s="189" t="n"/>
      <c r="O308" s="189" t="n"/>
      <c r="P308" s="189" t="n"/>
      <c r="Q308" s="189" t="n"/>
      <c r="R308" s="189" t="n"/>
      <c r="S308" s="189" t="n"/>
      <c r="T308" s="189" t="n"/>
      <c r="U308" s="189" t="n"/>
      <c r="V308" s="189" t="n"/>
      <c r="W308" s="189" t="n"/>
      <c r="X308" s="189" t="n"/>
      <c r="Y308" s="189" t="n"/>
      <c r="Z308" s="189" t="n"/>
      <c r="AA308" s="189" t="n"/>
      <c r="AB308" s="189" t="n"/>
      <c r="AC308" s="189" t="n"/>
      <c r="AD308" s="189" t="n"/>
      <c r="AE308" s="189" t="n"/>
      <c r="AF308" s="189" t="n"/>
      <c r="AG308" s="189" t="n"/>
      <c r="AH308" s="189" t="n"/>
      <c r="AI308" s="189" t="n"/>
      <c r="AJ308" s="189" t="n"/>
      <c r="AK308" s="189" t="n"/>
      <c r="AL308" s="189" t="n"/>
      <c r="AM308" s="51" t="inlineStr">
        <is>
          <t>U3θ</t>
        </is>
      </c>
    </row>
    <row r="309">
      <c r="C309" s="189" t="n"/>
      <c r="D309" s="189" t="n"/>
      <c r="E309" s="189" t="n"/>
      <c r="F309" s="189" t="n"/>
      <c r="G309" s="189" t="n"/>
      <c r="H309" s="189" t="n"/>
      <c r="I309" s="189" t="n"/>
      <c r="J309" s="189" t="n"/>
      <c r="K309" s="189" t="n"/>
      <c r="L309" s="189" t="n"/>
      <c r="M309" s="189" t="n"/>
      <c r="N309" s="189" t="n"/>
      <c r="O309" s="189" t="n"/>
      <c r="P309" s="189" t="n"/>
      <c r="Q309" s="189" t="n"/>
      <c r="R309" s="189" t="n"/>
      <c r="S309" s="189" t="n"/>
      <c r="T309" s="189" t="n"/>
      <c r="U309" s="189" t="n"/>
      <c r="V309" s="189" t="n"/>
      <c r="W309" s="189" t="n"/>
      <c r="X309" s="189" t="n"/>
      <c r="Y309" s="189" t="n"/>
      <c r="Z309" s="189" t="n"/>
      <c r="AA309" s="189" t="n"/>
      <c r="AB309" s="189" t="n"/>
      <c r="AC309" s="189" t="n"/>
      <c r="AD309" s="189" t="n"/>
      <c r="AE309" s="189" t="n"/>
      <c r="AF309" s="189" t="n"/>
      <c r="AG309" s="189" t="n"/>
      <c r="AH309" s="189" t="n"/>
      <c r="AI309" s="189" t="n"/>
      <c r="AJ309" s="189" t="n"/>
      <c r="AK309" s="189" t="n"/>
      <c r="AL309" s="189" t="n"/>
      <c r="AM309" s="51" t="inlineStr">
        <is>
          <t>U4X</t>
        </is>
      </c>
    </row>
    <row r="310">
      <c r="C310" s="189" t="n"/>
      <c r="D310" s="189" t="n"/>
      <c r="E310" s="189" t="n"/>
      <c r="F310" s="189" t="n"/>
      <c r="G310" s="189" t="n"/>
      <c r="H310" s="189" t="n"/>
      <c r="I310" s="189" t="n"/>
      <c r="J310" s="189" t="n"/>
      <c r="K310" s="189" t="n"/>
      <c r="L310" s="189" t="n"/>
      <c r="M310" s="189" t="n"/>
      <c r="N310" s="189" t="n"/>
      <c r="O310" s="189" t="n"/>
      <c r="P310" s="189" t="n"/>
      <c r="Q310" s="189" t="n"/>
      <c r="R310" s="189" t="n"/>
      <c r="S310" s="189" t="n"/>
      <c r="T310" s="189" t="n"/>
      <c r="U310" s="189" t="n"/>
      <c r="V310" s="189" t="n"/>
      <c r="W310" s="189" t="n"/>
      <c r="X310" s="189" t="n"/>
      <c r="Y310" s="189" t="n"/>
      <c r="Z310" s="189" t="n"/>
      <c r="AA310" s="189" t="n"/>
      <c r="AB310" s="189" t="n"/>
      <c r="AC310" s="189" t="n"/>
      <c r="AD310" s="189" t="n"/>
      <c r="AE310" s="189" t="n"/>
      <c r="AF310" s="189" t="n"/>
      <c r="AG310" s="189" t="n"/>
      <c r="AH310" s="189" t="n"/>
      <c r="AI310" s="189" t="n"/>
      <c r="AJ310" s="189" t="n"/>
      <c r="AK310" s="189" t="n"/>
      <c r="AL310" s="189" t="n"/>
      <c r="AM310" s="51" t="inlineStr">
        <is>
          <t>U4Y</t>
        </is>
      </c>
    </row>
    <row r="311">
      <c r="C311" s="189" t="n"/>
      <c r="D311" s="189" t="n"/>
      <c r="E311" s="189" t="n"/>
      <c r="F311" s="189" t="n"/>
      <c r="G311" s="189" t="n"/>
      <c r="H311" s="189" t="n"/>
      <c r="I311" s="189" t="n"/>
      <c r="J311" s="189" t="n"/>
      <c r="K311" s="189" t="n"/>
      <c r="L311" s="189" t="n"/>
      <c r="M311" s="189" t="n"/>
      <c r="N311" s="189" t="n"/>
      <c r="O311" s="189" t="n"/>
      <c r="P311" s="189" t="n"/>
      <c r="Q311" s="189" t="n"/>
      <c r="R311" s="189" t="n"/>
      <c r="S311" s="189" t="n"/>
      <c r="T311" s="189" t="n"/>
      <c r="U311" s="189" t="n"/>
      <c r="V311" s="189" t="n"/>
      <c r="W311" s="189" t="n"/>
      <c r="X311" s="189" t="n"/>
      <c r="Y311" s="189" t="n"/>
      <c r="Z311" s="189" t="n"/>
      <c r="AA311" s="189" t="n"/>
      <c r="AB311" s="189" t="n"/>
      <c r="AC311" s="189" t="n"/>
      <c r="AD311" s="189" t="n"/>
      <c r="AE311" s="189" t="n"/>
      <c r="AF311" s="189" t="n"/>
      <c r="AG311" s="189" t="n"/>
      <c r="AH311" s="189" t="n"/>
      <c r="AI311" s="189" t="n"/>
      <c r="AJ311" s="189" t="n"/>
      <c r="AK311" s="189" t="n"/>
      <c r="AL311" s="189" t="n"/>
      <c r="AM311" s="51" t="inlineStr">
        <is>
          <t>U4θ</t>
        </is>
      </c>
    </row>
    <row r="312">
      <c r="C312" s="189" t="n"/>
      <c r="D312" s="189" t="n"/>
      <c r="E312" s="189" t="n"/>
      <c r="F312" s="189" t="n"/>
      <c r="G312" s="189" t="n"/>
      <c r="H312" s="189" t="n"/>
      <c r="I312" s="189" t="n"/>
      <c r="J312" s="189" t="n"/>
      <c r="K312" s="189" t="n"/>
      <c r="L312" s="189" t="n"/>
      <c r="M312" s="189" t="n"/>
      <c r="N312" s="189" t="n"/>
      <c r="O312" s="189" t="n"/>
      <c r="P312" s="189" t="n"/>
      <c r="Q312" s="189" t="n"/>
      <c r="R312" s="189" t="n"/>
      <c r="S312" s="189" t="n"/>
      <c r="T312" s="189" t="n"/>
      <c r="U312" s="189" t="n"/>
      <c r="V312" s="189" t="n"/>
      <c r="W312" s="189" t="n"/>
      <c r="X312" s="189" t="n"/>
      <c r="Y312" s="189" t="n"/>
      <c r="Z312" s="189" t="n"/>
      <c r="AA312" s="189" t="n"/>
      <c r="AB312" s="189" t="n"/>
      <c r="AC312" s="189" t="n"/>
      <c r="AD312" s="189" t="n"/>
      <c r="AE312" s="189" t="n"/>
      <c r="AF312" s="189" t="n"/>
      <c r="AG312" s="189" t="n"/>
      <c r="AH312" s="189" t="n"/>
      <c r="AI312" s="189" t="n"/>
      <c r="AJ312" s="189" t="n"/>
      <c r="AK312" s="189" t="n"/>
      <c r="AL312" s="189" t="n"/>
      <c r="AM312" s="51" t="inlineStr">
        <is>
          <t>U5X</t>
        </is>
      </c>
    </row>
    <row r="313">
      <c r="C313" s="189" t="n"/>
      <c r="D313" s="189" t="n"/>
      <c r="E313" s="189" t="n"/>
      <c r="F313" s="189" t="n"/>
      <c r="G313" s="189" t="n"/>
      <c r="H313" s="189" t="n"/>
      <c r="I313" s="189" t="n"/>
      <c r="J313" s="189" t="n"/>
      <c r="K313" s="189" t="n"/>
      <c r="L313" s="189" t="n"/>
      <c r="M313" s="189" t="n"/>
      <c r="N313" s="189" t="n"/>
      <c r="O313" s="189" t="n"/>
      <c r="P313" s="189" t="n"/>
      <c r="Q313" s="189" t="n"/>
      <c r="R313" s="189" t="n"/>
      <c r="S313" s="189" t="n"/>
      <c r="T313" s="189" t="n"/>
      <c r="U313" s="189" t="n"/>
      <c r="V313" s="189" t="n"/>
      <c r="W313" s="189" t="n"/>
      <c r="X313" s="189" t="n"/>
      <c r="Y313" s="189" t="n"/>
      <c r="Z313" s="189" t="n"/>
      <c r="AA313" s="189" t="n"/>
      <c r="AB313" s="189" t="n"/>
      <c r="AC313" s="189" t="n"/>
      <c r="AD313" s="189" t="n"/>
      <c r="AE313" s="189" t="n"/>
      <c r="AF313" s="189" t="n"/>
      <c r="AG313" s="189" t="n"/>
      <c r="AH313" s="189" t="n"/>
      <c r="AI313" s="189" t="n"/>
      <c r="AJ313" s="189" t="n"/>
      <c r="AK313" s="189" t="n"/>
      <c r="AL313" s="189" t="n"/>
      <c r="AM313" s="51" t="inlineStr">
        <is>
          <t>U5Y</t>
        </is>
      </c>
    </row>
    <row r="314">
      <c r="C314" s="189" t="n"/>
      <c r="D314" s="189" t="n"/>
      <c r="E314" s="189" t="n"/>
      <c r="F314" s="189" t="n"/>
      <c r="G314" s="189" t="n"/>
      <c r="H314" s="189" t="n"/>
      <c r="I314" s="189" t="n"/>
      <c r="J314" s="189" t="n"/>
      <c r="K314" s="189" t="n"/>
      <c r="L314" s="189" t="n"/>
      <c r="M314" s="189" t="n"/>
      <c r="N314" s="189" t="n"/>
      <c r="O314" s="189" t="n"/>
      <c r="P314" s="189" t="n"/>
      <c r="Q314" s="189" t="n"/>
      <c r="R314" s="189" t="n"/>
      <c r="S314" s="189" t="n"/>
      <c r="T314" s="189" t="n"/>
      <c r="U314" s="189" t="n"/>
      <c r="V314" s="189" t="n"/>
      <c r="W314" s="189" t="n"/>
      <c r="X314" s="189" t="n"/>
      <c r="Y314" s="189" t="n"/>
      <c r="Z314" s="189" t="n"/>
      <c r="AA314" s="189" t="n"/>
      <c r="AB314" s="189" t="n"/>
      <c r="AC314" s="189" t="n"/>
      <c r="AD314" s="189" t="n"/>
      <c r="AE314" s="189" t="n"/>
      <c r="AF314" s="189" t="n"/>
      <c r="AG314" s="189" t="n"/>
      <c r="AH314" s="189" t="n"/>
      <c r="AI314" s="189" t="n"/>
      <c r="AJ314" s="189" t="n"/>
      <c r="AK314" s="189" t="n"/>
      <c r="AL314" s="189" t="n"/>
      <c r="AM314" s="51" t="inlineStr">
        <is>
          <t>U5θ</t>
        </is>
      </c>
    </row>
    <row r="315">
      <c r="C315" s="189" t="n"/>
      <c r="D315" s="189" t="n"/>
      <c r="E315" s="189" t="n"/>
      <c r="F315" s="189" t="n"/>
      <c r="G315" s="189" t="n"/>
      <c r="H315" s="189" t="n"/>
      <c r="I315" s="189" t="n"/>
      <c r="J315" s="189" t="n"/>
      <c r="K315" s="189" t="n"/>
      <c r="L315" s="189" t="n"/>
      <c r="M315" s="189" t="n"/>
      <c r="N315" s="189" t="n"/>
      <c r="O315" s="189" t="n"/>
      <c r="P315" s="189" t="n"/>
      <c r="Q315" s="189" t="n"/>
      <c r="R315" s="189">
        <f>C292</f>
        <v/>
      </c>
      <c r="S315" s="189">
        <f>D292</f>
        <v/>
      </c>
      <c r="T315" s="189">
        <f>E292</f>
        <v/>
      </c>
      <c r="U315" s="189">
        <f>F292</f>
        <v/>
      </c>
      <c r="V315" s="189">
        <f>G292</f>
        <v/>
      </c>
      <c r="W315" s="189">
        <f>H292</f>
        <v/>
      </c>
      <c r="X315" s="189" t="n"/>
      <c r="Y315" s="189" t="n"/>
      <c r="Z315" s="189" t="n"/>
      <c r="AA315" s="189" t="n"/>
      <c r="AB315" s="189" t="n"/>
      <c r="AC315" s="189" t="n"/>
      <c r="AD315" s="189" t="n"/>
      <c r="AE315" s="189" t="n"/>
      <c r="AF315" s="189" t="n"/>
      <c r="AG315" s="189" t="n"/>
      <c r="AH315" s="189" t="n"/>
      <c r="AI315" s="189" t="n"/>
      <c r="AJ315" s="189" t="n"/>
      <c r="AK315" s="189" t="n"/>
      <c r="AL315" s="189" t="n"/>
      <c r="AM315" s="51" t="inlineStr">
        <is>
          <t>U6X</t>
        </is>
      </c>
    </row>
    <row r="316">
      <c r="C316" s="189" t="n"/>
      <c r="D316" s="189" t="n"/>
      <c r="E316" s="189" t="n"/>
      <c r="F316" s="189" t="n"/>
      <c r="G316" s="189" t="n"/>
      <c r="H316" s="189" t="n"/>
      <c r="I316" s="189" t="n"/>
      <c r="J316" s="189" t="n"/>
      <c r="K316" s="189" t="n"/>
      <c r="L316" s="189" t="n"/>
      <c r="M316" s="189" t="n"/>
      <c r="N316" s="189" t="n"/>
      <c r="O316" s="189" t="n"/>
      <c r="P316" s="189" t="n"/>
      <c r="Q316" s="189" t="n"/>
      <c r="R316" s="189">
        <f>C293</f>
        <v/>
      </c>
      <c r="S316" s="189">
        <f>D293</f>
        <v/>
      </c>
      <c r="T316" s="189">
        <f>E293</f>
        <v/>
      </c>
      <c r="U316" s="189">
        <f>F293</f>
        <v/>
      </c>
      <c r="V316" s="189">
        <f>G293</f>
        <v/>
      </c>
      <c r="W316" s="189">
        <f>H293</f>
        <v/>
      </c>
      <c r="X316" s="189" t="n"/>
      <c r="Y316" s="189" t="n"/>
      <c r="Z316" s="189" t="n"/>
      <c r="AA316" s="189" t="n"/>
      <c r="AB316" s="189" t="n"/>
      <c r="AC316" s="189" t="n"/>
      <c r="AD316" s="189" t="n"/>
      <c r="AE316" s="189" t="n"/>
      <c r="AF316" s="189" t="n"/>
      <c r="AG316" s="189" t="n"/>
      <c r="AH316" s="189" t="n"/>
      <c r="AI316" s="189" t="n"/>
      <c r="AJ316" s="189" t="n"/>
      <c r="AK316" s="189" t="n"/>
      <c r="AL316" s="189" t="n"/>
      <c r="AM316" s="51" t="inlineStr">
        <is>
          <t>U6Y</t>
        </is>
      </c>
    </row>
    <row r="317">
      <c r="B317" s="118" t="inlineStr">
        <is>
          <t>K6 =</t>
        </is>
      </c>
      <c r="C317" s="189" t="n"/>
      <c r="D317" s="189" t="n"/>
      <c r="E317" s="189" t="n"/>
      <c r="F317" s="189" t="n"/>
      <c r="G317" s="189" t="n"/>
      <c r="H317" s="189" t="n"/>
      <c r="I317" s="189" t="n"/>
      <c r="J317" s="189" t="n"/>
      <c r="K317" s="189" t="n"/>
      <c r="L317" s="189" t="n"/>
      <c r="M317" s="189" t="n"/>
      <c r="N317" s="189" t="n"/>
      <c r="O317" s="189" t="n"/>
      <c r="P317" s="189" t="n"/>
      <c r="Q317" s="189" t="n"/>
      <c r="R317" s="189">
        <f>C294</f>
        <v/>
      </c>
      <c r="S317" s="189">
        <f>D294</f>
        <v/>
      </c>
      <c r="T317" s="189">
        <f>E294</f>
        <v/>
      </c>
      <c r="U317" s="189">
        <f>F294</f>
        <v/>
      </c>
      <c r="V317" s="189">
        <f>G294</f>
        <v/>
      </c>
      <c r="W317" s="189">
        <f>H294</f>
        <v/>
      </c>
      <c r="X317" s="189" t="n"/>
      <c r="Y317" s="189" t="n"/>
      <c r="Z317" s="189" t="n"/>
      <c r="AA317" s="189" t="n"/>
      <c r="AB317" s="189" t="n"/>
      <c r="AC317" s="189" t="n"/>
      <c r="AD317" s="189" t="n"/>
      <c r="AE317" s="189" t="n"/>
      <c r="AF317" s="189" t="n"/>
      <c r="AG317" s="189" t="n"/>
      <c r="AH317" s="189" t="n"/>
      <c r="AI317" s="189" t="n"/>
      <c r="AJ317" s="189" t="n"/>
      <c r="AK317" s="189" t="n"/>
      <c r="AL317" s="189" t="n"/>
      <c r="AM317" s="51" t="inlineStr">
        <is>
          <t>U6θ</t>
        </is>
      </c>
    </row>
    <row r="318">
      <c r="C318" s="189" t="n"/>
      <c r="D318" s="189" t="n"/>
      <c r="E318" s="189" t="n"/>
      <c r="F318" s="189" t="n"/>
      <c r="G318" s="189" t="n"/>
      <c r="H318" s="189" t="n"/>
      <c r="I318" s="189" t="n"/>
      <c r="J318" s="189" t="n"/>
      <c r="K318" s="189" t="n"/>
      <c r="L318" s="189" t="n"/>
      <c r="M318" s="189" t="n"/>
      <c r="N318" s="189" t="n"/>
      <c r="O318" s="189" t="n"/>
      <c r="P318" s="189" t="n"/>
      <c r="Q318" s="189" t="n"/>
      <c r="R318" s="189">
        <f>C295</f>
        <v/>
      </c>
      <c r="S318" s="189">
        <f>D295</f>
        <v/>
      </c>
      <c r="T318" s="189">
        <f>E295</f>
        <v/>
      </c>
      <c r="U318" s="189">
        <f>F295</f>
        <v/>
      </c>
      <c r="V318" s="189">
        <f>G295</f>
        <v/>
      </c>
      <c r="W318" s="189">
        <f>H295</f>
        <v/>
      </c>
      <c r="X318" s="189" t="n"/>
      <c r="Y318" s="189" t="n"/>
      <c r="Z318" s="189" t="n"/>
      <c r="AA318" s="189" t="n"/>
      <c r="AB318" s="189" t="n"/>
      <c r="AC318" s="189" t="n"/>
      <c r="AD318" s="189" t="n"/>
      <c r="AE318" s="189" t="n"/>
      <c r="AF318" s="189" t="n"/>
      <c r="AG318" s="189" t="n"/>
      <c r="AH318" s="189" t="n"/>
      <c r="AI318" s="189" t="n"/>
      <c r="AJ318" s="189" t="n"/>
      <c r="AK318" s="189" t="n"/>
      <c r="AL318" s="189" t="n"/>
      <c r="AM318" s="51" t="inlineStr">
        <is>
          <t>U7X</t>
        </is>
      </c>
    </row>
    <row r="319">
      <c r="C319" s="189" t="n"/>
      <c r="D319" s="189" t="n"/>
      <c r="E319" s="189" t="n"/>
      <c r="F319" s="189" t="n"/>
      <c r="G319" s="189" t="n"/>
      <c r="H319" s="189" t="n"/>
      <c r="I319" s="189" t="n"/>
      <c r="J319" s="189" t="n"/>
      <c r="K319" s="189" t="n"/>
      <c r="L319" s="189" t="n"/>
      <c r="M319" s="189" t="n"/>
      <c r="N319" s="189" t="n"/>
      <c r="O319" s="189" t="n"/>
      <c r="P319" s="189" t="n"/>
      <c r="Q319" s="189" t="n"/>
      <c r="R319" s="189">
        <f>C296</f>
        <v/>
      </c>
      <c r="S319" s="189">
        <f>D296</f>
        <v/>
      </c>
      <c r="T319" s="189">
        <f>E296</f>
        <v/>
      </c>
      <c r="U319" s="189">
        <f>F296</f>
        <v/>
      </c>
      <c r="V319" s="189">
        <f>G296</f>
        <v/>
      </c>
      <c r="W319" s="189">
        <f>H296</f>
        <v/>
      </c>
      <c r="X319" s="189" t="n"/>
      <c r="Y319" s="189" t="n"/>
      <c r="Z319" s="189" t="n"/>
      <c r="AA319" s="189" t="n"/>
      <c r="AB319" s="189" t="n"/>
      <c r="AC319" s="189" t="n"/>
      <c r="AD319" s="189" t="n"/>
      <c r="AE319" s="189" t="n"/>
      <c r="AF319" s="189" t="n"/>
      <c r="AG319" s="189" t="n"/>
      <c r="AH319" s="189" t="n"/>
      <c r="AI319" s="189" t="n"/>
      <c r="AJ319" s="189" t="n"/>
      <c r="AK319" s="189" t="n"/>
      <c r="AL319" s="189" t="n"/>
      <c r="AM319" s="51" t="inlineStr">
        <is>
          <t>U7Y</t>
        </is>
      </c>
    </row>
    <row r="320">
      <c r="C320" s="189" t="n"/>
      <c r="D320" s="189" t="n"/>
      <c r="E320" s="189" t="n"/>
      <c r="F320" s="189" t="n"/>
      <c r="G320" s="189" t="n"/>
      <c r="H320" s="189" t="n"/>
      <c r="I320" s="189" t="n"/>
      <c r="J320" s="189" t="n"/>
      <c r="K320" s="189" t="n"/>
      <c r="L320" s="189" t="n"/>
      <c r="M320" s="189" t="n"/>
      <c r="N320" s="189" t="n"/>
      <c r="O320" s="189" t="n"/>
      <c r="P320" s="189" t="n"/>
      <c r="Q320" s="189" t="n"/>
      <c r="R320" s="189">
        <f>C297</f>
        <v/>
      </c>
      <c r="S320" s="189">
        <f>D297</f>
        <v/>
      </c>
      <c r="T320" s="189">
        <f>E297</f>
        <v/>
      </c>
      <c r="U320" s="189">
        <f>F297</f>
        <v/>
      </c>
      <c r="V320" s="189">
        <f>G297</f>
        <v/>
      </c>
      <c r="W320" s="189">
        <f>H297</f>
        <v/>
      </c>
      <c r="X320" s="189" t="n"/>
      <c r="Y320" s="189" t="n"/>
      <c r="Z320" s="189" t="n"/>
      <c r="AA320" s="189" t="n"/>
      <c r="AB320" s="189" t="n"/>
      <c r="AC320" s="189" t="n"/>
      <c r="AD320" s="189" t="n"/>
      <c r="AE320" s="189" t="n"/>
      <c r="AF320" s="189" t="n"/>
      <c r="AG320" s="189" t="n"/>
      <c r="AH320" s="189" t="n"/>
      <c r="AI320" s="189" t="n"/>
      <c r="AJ320" s="189" t="n"/>
      <c r="AK320" s="189" t="n"/>
      <c r="AL320" s="189" t="n"/>
      <c r="AM320" s="51" t="inlineStr">
        <is>
          <t>U7θ</t>
        </is>
      </c>
    </row>
    <row r="321">
      <c r="C321" s="189" t="n"/>
      <c r="D321" s="189" t="n"/>
      <c r="E321" s="189" t="n"/>
      <c r="F321" s="189" t="n"/>
      <c r="G321" s="189" t="n"/>
      <c r="H321" s="189" t="n"/>
      <c r="I321" s="189" t="n"/>
      <c r="J321" s="189" t="n"/>
      <c r="K321" s="189" t="n"/>
      <c r="L321" s="189" t="n"/>
      <c r="M321" s="189" t="n"/>
      <c r="N321" s="189" t="n"/>
      <c r="O321" s="189" t="n"/>
      <c r="P321" s="189" t="n"/>
      <c r="Q321" s="189" t="n"/>
      <c r="R321" s="189" t="n"/>
      <c r="S321" s="189" t="n"/>
      <c r="T321" s="189" t="n"/>
      <c r="U321" s="189" t="n"/>
      <c r="V321" s="189" t="n"/>
      <c r="W321" s="189" t="n"/>
      <c r="X321" s="189" t="n"/>
      <c r="Y321" s="189" t="n"/>
      <c r="Z321" s="189" t="n"/>
      <c r="AA321" s="189" t="n"/>
      <c r="AB321" s="189" t="n"/>
      <c r="AC321" s="189" t="n"/>
      <c r="AD321" s="189" t="n"/>
      <c r="AE321" s="189" t="n"/>
      <c r="AF321" s="189" t="n"/>
      <c r="AG321" s="189" t="n"/>
      <c r="AH321" s="189" t="n"/>
      <c r="AI321" s="189" t="n"/>
      <c r="AJ321" s="189" t="n"/>
      <c r="AK321" s="189" t="n"/>
      <c r="AL321" s="189" t="n"/>
      <c r="AM321" s="51" t="inlineStr">
        <is>
          <t>U8X</t>
        </is>
      </c>
    </row>
    <row r="322">
      <c r="C322" s="189" t="n"/>
      <c r="D322" s="189" t="n"/>
      <c r="E322" s="189" t="n"/>
      <c r="F322" s="189" t="n"/>
      <c r="G322" s="189" t="n"/>
      <c r="H322" s="189" t="n"/>
      <c r="I322" s="189" t="n"/>
      <c r="J322" s="189" t="n"/>
      <c r="K322" s="189" t="n"/>
      <c r="L322" s="189" t="n"/>
      <c r="M322" s="189" t="n"/>
      <c r="N322" s="189" t="n"/>
      <c r="O322" s="189" t="n"/>
      <c r="P322" s="189" t="n"/>
      <c r="Q322" s="189" t="n"/>
      <c r="R322" s="189" t="n"/>
      <c r="S322" s="189" t="n"/>
      <c r="T322" s="189" t="n"/>
      <c r="U322" s="189" t="n"/>
      <c r="V322" s="189" t="n"/>
      <c r="W322" s="189" t="n"/>
      <c r="X322" s="189" t="n"/>
      <c r="Y322" s="189" t="n"/>
      <c r="Z322" s="189" t="n"/>
      <c r="AA322" s="189" t="n"/>
      <c r="AB322" s="189" t="n"/>
      <c r="AC322" s="189" t="n"/>
      <c r="AD322" s="189" t="n"/>
      <c r="AE322" s="189" t="n"/>
      <c r="AF322" s="189" t="n"/>
      <c r="AG322" s="189" t="n"/>
      <c r="AH322" s="189" t="n"/>
      <c r="AI322" s="189" t="n"/>
      <c r="AJ322" s="189" t="n"/>
      <c r="AK322" s="189" t="n"/>
      <c r="AL322" s="189" t="n"/>
      <c r="AM322" s="51" t="inlineStr">
        <is>
          <t>U8Y</t>
        </is>
      </c>
    </row>
    <row r="323">
      <c r="C323" s="189" t="n"/>
      <c r="D323" s="189" t="n"/>
      <c r="E323" s="189" t="n"/>
      <c r="F323" s="189" t="n"/>
      <c r="G323" s="189" t="n"/>
      <c r="H323" s="189" t="n"/>
      <c r="I323" s="189" t="n"/>
      <c r="J323" s="189" t="n"/>
      <c r="K323" s="189" t="n"/>
      <c r="L323" s="189" t="n"/>
      <c r="M323" s="189" t="n"/>
      <c r="N323" s="189" t="n"/>
      <c r="O323" s="189" t="n"/>
      <c r="P323" s="189" t="n"/>
      <c r="Q323" s="189" t="n"/>
      <c r="R323" s="189" t="n"/>
      <c r="S323" s="189" t="n"/>
      <c r="T323" s="189" t="n"/>
      <c r="U323" s="189" t="n"/>
      <c r="V323" s="189" t="n"/>
      <c r="W323" s="189" t="n"/>
      <c r="X323" s="189" t="n"/>
      <c r="Y323" s="189" t="n"/>
      <c r="Z323" s="189" t="n"/>
      <c r="AA323" s="189" t="n"/>
      <c r="AB323" s="189" t="n"/>
      <c r="AC323" s="189" t="n"/>
      <c r="AD323" s="189" t="n"/>
      <c r="AE323" s="189" t="n"/>
      <c r="AF323" s="189" t="n"/>
      <c r="AG323" s="189" t="n"/>
      <c r="AH323" s="189" t="n"/>
      <c r="AI323" s="189" t="n"/>
      <c r="AJ323" s="189" t="n"/>
      <c r="AK323" s="189" t="n"/>
      <c r="AL323" s="189" t="n"/>
      <c r="AM323" s="51" t="inlineStr">
        <is>
          <t>U8θ</t>
        </is>
      </c>
    </row>
    <row r="324">
      <c r="C324" s="189" t="n"/>
      <c r="D324" s="189" t="n"/>
      <c r="E324" s="189" t="n"/>
      <c r="F324" s="189" t="n"/>
      <c r="G324" s="189" t="n"/>
      <c r="H324" s="189" t="n"/>
      <c r="I324" s="189" t="n"/>
      <c r="J324" s="189" t="n"/>
      <c r="K324" s="189" t="n"/>
      <c r="L324" s="189" t="n"/>
      <c r="M324" s="189" t="n"/>
      <c r="N324" s="189" t="n"/>
      <c r="O324" s="189" t="n"/>
      <c r="P324" s="189" t="n"/>
      <c r="Q324" s="189" t="n"/>
      <c r="R324" s="189" t="n"/>
      <c r="S324" s="189" t="n"/>
      <c r="T324" s="189" t="n"/>
      <c r="U324" s="189" t="n"/>
      <c r="V324" s="189" t="n"/>
      <c r="W324" s="189" t="n"/>
      <c r="X324" s="189" t="n"/>
      <c r="Y324" s="189" t="n"/>
      <c r="Z324" s="189" t="n"/>
      <c r="AA324" s="189" t="n"/>
      <c r="AB324" s="189" t="n"/>
      <c r="AC324" s="189" t="n"/>
      <c r="AD324" s="189" t="n"/>
      <c r="AE324" s="189" t="n"/>
      <c r="AF324" s="189" t="n"/>
      <c r="AG324" s="189" t="n"/>
      <c r="AH324" s="189" t="n"/>
      <c r="AI324" s="189" t="n"/>
      <c r="AJ324" s="189" t="n"/>
      <c r="AK324" s="189" t="n"/>
      <c r="AL324" s="189" t="n"/>
      <c r="AM324" s="51" t="inlineStr">
        <is>
          <t>U9X</t>
        </is>
      </c>
    </row>
    <row r="325">
      <c r="C325" s="189" t="n"/>
      <c r="D325" s="189" t="n"/>
      <c r="E325" s="189" t="n"/>
      <c r="F325" s="189" t="n"/>
      <c r="G325" s="189" t="n"/>
      <c r="H325" s="189" t="n"/>
      <c r="I325" s="189" t="n"/>
      <c r="J325" s="189" t="n"/>
      <c r="K325" s="189" t="n"/>
      <c r="L325" s="189" t="n"/>
      <c r="M325" s="189" t="n"/>
      <c r="N325" s="189" t="n"/>
      <c r="O325" s="189" t="n"/>
      <c r="P325" s="189" t="n"/>
      <c r="Q325" s="189" t="n"/>
      <c r="R325" s="189" t="n"/>
      <c r="S325" s="189" t="n"/>
      <c r="T325" s="189" t="n"/>
      <c r="U325" s="189" t="n"/>
      <c r="V325" s="189" t="n"/>
      <c r="W325" s="189" t="n"/>
      <c r="X325" s="189" t="n"/>
      <c r="Y325" s="189" t="n"/>
      <c r="Z325" s="189" t="n"/>
      <c r="AA325" s="189" t="n"/>
      <c r="AB325" s="189" t="n"/>
      <c r="AC325" s="189" t="n"/>
      <c r="AD325" s="189" t="n"/>
      <c r="AE325" s="189" t="n"/>
      <c r="AF325" s="189" t="n"/>
      <c r="AG325" s="189" t="n"/>
      <c r="AH325" s="189" t="n"/>
      <c r="AI325" s="189" t="n"/>
      <c r="AJ325" s="189" t="n"/>
      <c r="AK325" s="189" t="n"/>
      <c r="AL325" s="189" t="n"/>
      <c r="AM325" s="51" t="inlineStr">
        <is>
          <t>U9Y</t>
        </is>
      </c>
    </row>
    <row r="326">
      <c r="C326" s="189" t="n"/>
      <c r="D326" s="189" t="n"/>
      <c r="E326" s="189" t="n"/>
      <c r="F326" s="189" t="n"/>
      <c r="G326" s="189" t="n"/>
      <c r="H326" s="189" t="n"/>
      <c r="I326" s="189" t="n"/>
      <c r="J326" s="189" t="n"/>
      <c r="K326" s="189" t="n"/>
      <c r="L326" s="189" t="n"/>
      <c r="M326" s="189" t="n"/>
      <c r="N326" s="189" t="n"/>
      <c r="O326" s="189" t="n"/>
      <c r="P326" s="189" t="n"/>
      <c r="Q326" s="189" t="n"/>
      <c r="R326" s="189" t="n"/>
      <c r="S326" s="189" t="n"/>
      <c r="T326" s="189" t="n"/>
      <c r="U326" s="189" t="n"/>
      <c r="V326" s="189" t="n"/>
      <c r="W326" s="189" t="n"/>
      <c r="X326" s="189" t="n"/>
      <c r="Y326" s="189" t="n"/>
      <c r="Z326" s="189" t="n"/>
      <c r="AA326" s="189" t="n"/>
      <c r="AB326" s="189" t="n"/>
      <c r="AC326" s="189" t="n"/>
      <c r="AD326" s="189" t="n"/>
      <c r="AE326" s="189" t="n"/>
      <c r="AF326" s="189" t="n"/>
      <c r="AG326" s="189" t="n"/>
      <c r="AH326" s="189" t="n"/>
      <c r="AI326" s="189" t="n"/>
      <c r="AJ326" s="189" t="n"/>
      <c r="AK326" s="189" t="n"/>
      <c r="AL326" s="189" t="n"/>
      <c r="AM326" s="51" t="inlineStr">
        <is>
          <t>U9θ</t>
        </is>
      </c>
    </row>
    <row r="327">
      <c r="C327" s="189" t="n"/>
      <c r="D327" s="189" t="n"/>
      <c r="E327" s="189" t="n"/>
      <c r="F327" s="189" t="n"/>
      <c r="G327" s="189" t="n"/>
      <c r="H327" s="189" t="n"/>
      <c r="I327" s="189" t="n"/>
      <c r="J327" s="189" t="n"/>
      <c r="K327" s="189" t="n"/>
      <c r="L327" s="189" t="n"/>
      <c r="M327" s="189" t="n"/>
      <c r="N327" s="189" t="n"/>
      <c r="O327" s="189" t="n"/>
      <c r="P327" s="189" t="n"/>
      <c r="Q327" s="189" t="n"/>
      <c r="R327" s="189" t="n"/>
      <c r="S327" s="189" t="n"/>
      <c r="T327" s="189" t="n"/>
      <c r="U327" s="189" t="n"/>
      <c r="V327" s="189" t="n"/>
      <c r="W327" s="189" t="n"/>
      <c r="X327" s="189" t="n"/>
      <c r="Y327" s="189" t="n"/>
      <c r="Z327" s="189" t="n"/>
      <c r="AA327" s="189" t="n"/>
      <c r="AB327" s="189" t="n"/>
      <c r="AC327" s="189" t="n"/>
      <c r="AD327" s="189" t="n"/>
      <c r="AE327" s="189" t="n"/>
      <c r="AF327" s="189" t="n"/>
      <c r="AG327" s="189" t="n"/>
      <c r="AH327" s="189" t="n"/>
      <c r="AI327" s="189" t="n"/>
      <c r="AJ327" s="189" t="n"/>
      <c r="AK327" s="189" t="n"/>
      <c r="AL327" s="189" t="n"/>
      <c r="AM327" s="51" t="inlineStr">
        <is>
          <t>U10X</t>
        </is>
      </c>
    </row>
    <row r="328">
      <c r="C328" s="189" t="n"/>
      <c r="D328" s="189" t="n"/>
      <c r="E328" s="189" t="n"/>
      <c r="F328" s="189" t="n"/>
      <c r="G328" s="189" t="n"/>
      <c r="H328" s="189" t="n"/>
      <c r="I328" s="189" t="n"/>
      <c r="J328" s="189" t="n"/>
      <c r="K328" s="189" t="n"/>
      <c r="L328" s="189" t="n"/>
      <c r="M328" s="189" t="n"/>
      <c r="N328" s="189" t="n"/>
      <c r="O328" s="189" t="n"/>
      <c r="P328" s="189" t="n"/>
      <c r="Q328" s="189" t="n"/>
      <c r="R328" s="189" t="n"/>
      <c r="S328" s="189" t="n"/>
      <c r="T328" s="189" t="n"/>
      <c r="U328" s="189" t="n"/>
      <c r="V328" s="189" t="n"/>
      <c r="W328" s="189" t="n"/>
      <c r="X328" s="189" t="n"/>
      <c r="Y328" s="189" t="n"/>
      <c r="Z328" s="189" t="n"/>
      <c r="AA328" s="189" t="n"/>
      <c r="AB328" s="189" t="n"/>
      <c r="AC328" s="189" t="n"/>
      <c r="AD328" s="189" t="n"/>
      <c r="AE328" s="189" t="n"/>
      <c r="AF328" s="189" t="n"/>
      <c r="AG328" s="189" t="n"/>
      <c r="AH328" s="189" t="n"/>
      <c r="AI328" s="189" t="n"/>
      <c r="AJ328" s="189" t="n"/>
      <c r="AK328" s="189" t="n"/>
      <c r="AL328" s="189" t="n"/>
      <c r="AM328" s="51" t="inlineStr">
        <is>
          <t>U10Y</t>
        </is>
      </c>
    </row>
    <row r="329">
      <c r="C329" s="189" t="n"/>
      <c r="D329" s="189" t="n"/>
      <c r="E329" s="189" t="n"/>
      <c r="F329" s="189" t="n"/>
      <c r="G329" s="189" t="n"/>
      <c r="H329" s="189" t="n"/>
      <c r="I329" s="189" t="n"/>
      <c r="J329" s="189" t="n"/>
      <c r="K329" s="189" t="n"/>
      <c r="L329" s="189" t="n"/>
      <c r="M329" s="189" t="n"/>
      <c r="N329" s="189" t="n"/>
      <c r="O329" s="189" t="n"/>
      <c r="P329" s="189" t="n"/>
      <c r="Q329" s="189" t="n"/>
      <c r="R329" s="189" t="n"/>
      <c r="S329" s="189" t="n"/>
      <c r="T329" s="189" t="n"/>
      <c r="U329" s="189" t="n"/>
      <c r="V329" s="189" t="n"/>
      <c r="W329" s="189" t="n"/>
      <c r="X329" s="189" t="n"/>
      <c r="Y329" s="189" t="n"/>
      <c r="Z329" s="189" t="n"/>
      <c r="AA329" s="189" t="n"/>
      <c r="AB329" s="189" t="n"/>
      <c r="AC329" s="189" t="n"/>
      <c r="AD329" s="189" t="n"/>
      <c r="AE329" s="189" t="n"/>
      <c r="AF329" s="189" t="n"/>
      <c r="AG329" s="189" t="n"/>
      <c r="AH329" s="189" t="n"/>
      <c r="AI329" s="189" t="n"/>
      <c r="AJ329" s="189" t="n"/>
      <c r="AK329" s="189" t="n"/>
      <c r="AL329" s="189" t="n"/>
      <c r="AM329" s="51" t="inlineStr">
        <is>
          <t>U10θ</t>
        </is>
      </c>
    </row>
    <row r="330">
      <c r="C330" s="189" t="n"/>
      <c r="D330" s="189" t="n"/>
      <c r="E330" s="189" t="n"/>
      <c r="F330" s="189" t="n"/>
      <c r="G330" s="189" t="n"/>
      <c r="H330" s="189" t="n"/>
      <c r="I330" s="189" t="n"/>
      <c r="J330" s="189" t="n"/>
      <c r="K330" s="189" t="n"/>
      <c r="L330" s="189" t="n"/>
      <c r="M330" s="189" t="n"/>
      <c r="N330" s="189" t="n"/>
      <c r="O330" s="189" t="n"/>
      <c r="P330" s="189" t="n"/>
      <c r="Q330" s="189" t="n"/>
      <c r="R330" s="189" t="n"/>
      <c r="S330" s="189" t="n"/>
      <c r="T330" s="189" t="n"/>
      <c r="U330" s="189" t="n"/>
      <c r="V330" s="189" t="n"/>
      <c r="W330" s="189" t="n"/>
      <c r="X330" s="189" t="n"/>
      <c r="Y330" s="189" t="n"/>
      <c r="Z330" s="189" t="n"/>
      <c r="AA330" s="189" t="n"/>
      <c r="AB330" s="189" t="n"/>
      <c r="AC330" s="189" t="n"/>
      <c r="AD330" s="189" t="n"/>
      <c r="AE330" s="189" t="n"/>
      <c r="AF330" s="189" t="n"/>
      <c r="AG330" s="189" t="n"/>
      <c r="AH330" s="189" t="n"/>
      <c r="AI330" s="189" t="n"/>
      <c r="AJ330" s="189" t="n"/>
      <c r="AK330" s="189" t="n"/>
      <c r="AL330" s="189" t="n"/>
      <c r="AM330" s="51" t="inlineStr">
        <is>
          <t>U11X</t>
        </is>
      </c>
    </row>
    <row r="331">
      <c r="C331" s="189" t="n"/>
      <c r="D331" s="189" t="n"/>
      <c r="E331" s="189" t="n"/>
      <c r="F331" s="189" t="n"/>
      <c r="G331" s="189" t="n"/>
      <c r="H331" s="189" t="n"/>
      <c r="I331" s="189" t="n"/>
      <c r="J331" s="189" t="n"/>
      <c r="K331" s="189" t="n"/>
      <c r="L331" s="189" t="n"/>
      <c r="M331" s="189" t="n"/>
      <c r="N331" s="189" t="n"/>
      <c r="O331" s="189" t="n"/>
      <c r="P331" s="189" t="n"/>
      <c r="Q331" s="189" t="n"/>
      <c r="R331" s="189" t="n"/>
      <c r="S331" s="189" t="n"/>
      <c r="T331" s="189" t="n"/>
      <c r="U331" s="189" t="n"/>
      <c r="V331" s="189" t="n"/>
      <c r="W331" s="189" t="n"/>
      <c r="X331" s="189" t="n"/>
      <c r="Y331" s="189" t="n"/>
      <c r="Z331" s="189" t="n"/>
      <c r="AA331" s="189" t="n"/>
      <c r="AB331" s="189" t="n"/>
      <c r="AC331" s="189" t="n"/>
      <c r="AD331" s="189" t="n"/>
      <c r="AE331" s="189" t="n"/>
      <c r="AF331" s="189" t="n"/>
      <c r="AG331" s="189" t="n"/>
      <c r="AH331" s="189" t="n"/>
      <c r="AI331" s="189" t="n"/>
      <c r="AJ331" s="189" t="n"/>
      <c r="AK331" s="189" t="n"/>
      <c r="AL331" s="189" t="n"/>
      <c r="AM331" s="51" t="inlineStr">
        <is>
          <t>U11Y</t>
        </is>
      </c>
    </row>
    <row r="332">
      <c r="C332" s="189" t="n"/>
      <c r="D332" s="189" t="n"/>
      <c r="E332" s="189" t="n"/>
      <c r="F332" s="189" t="n"/>
      <c r="G332" s="189" t="n"/>
      <c r="H332" s="189" t="n"/>
      <c r="I332" s="189" t="n"/>
      <c r="J332" s="189" t="n"/>
      <c r="K332" s="189" t="n"/>
      <c r="L332" s="189" t="n"/>
      <c r="M332" s="189" t="n"/>
      <c r="N332" s="189" t="n"/>
      <c r="O332" s="189" t="n"/>
      <c r="P332" s="189" t="n"/>
      <c r="Q332" s="189" t="n"/>
      <c r="R332" s="189" t="n"/>
      <c r="S332" s="189" t="n"/>
      <c r="T332" s="189" t="n"/>
      <c r="U332" s="189" t="n"/>
      <c r="V332" s="189" t="n"/>
      <c r="W332" s="189" t="n"/>
      <c r="X332" s="189" t="n"/>
      <c r="Y332" s="189" t="n"/>
      <c r="Z332" s="189" t="n"/>
      <c r="AA332" s="189" t="n"/>
      <c r="AB332" s="189" t="n"/>
      <c r="AC332" s="189" t="n"/>
      <c r="AD332" s="189" t="n"/>
      <c r="AE332" s="189" t="n"/>
      <c r="AF332" s="189" t="n"/>
      <c r="AG332" s="189" t="n"/>
      <c r="AH332" s="189" t="n"/>
      <c r="AI332" s="189" t="n"/>
      <c r="AJ332" s="189" t="n"/>
      <c r="AK332" s="189" t="n"/>
      <c r="AL332" s="189" t="n"/>
      <c r="AM332" s="51" t="inlineStr">
        <is>
          <t>U11θ</t>
        </is>
      </c>
    </row>
    <row r="333">
      <c r="C333" s="189" t="n"/>
      <c r="D333" s="189" t="n"/>
      <c r="E333" s="189" t="n"/>
      <c r="F333" s="189" t="n"/>
      <c r="G333" s="189" t="n"/>
      <c r="H333" s="189" t="n"/>
      <c r="I333" s="189" t="n"/>
      <c r="J333" s="189" t="n"/>
      <c r="K333" s="189" t="n"/>
      <c r="L333" s="189" t="n"/>
      <c r="M333" s="189" t="n"/>
      <c r="N333" s="189" t="n"/>
      <c r="O333" s="189" t="n"/>
      <c r="P333" s="189" t="n"/>
      <c r="Q333" s="189" t="n"/>
      <c r="R333" s="189" t="n"/>
      <c r="S333" s="189" t="n"/>
      <c r="T333" s="189" t="n"/>
      <c r="U333" s="189" t="n"/>
      <c r="V333" s="189" t="n"/>
      <c r="W333" s="189" t="n"/>
      <c r="X333" s="189" t="n"/>
      <c r="Y333" s="189" t="n"/>
      <c r="Z333" s="189" t="n"/>
      <c r="AA333" s="189" t="n"/>
      <c r="AB333" s="189" t="n"/>
      <c r="AC333" s="189" t="n"/>
      <c r="AD333" s="189" t="n"/>
      <c r="AE333" s="189" t="n"/>
      <c r="AF333" s="189" t="n"/>
      <c r="AG333" s="189" t="n"/>
      <c r="AH333" s="189" t="n"/>
      <c r="AI333" s="189" t="n"/>
      <c r="AJ333" s="189" t="n"/>
      <c r="AK333" s="189" t="n"/>
      <c r="AL333" s="189" t="n"/>
      <c r="AM333" s="51" t="inlineStr">
        <is>
          <t>U12X</t>
        </is>
      </c>
    </row>
    <row r="334">
      <c r="C334" s="189" t="n"/>
      <c r="D334" s="189" t="n"/>
      <c r="E334" s="189" t="n"/>
      <c r="F334" s="189" t="n"/>
      <c r="G334" s="189" t="n"/>
      <c r="H334" s="189" t="n"/>
      <c r="I334" s="189" t="n"/>
      <c r="J334" s="189" t="n"/>
      <c r="K334" s="189" t="n"/>
      <c r="L334" s="189" t="n"/>
      <c r="M334" s="189" t="n"/>
      <c r="N334" s="189" t="n"/>
      <c r="O334" s="189" t="n"/>
      <c r="P334" s="189" t="n"/>
      <c r="Q334" s="189" t="n"/>
      <c r="R334" s="189" t="n"/>
      <c r="S334" s="189" t="n"/>
      <c r="T334" s="189" t="n"/>
      <c r="U334" s="189" t="n"/>
      <c r="V334" s="189" t="n"/>
      <c r="W334" s="189" t="n"/>
      <c r="X334" s="189" t="n"/>
      <c r="Y334" s="189" t="n"/>
      <c r="Z334" s="189" t="n"/>
      <c r="AA334" s="189" t="n"/>
      <c r="AB334" s="189" t="n"/>
      <c r="AC334" s="189" t="n"/>
      <c r="AD334" s="189" t="n"/>
      <c r="AE334" s="189" t="n"/>
      <c r="AF334" s="189" t="n"/>
      <c r="AG334" s="189" t="n"/>
      <c r="AH334" s="189" t="n"/>
      <c r="AI334" s="189" t="n"/>
      <c r="AJ334" s="189" t="n"/>
      <c r="AK334" s="189" t="n"/>
      <c r="AL334" s="189" t="n"/>
      <c r="AM334" s="51" t="inlineStr">
        <is>
          <t>U12Y</t>
        </is>
      </c>
    </row>
    <row r="335">
      <c r="C335" s="189" t="n"/>
      <c r="D335" s="189" t="n"/>
      <c r="E335" s="189" t="n"/>
      <c r="F335" s="189" t="n"/>
      <c r="G335" s="189" t="n"/>
      <c r="H335" s="189" t="n"/>
      <c r="I335" s="189" t="n"/>
      <c r="J335" s="189" t="n"/>
      <c r="K335" s="189" t="n"/>
      <c r="L335" s="189" t="n"/>
      <c r="M335" s="189" t="n"/>
      <c r="N335" s="189" t="n"/>
      <c r="O335" s="189" t="n"/>
      <c r="P335" s="189" t="n"/>
      <c r="Q335" s="189" t="n"/>
      <c r="R335" s="189" t="n"/>
      <c r="S335" s="189" t="n"/>
      <c r="T335" s="189" t="n"/>
      <c r="U335" s="189" t="n"/>
      <c r="V335" s="189" t="n"/>
      <c r="W335" s="189" t="n"/>
      <c r="X335" s="189" t="n"/>
      <c r="Y335" s="189" t="n"/>
      <c r="Z335" s="189" t="n"/>
      <c r="AA335" s="189" t="n"/>
      <c r="AB335" s="189" t="n"/>
      <c r="AC335" s="189" t="n"/>
      <c r="AD335" s="189" t="n"/>
      <c r="AE335" s="189" t="n"/>
      <c r="AF335" s="189" t="n"/>
      <c r="AG335" s="189" t="n"/>
      <c r="AH335" s="189" t="n"/>
      <c r="AI335" s="189" t="n"/>
      <c r="AJ335" s="189" t="n"/>
      <c r="AK335" s="189" t="n"/>
      <c r="AL335" s="189" t="n"/>
      <c r="AM335" s="51" t="inlineStr">
        <is>
          <t>U12θ</t>
        </is>
      </c>
    </row>
    <row r="338">
      <c r="C338" s="51">
        <f>IF(C34="","", CONCATENATE("U",C34,C$27))</f>
        <v/>
      </c>
      <c r="D338" s="51">
        <f>IF(D34="","", CONCATENATE("U",D34,D$27))</f>
        <v/>
      </c>
      <c r="E338" s="51">
        <f>IF(E34="","", CONCATENATE("U",E34,E$27))</f>
        <v/>
      </c>
      <c r="F338" s="51">
        <f>IF(F34="","", CONCATENATE("U",F34,F$27))</f>
        <v/>
      </c>
      <c r="G338" s="51">
        <f>IF(G34="","", CONCATENATE("U",G34,G$27))</f>
        <v/>
      </c>
      <c r="H338" s="51">
        <f>IF(H34="","", CONCATENATE("U",H34,H$27))</f>
        <v/>
      </c>
    </row>
    <row r="339">
      <c r="C339" s="8">
        <f>IF(I20="", 0, (S20*(J20^2))+(O20*(K20^2)))</f>
        <v/>
      </c>
      <c r="D339" s="189">
        <f>IF(I20="", 0, (S20-O20)*J20*K20)</f>
        <v/>
      </c>
      <c r="E339" s="189">
        <f>IF(I20="", 0, -P20*K20)</f>
        <v/>
      </c>
      <c r="F339" s="189">
        <f>-1*C339</f>
        <v/>
      </c>
      <c r="G339" s="189">
        <f>-1*D339</f>
        <v/>
      </c>
      <c r="H339" s="189">
        <f>E339</f>
        <v/>
      </c>
      <c r="I339" s="51">
        <f>C338</f>
        <v/>
      </c>
    </row>
    <row r="340">
      <c r="C340" s="189">
        <f>D339</f>
        <v/>
      </c>
      <c r="D340" s="8">
        <f>IF(I20="", 0, (S20*(K20^2))+(O20*(J20^2)))</f>
        <v/>
      </c>
      <c r="E340" s="189">
        <f>IF(I20="", 0, P20*J20)</f>
        <v/>
      </c>
      <c r="F340" s="189">
        <f>-1*D339</f>
        <v/>
      </c>
      <c r="G340" s="189">
        <f>-1*D340</f>
        <v/>
      </c>
      <c r="H340" s="189">
        <f>E340</f>
        <v/>
      </c>
      <c r="I340" s="51">
        <f>D338</f>
        <v/>
      </c>
    </row>
    <row r="341">
      <c r="B341" s="118" t="inlineStr">
        <is>
          <t>K7 =</t>
        </is>
      </c>
      <c r="C341" s="189">
        <f>E339</f>
        <v/>
      </c>
      <c r="D341" s="189">
        <f>E340</f>
        <v/>
      </c>
      <c r="E341" s="8">
        <f>IF(I20="", 0, Q20)</f>
        <v/>
      </c>
      <c r="F341" s="189">
        <f>-1*E339</f>
        <v/>
      </c>
      <c r="G341" s="189">
        <f>-1*E340</f>
        <v/>
      </c>
      <c r="H341" s="189">
        <f>IF(I20="", 0, R20)</f>
        <v/>
      </c>
      <c r="I341" s="51">
        <f>E338</f>
        <v/>
      </c>
    </row>
    <row r="342">
      <c r="C342" s="189">
        <f>F339</f>
        <v/>
      </c>
      <c r="D342" s="189">
        <f>F340</f>
        <v/>
      </c>
      <c r="E342" s="189">
        <f>F341</f>
        <v/>
      </c>
      <c r="F342" s="8">
        <f>C339</f>
        <v/>
      </c>
      <c r="G342" s="189">
        <f>D339</f>
        <v/>
      </c>
      <c r="H342" s="189">
        <f>-1*E339</f>
        <v/>
      </c>
      <c r="I342" s="51">
        <f>F338</f>
        <v/>
      </c>
    </row>
    <row r="343">
      <c r="C343" s="189">
        <f>G339</f>
        <v/>
      </c>
      <c r="D343" s="189">
        <f>G340</f>
        <v/>
      </c>
      <c r="E343" s="189">
        <f>G341</f>
        <v/>
      </c>
      <c r="F343" s="189">
        <f>G342</f>
        <v/>
      </c>
      <c r="G343" s="8">
        <f>D340</f>
        <v/>
      </c>
      <c r="H343" s="189">
        <f>-1*E340</f>
        <v/>
      </c>
      <c r="I343" s="51">
        <f>G338</f>
        <v/>
      </c>
    </row>
    <row r="344">
      <c r="C344" s="189">
        <f>H339</f>
        <v/>
      </c>
      <c r="D344" s="189">
        <f>H340</f>
        <v/>
      </c>
      <c r="E344" s="189">
        <f>H341</f>
        <v/>
      </c>
      <c r="F344" s="189">
        <f>H342</f>
        <v/>
      </c>
      <c r="G344" s="189">
        <f>H343</f>
        <v/>
      </c>
      <c r="H344" s="8">
        <f>E341</f>
        <v/>
      </c>
      <c r="I344" s="51">
        <f>H338</f>
        <v/>
      </c>
    </row>
    <row r="346">
      <c r="C346" s="51" t="inlineStr">
        <is>
          <t>U1X</t>
        </is>
      </c>
      <c r="D346" s="51" t="inlineStr">
        <is>
          <t>U1Y</t>
        </is>
      </c>
      <c r="E346" s="51" t="inlineStr">
        <is>
          <t>U1θ</t>
        </is>
      </c>
      <c r="F346" s="51" t="inlineStr">
        <is>
          <t>U2X</t>
        </is>
      </c>
      <c r="G346" s="51" t="inlineStr">
        <is>
          <t>U2Y</t>
        </is>
      </c>
      <c r="H346" s="51" t="inlineStr">
        <is>
          <t>U2θ</t>
        </is>
      </c>
      <c r="I346" s="51" t="inlineStr">
        <is>
          <t>U3X</t>
        </is>
      </c>
      <c r="J346" s="51" t="inlineStr">
        <is>
          <t>U3Y</t>
        </is>
      </c>
      <c r="K346" s="51" t="inlineStr">
        <is>
          <t>U3θ</t>
        </is>
      </c>
      <c r="L346" s="51" t="inlineStr">
        <is>
          <t>U4X</t>
        </is>
      </c>
      <c r="M346" s="51" t="inlineStr">
        <is>
          <t>U4Y</t>
        </is>
      </c>
      <c r="N346" s="51" t="inlineStr">
        <is>
          <t>U4θ</t>
        </is>
      </c>
      <c r="O346" s="51" t="inlineStr">
        <is>
          <t>U5X</t>
        </is>
      </c>
      <c r="P346" s="51" t="inlineStr">
        <is>
          <t>U5Y</t>
        </is>
      </c>
      <c r="Q346" s="51" t="inlineStr">
        <is>
          <t>U5θ</t>
        </is>
      </c>
      <c r="R346" s="51" t="inlineStr">
        <is>
          <t>U6X</t>
        </is>
      </c>
      <c r="S346" s="51" t="inlineStr">
        <is>
          <t>U6Y</t>
        </is>
      </c>
      <c r="T346" s="51" t="inlineStr">
        <is>
          <t>U6θ</t>
        </is>
      </c>
      <c r="U346" s="51" t="inlineStr">
        <is>
          <t>U7X</t>
        </is>
      </c>
      <c r="V346" s="51" t="inlineStr">
        <is>
          <t>U7Y</t>
        </is>
      </c>
      <c r="W346" s="51" t="inlineStr">
        <is>
          <t>U7θ</t>
        </is>
      </c>
      <c r="X346" s="51" t="inlineStr">
        <is>
          <t>U8X</t>
        </is>
      </c>
      <c r="Y346" s="51" t="inlineStr">
        <is>
          <t>U8Y</t>
        </is>
      </c>
      <c r="Z346" s="51" t="inlineStr">
        <is>
          <t>U8θ</t>
        </is>
      </c>
      <c r="AA346" s="51" t="inlineStr">
        <is>
          <t>U9X</t>
        </is>
      </c>
      <c r="AB346" s="51" t="inlineStr">
        <is>
          <t>U9Y</t>
        </is>
      </c>
      <c r="AC346" s="51" t="inlineStr">
        <is>
          <t>U9θ</t>
        </is>
      </c>
      <c r="AD346" s="51" t="inlineStr">
        <is>
          <t>U10X</t>
        </is>
      </c>
      <c r="AE346" s="51" t="inlineStr">
        <is>
          <t>U10Y</t>
        </is>
      </c>
      <c r="AF346" s="51" t="inlineStr">
        <is>
          <t>U10θ</t>
        </is>
      </c>
      <c r="AG346" s="51" t="inlineStr">
        <is>
          <t>U11X</t>
        </is>
      </c>
      <c r="AH346" s="51" t="inlineStr">
        <is>
          <t>U11Y</t>
        </is>
      </c>
      <c r="AI346" s="51" t="inlineStr">
        <is>
          <t>U11θ</t>
        </is>
      </c>
      <c r="AJ346" s="51" t="inlineStr">
        <is>
          <t>U12X</t>
        </is>
      </c>
      <c r="AK346" s="51" t="inlineStr">
        <is>
          <t>U12Y</t>
        </is>
      </c>
      <c r="AL346" s="51" t="inlineStr">
        <is>
          <t>U12θ</t>
        </is>
      </c>
    </row>
    <row r="347">
      <c r="C347" s="189" t="n"/>
      <c r="D347" s="189" t="n"/>
      <c r="E347" s="189" t="n"/>
      <c r="F347" s="189" t="n"/>
      <c r="G347" s="189" t="n"/>
      <c r="H347" s="189" t="n"/>
      <c r="I347" s="189" t="n"/>
      <c r="J347" s="189" t="n"/>
      <c r="K347" s="189" t="n"/>
      <c r="L347" s="189" t="n"/>
      <c r="M347" s="189" t="n"/>
      <c r="N347" s="189" t="n"/>
      <c r="O347" s="189" t="n"/>
      <c r="P347" s="189" t="n"/>
      <c r="Q347" s="189" t="n"/>
      <c r="R347" s="189" t="n"/>
      <c r="S347" s="189" t="n"/>
      <c r="T347" s="189" t="n"/>
      <c r="U347" s="189" t="n"/>
      <c r="V347" s="189" t="n"/>
      <c r="W347" s="189" t="n"/>
      <c r="X347" s="189" t="n"/>
      <c r="Y347" s="189" t="n"/>
      <c r="Z347" s="189" t="n"/>
      <c r="AA347" s="189" t="n"/>
      <c r="AB347" s="189" t="n"/>
      <c r="AC347" s="189" t="n"/>
      <c r="AD347" s="189" t="n"/>
      <c r="AE347" s="189" t="n"/>
      <c r="AF347" s="189" t="n"/>
      <c r="AG347" s="189" t="n"/>
      <c r="AH347" s="189" t="n"/>
      <c r="AI347" s="189" t="n"/>
      <c r="AJ347" s="189" t="n"/>
      <c r="AK347" s="189" t="n"/>
      <c r="AL347" s="189" t="n"/>
      <c r="AM347" s="51" t="inlineStr">
        <is>
          <t>U1X</t>
        </is>
      </c>
    </row>
    <row r="348">
      <c r="C348" s="189" t="n"/>
      <c r="D348" s="189" t="n"/>
      <c r="E348" s="189" t="n"/>
      <c r="F348" s="189" t="n"/>
      <c r="G348" s="189" t="n"/>
      <c r="H348" s="189" t="n"/>
      <c r="I348" s="189" t="n"/>
      <c r="J348" s="189" t="n"/>
      <c r="K348" s="189" t="n"/>
      <c r="L348" s="189" t="n"/>
      <c r="M348" s="189" t="n"/>
      <c r="N348" s="189" t="n"/>
      <c r="O348" s="189" t="n"/>
      <c r="P348" s="189" t="n"/>
      <c r="Q348" s="189" t="n"/>
      <c r="R348" s="189" t="n"/>
      <c r="S348" s="189" t="n"/>
      <c r="T348" s="189" t="n"/>
      <c r="U348" s="189" t="n"/>
      <c r="V348" s="189" t="n"/>
      <c r="W348" s="189" t="n"/>
      <c r="X348" s="189" t="n"/>
      <c r="Y348" s="189" t="n"/>
      <c r="Z348" s="189" t="n"/>
      <c r="AA348" s="189" t="n"/>
      <c r="AB348" s="189" t="n"/>
      <c r="AC348" s="189" t="n"/>
      <c r="AD348" s="189" t="n"/>
      <c r="AE348" s="189" t="n"/>
      <c r="AF348" s="189" t="n"/>
      <c r="AG348" s="189" t="n"/>
      <c r="AH348" s="189" t="n"/>
      <c r="AI348" s="189" t="n"/>
      <c r="AJ348" s="189" t="n"/>
      <c r="AK348" s="189" t="n"/>
      <c r="AL348" s="189" t="n"/>
      <c r="AM348" s="51" t="inlineStr">
        <is>
          <t>U1Y</t>
        </is>
      </c>
    </row>
    <row r="349">
      <c r="C349" s="189" t="n"/>
      <c r="D349" s="189" t="n"/>
      <c r="E349" s="189" t="n"/>
      <c r="F349" s="189" t="n"/>
      <c r="G349" s="189" t="n"/>
      <c r="H349" s="189" t="n"/>
      <c r="I349" s="189" t="n"/>
      <c r="J349" s="189" t="n"/>
      <c r="K349" s="189" t="n"/>
      <c r="L349" s="189" t="n"/>
      <c r="M349" s="189" t="n"/>
      <c r="N349" s="189" t="n"/>
      <c r="O349" s="189" t="n"/>
      <c r="P349" s="189" t="n"/>
      <c r="Q349" s="189" t="n"/>
      <c r="R349" s="189" t="n"/>
      <c r="S349" s="189" t="n"/>
      <c r="T349" s="189" t="n"/>
      <c r="U349" s="189" t="n"/>
      <c r="V349" s="189" t="n"/>
      <c r="W349" s="189" t="n"/>
      <c r="X349" s="189" t="n"/>
      <c r="Y349" s="189" t="n"/>
      <c r="Z349" s="189" t="n"/>
      <c r="AA349" s="189" t="n"/>
      <c r="AB349" s="189" t="n"/>
      <c r="AC349" s="189" t="n"/>
      <c r="AD349" s="189" t="n"/>
      <c r="AE349" s="189" t="n"/>
      <c r="AF349" s="189" t="n"/>
      <c r="AG349" s="189" t="n"/>
      <c r="AH349" s="189" t="n"/>
      <c r="AI349" s="189" t="n"/>
      <c r="AJ349" s="189" t="n"/>
      <c r="AK349" s="189" t="n"/>
      <c r="AL349" s="189" t="n"/>
      <c r="AM349" s="51" t="inlineStr">
        <is>
          <t>U1θ</t>
        </is>
      </c>
    </row>
    <row r="350">
      <c r="C350" s="189" t="n"/>
      <c r="D350" s="189" t="n"/>
      <c r="E350" s="189" t="n"/>
      <c r="F350" s="189" t="n"/>
      <c r="G350" s="189" t="n"/>
      <c r="H350" s="189" t="n"/>
      <c r="I350" s="189" t="n"/>
      <c r="J350" s="189" t="n"/>
      <c r="K350" s="189" t="n"/>
      <c r="L350" s="189" t="n"/>
      <c r="M350" s="189" t="n"/>
      <c r="N350" s="189" t="n"/>
      <c r="O350" s="189" t="n"/>
      <c r="P350" s="189" t="n"/>
      <c r="Q350" s="189" t="n"/>
      <c r="R350" s="189" t="n"/>
      <c r="S350" s="189" t="n"/>
      <c r="T350" s="189" t="n"/>
      <c r="U350" s="189" t="n"/>
      <c r="V350" s="189" t="n"/>
      <c r="W350" s="189" t="n"/>
      <c r="X350" s="189" t="n"/>
      <c r="Y350" s="189" t="n"/>
      <c r="Z350" s="189" t="n"/>
      <c r="AA350" s="189" t="n"/>
      <c r="AB350" s="189" t="n"/>
      <c r="AC350" s="189" t="n"/>
      <c r="AD350" s="189" t="n"/>
      <c r="AE350" s="189" t="n"/>
      <c r="AF350" s="189" t="n"/>
      <c r="AG350" s="189" t="n"/>
      <c r="AH350" s="189" t="n"/>
      <c r="AI350" s="189" t="n"/>
      <c r="AJ350" s="189" t="n"/>
      <c r="AK350" s="189" t="n"/>
      <c r="AL350" s="189" t="n"/>
      <c r="AM350" s="51" t="inlineStr">
        <is>
          <t>U2X</t>
        </is>
      </c>
    </row>
    <row r="351">
      <c r="C351" s="189" t="n"/>
      <c r="D351" s="189" t="n"/>
      <c r="E351" s="189" t="n"/>
      <c r="F351" s="189" t="n"/>
      <c r="G351" s="189" t="n"/>
      <c r="H351" s="189" t="n"/>
      <c r="I351" s="189" t="n"/>
      <c r="J351" s="189" t="n"/>
      <c r="K351" s="189" t="n"/>
      <c r="L351" s="189" t="n"/>
      <c r="M351" s="189" t="n"/>
      <c r="N351" s="189" t="n"/>
      <c r="O351" s="189" t="n"/>
      <c r="P351" s="189" t="n"/>
      <c r="Q351" s="189" t="n"/>
      <c r="R351" s="189" t="n"/>
      <c r="S351" s="189" t="n"/>
      <c r="T351" s="189" t="n"/>
      <c r="U351" s="189" t="n"/>
      <c r="V351" s="189" t="n"/>
      <c r="W351" s="189" t="n"/>
      <c r="X351" s="189" t="n"/>
      <c r="Y351" s="189" t="n"/>
      <c r="Z351" s="189" t="n"/>
      <c r="AA351" s="189" t="n"/>
      <c r="AB351" s="189" t="n"/>
      <c r="AC351" s="189" t="n"/>
      <c r="AD351" s="189" t="n"/>
      <c r="AE351" s="189" t="n"/>
      <c r="AF351" s="189" t="n"/>
      <c r="AG351" s="189" t="n"/>
      <c r="AH351" s="189" t="n"/>
      <c r="AI351" s="189" t="n"/>
      <c r="AJ351" s="189" t="n"/>
      <c r="AK351" s="189" t="n"/>
      <c r="AL351" s="189" t="n"/>
      <c r="AM351" s="51" t="inlineStr">
        <is>
          <t>U2Y</t>
        </is>
      </c>
    </row>
    <row r="352">
      <c r="C352" s="189" t="n"/>
      <c r="D352" s="189" t="n"/>
      <c r="E352" s="189" t="n"/>
      <c r="F352" s="189" t="n"/>
      <c r="G352" s="189" t="n"/>
      <c r="H352" s="189" t="n"/>
      <c r="I352" s="189" t="n"/>
      <c r="J352" s="189" t="n"/>
      <c r="K352" s="189" t="n"/>
      <c r="L352" s="189" t="n"/>
      <c r="M352" s="189" t="n"/>
      <c r="N352" s="189" t="n"/>
      <c r="O352" s="189" t="n"/>
      <c r="P352" s="189" t="n"/>
      <c r="Q352" s="189" t="n"/>
      <c r="R352" s="189" t="n"/>
      <c r="S352" s="189" t="n"/>
      <c r="T352" s="189" t="n"/>
      <c r="U352" s="189" t="n"/>
      <c r="V352" s="189" t="n"/>
      <c r="W352" s="189" t="n"/>
      <c r="X352" s="189" t="n"/>
      <c r="Y352" s="189" t="n"/>
      <c r="Z352" s="189" t="n"/>
      <c r="AA352" s="189" t="n"/>
      <c r="AB352" s="189" t="n"/>
      <c r="AC352" s="189" t="n"/>
      <c r="AD352" s="189" t="n"/>
      <c r="AE352" s="189" t="n"/>
      <c r="AF352" s="189" t="n"/>
      <c r="AG352" s="189" t="n"/>
      <c r="AH352" s="189" t="n"/>
      <c r="AI352" s="189" t="n"/>
      <c r="AJ352" s="189" t="n"/>
      <c r="AK352" s="189" t="n"/>
      <c r="AL352" s="189" t="n"/>
      <c r="AM352" s="51" t="inlineStr">
        <is>
          <t>U2θ</t>
        </is>
      </c>
    </row>
    <row r="353">
      <c r="C353" s="189" t="n"/>
      <c r="D353" s="189" t="n"/>
      <c r="E353" s="189" t="n"/>
      <c r="F353" s="189" t="n"/>
      <c r="G353" s="189" t="n"/>
      <c r="H353" s="189" t="n"/>
      <c r="I353" s="189" t="n"/>
      <c r="J353" s="189" t="n"/>
      <c r="K353" s="189" t="n"/>
      <c r="L353" s="189" t="n"/>
      <c r="M353" s="189" t="n"/>
      <c r="N353" s="189" t="n"/>
      <c r="O353" s="189" t="n"/>
      <c r="P353" s="189" t="n"/>
      <c r="Q353" s="189" t="n"/>
      <c r="R353" s="189" t="n"/>
      <c r="S353" s="189" t="n"/>
      <c r="T353" s="189" t="n"/>
      <c r="U353" s="189" t="n"/>
      <c r="V353" s="189" t="n"/>
      <c r="W353" s="189" t="n"/>
      <c r="X353" s="189" t="n"/>
      <c r="Y353" s="189" t="n"/>
      <c r="Z353" s="189" t="n"/>
      <c r="AA353" s="189" t="n"/>
      <c r="AB353" s="189" t="n"/>
      <c r="AC353" s="189" t="n"/>
      <c r="AD353" s="189" t="n"/>
      <c r="AE353" s="189" t="n"/>
      <c r="AF353" s="189" t="n"/>
      <c r="AG353" s="189" t="n"/>
      <c r="AH353" s="189" t="n"/>
      <c r="AI353" s="189" t="n"/>
      <c r="AJ353" s="189" t="n"/>
      <c r="AK353" s="189" t="n"/>
      <c r="AL353" s="189" t="n"/>
      <c r="AM353" s="51" t="inlineStr">
        <is>
          <t>U3X</t>
        </is>
      </c>
    </row>
    <row r="354">
      <c r="C354" s="189" t="n"/>
      <c r="D354" s="189" t="n"/>
      <c r="E354" s="189" t="n"/>
      <c r="F354" s="189" t="n"/>
      <c r="G354" s="189" t="n"/>
      <c r="H354" s="189" t="n"/>
      <c r="I354" s="189" t="n"/>
      <c r="J354" s="189" t="n"/>
      <c r="K354" s="189" t="n"/>
      <c r="L354" s="189" t="n"/>
      <c r="M354" s="189" t="n"/>
      <c r="N354" s="189" t="n"/>
      <c r="O354" s="189" t="n"/>
      <c r="P354" s="189" t="n"/>
      <c r="Q354" s="189" t="n"/>
      <c r="R354" s="189" t="n"/>
      <c r="S354" s="189" t="n"/>
      <c r="T354" s="189" t="n"/>
      <c r="U354" s="189" t="n"/>
      <c r="V354" s="189" t="n"/>
      <c r="W354" s="189" t="n"/>
      <c r="X354" s="189" t="n"/>
      <c r="Y354" s="189" t="n"/>
      <c r="Z354" s="189" t="n"/>
      <c r="AA354" s="189" t="n"/>
      <c r="AB354" s="189" t="n"/>
      <c r="AC354" s="189" t="n"/>
      <c r="AD354" s="189" t="n"/>
      <c r="AE354" s="189" t="n"/>
      <c r="AF354" s="189" t="n"/>
      <c r="AG354" s="189" t="n"/>
      <c r="AH354" s="189" t="n"/>
      <c r="AI354" s="189" t="n"/>
      <c r="AJ354" s="189" t="n"/>
      <c r="AK354" s="189" t="n"/>
      <c r="AL354" s="189" t="n"/>
      <c r="AM354" s="51" t="inlineStr">
        <is>
          <t>U3Y</t>
        </is>
      </c>
    </row>
    <row r="355">
      <c r="C355" s="189" t="n"/>
      <c r="D355" s="189" t="n"/>
      <c r="E355" s="189" t="n"/>
      <c r="F355" s="189" t="n"/>
      <c r="G355" s="189" t="n"/>
      <c r="H355" s="189" t="n"/>
      <c r="I355" s="189" t="n"/>
      <c r="J355" s="189" t="n"/>
      <c r="K355" s="189" t="n"/>
      <c r="L355" s="189" t="n"/>
      <c r="M355" s="189" t="n"/>
      <c r="N355" s="189" t="n"/>
      <c r="O355" s="189" t="n"/>
      <c r="P355" s="189" t="n"/>
      <c r="Q355" s="189" t="n"/>
      <c r="R355" s="189" t="n"/>
      <c r="S355" s="189" t="n"/>
      <c r="T355" s="189" t="n"/>
      <c r="U355" s="189" t="n"/>
      <c r="V355" s="189" t="n"/>
      <c r="W355" s="189" t="n"/>
      <c r="X355" s="189" t="n"/>
      <c r="Y355" s="189" t="n"/>
      <c r="Z355" s="189" t="n"/>
      <c r="AA355" s="189" t="n"/>
      <c r="AB355" s="189" t="n"/>
      <c r="AC355" s="189" t="n"/>
      <c r="AD355" s="189" t="n"/>
      <c r="AE355" s="189" t="n"/>
      <c r="AF355" s="189" t="n"/>
      <c r="AG355" s="189" t="n"/>
      <c r="AH355" s="189" t="n"/>
      <c r="AI355" s="189" t="n"/>
      <c r="AJ355" s="189" t="n"/>
      <c r="AK355" s="189" t="n"/>
      <c r="AL355" s="189" t="n"/>
      <c r="AM355" s="51" t="inlineStr">
        <is>
          <t>U3θ</t>
        </is>
      </c>
    </row>
    <row r="356">
      <c r="C356" s="189" t="n"/>
      <c r="D356" s="189" t="n"/>
      <c r="E356" s="189" t="n"/>
      <c r="F356" s="189" t="n"/>
      <c r="G356" s="189" t="n"/>
      <c r="H356" s="189" t="n"/>
      <c r="I356" s="189" t="n"/>
      <c r="J356" s="189" t="n"/>
      <c r="K356" s="189" t="n"/>
      <c r="L356" s="189" t="n"/>
      <c r="M356" s="189" t="n"/>
      <c r="N356" s="189" t="n"/>
      <c r="O356" s="189" t="n"/>
      <c r="P356" s="189" t="n"/>
      <c r="Q356" s="189" t="n"/>
      <c r="R356" s="189" t="n"/>
      <c r="S356" s="189" t="n"/>
      <c r="T356" s="189" t="n"/>
      <c r="U356" s="189" t="n"/>
      <c r="V356" s="189" t="n"/>
      <c r="W356" s="189" t="n"/>
      <c r="X356" s="189" t="n"/>
      <c r="Y356" s="189" t="n"/>
      <c r="Z356" s="189" t="n"/>
      <c r="AA356" s="189" t="n"/>
      <c r="AB356" s="189" t="n"/>
      <c r="AC356" s="189" t="n"/>
      <c r="AD356" s="189" t="n"/>
      <c r="AE356" s="189" t="n"/>
      <c r="AF356" s="189" t="n"/>
      <c r="AG356" s="189" t="n"/>
      <c r="AH356" s="189" t="n"/>
      <c r="AI356" s="189" t="n"/>
      <c r="AJ356" s="189" t="n"/>
      <c r="AK356" s="189" t="n"/>
      <c r="AL356" s="189" t="n"/>
      <c r="AM356" s="51" t="inlineStr">
        <is>
          <t>U4X</t>
        </is>
      </c>
    </row>
    <row r="357">
      <c r="C357" s="189" t="n"/>
      <c r="D357" s="189" t="n"/>
      <c r="E357" s="189" t="n"/>
      <c r="F357" s="189" t="n"/>
      <c r="G357" s="189" t="n"/>
      <c r="H357" s="189" t="n"/>
      <c r="I357" s="189" t="n"/>
      <c r="J357" s="189" t="n"/>
      <c r="K357" s="189" t="n"/>
      <c r="L357" s="189" t="n"/>
      <c r="M357" s="189" t="n"/>
      <c r="N357" s="189" t="n"/>
      <c r="O357" s="189" t="n"/>
      <c r="P357" s="189" t="n"/>
      <c r="Q357" s="189" t="n"/>
      <c r="R357" s="189" t="n"/>
      <c r="S357" s="189" t="n"/>
      <c r="T357" s="189" t="n"/>
      <c r="U357" s="189" t="n"/>
      <c r="V357" s="189" t="n"/>
      <c r="W357" s="189" t="n"/>
      <c r="X357" s="189" t="n"/>
      <c r="Y357" s="189" t="n"/>
      <c r="Z357" s="189" t="n"/>
      <c r="AA357" s="189" t="n"/>
      <c r="AB357" s="189" t="n"/>
      <c r="AC357" s="189" t="n"/>
      <c r="AD357" s="189" t="n"/>
      <c r="AE357" s="189" t="n"/>
      <c r="AF357" s="189" t="n"/>
      <c r="AG357" s="189" t="n"/>
      <c r="AH357" s="189" t="n"/>
      <c r="AI357" s="189" t="n"/>
      <c r="AJ357" s="189" t="n"/>
      <c r="AK357" s="189" t="n"/>
      <c r="AL357" s="189" t="n"/>
      <c r="AM357" s="51" t="inlineStr">
        <is>
          <t>U4Y</t>
        </is>
      </c>
    </row>
    <row r="358">
      <c r="C358" s="189" t="n"/>
      <c r="D358" s="189" t="n"/>
      <c r="E358" s="189" t="n"/>
      <c r="F358" s="189" t="n"/>
      <c r="G358" s="189" t="n"/>
      <c r="H358" s="189" t="n"/>
      <c r="I358" s="189" t="n"/>
      <c r="J358" s="189" t="n"/>
      <c r="K358" s="189" t="n"/>
      <c r="L358" s="189" t="n"/>
      <c r="M358" s="189" t="n"/>
      <c r="N358" s="189" t="n"/>
      <c r="O358" s="189" t="n"/>
      <c r="P358" s="189" t="n"/>
      <c r="Q358" s="189" t="n"/>
      <c r="R358" s="189" t="n"/>
      <c r="S358" s="189" t="n"/>
      <c r="T358" s="189" t="n"/>
      <c r="U358" s="189" t="n"/>
      <c r="V358" s="189" t="n"/>
      <c r="W358" s="189" t="n"/>
      <c r="X358" s="189" t="n"/>
      <c r="Y358" s="189" t="n"/>
      <c r="Z358" s="189" t="n"/>
      <c r="AA358" s="189" t="n"/>
      <c r="AB358" s="189" t="n"/>
      <c r="AC358" s="189" t="n"/>
      <c r="AD358" s="189" t="n"/>
      <c r="AE358" s="189" t="n"/>
      <c r="AF358" s="189" t="n"/>
      <c r="AG358" s="189" t="n"/>
      <c r="AH358" s="189" t="n"/>
      <c r="AI358" s="189" t="n"/>
      <c r="AJ358" s="189" t="n"/>
      <c r="AK358" s="189" t="n"/>
      <c r="AL358" s="189" t="n"/>
      <c r="AM358" s="51" t="inlineStr">
        <is>
          <t>U4θ</t>
        </is>
      </c>
    </row>
    <row r="359">
      <c r="C359" s="189" t="n"/>
      <c r="D359" s="189" t="n"/>
      <c r="E359" s="189" t="n"/>
      <c r="F359" s="189" t="n"/>
      <c r="G359" s="189" t="n"/>
      <c r="H359" s="189" t="n"/>
      <c r="I359" s="189" t="n"/>
      <c r="J359" s="189" t="n"/>
      <c r="K359" s="189" t="n"/>
      <c r="L359" s="189" t="n"/>
      <c r="M359" s="189" t="n"/>
      <c r="N359" s="189" t="n"/>
      <c r="O359" s="189" t="n"/>
      <c r="P359" s="189" t="n"/>
      <c r="Q359" s="189" t="n"/>
      <c r="R359" s="189" t="n"/>
      <c r="S359" s="189" t="n"/>
      <c r="T359" s="189" t="n"/>
      <c r="U359" s="189" t="n"/>
      <c r="V359" s="189" t="n"/>
      <c r="W359" s="189" t="n"/>
      <c r="X359" s="189" t="n"/>
      <c r="Y359" s="189" t="n"/>
      <c r="Z359" s="189" t="n"/>
      <c r="AA359" s="189" t="n"/>
      <c r="AB359" s="189" t="n"/>
      <c r="AC359" s="189" t="n"/>
      <c r="AD359" s="189" t="n"/>
      <c r="AE359" s="189" t="n"/>
      <c r="AF359" s="189" t="n"/>
      <c r="AG359" s="189" t="n"/>
      <c r="AH359" s="189" t="n"/>
      <c r="AI359" s="189" t="n"/>
      <c r="AJ359" s="189" t="n"/>
      <c r="AK359" s="189" t="n"/>
      <c r="AL359" s="189" t="n"/>
      <c r="AM359" s="51" t="inlineStr">
        <is>
          <t>U5X</t>
        </is>
      </c>
    </row>
    <row r="360">
      <c r="C360" s="189" t="n"/>
      <c r="D360" s="189" t="n"/>
      <c r="E360" s="189" t="n"/>
      <c r="F360" s="189" t="n"/>
      <c r="G360" s="189" t="n"/>
      <c r="H360" s="189" t="n"/>
      <c r="I360" s="189" t="n"/>
      <c r="J360" s="189" t="n"/>
      <c r="K360" s="189" t="n"/>
      <c r="L360" s="189" t="n"/>
      <c r="M360" s="189" t="n"/>
      <c r="N360" s="189" t="n"/>
      <c r="O360" s="189" t="n"/>
      <c r="P360" s="189" t="n"/>
      <c r="Q360" s="189" t="n"/>
      <c r="R360" s="189" t="n"/>
      <c r="S360" s="189" t="n"/>
      <c r="T360" s="189" t="n"/>
      <c r="U360" s="189" t="n"/>
      <c r="V360" s="189" t="n"/>
      <c r="W360" s="189" t="n"/>
      <c r="X360" s="189" t="n"/>
      <c r="Y360" s="189" t="n"/>
      <c r="Z360" s="189" t="n"/>
      <c r="AA360" s="189" t="n"/>
      <c r="AB360" s="189" t="n"/>
      <c r="AC360" s="189" t="n"/>
      <c r="AD360" s="189" t="n"/>
      <c r="AE360" s="189" t="n"/>
      <c r="AF360" s="189" t="n"/>
      <c r="AG360" s="189" t="n"/>
      <c r="AH360" s="189" t="n"/>
      <c r="AI360" s="189" t="n"/>
      <c r="AJ360" s="189" t="n"/>
      <c r="AK360" s="189" t="n"/>
      <c r="AL360" s="189" t="n"/>
      <c r="AM360" s="51" t="inlineStr">
        <is>
          <t>U5Y</t>
        </is>
      </c>
    </row>
    <row r="361">
      <c r="C361" s="189" t="n"/>
      <c r="D361" s="189" t="n"/>
      <c r="E361" s="189" t="n"/>
      <c r="F361" s="189" t="n"/>
      <c r="G361" s="189" t="n"/>
      <c r="H361" s="189" t="n"/>
      <c r="I361" s="189" t="n"/>
      <c r="J361" s="189" t="n"/>
      <c r="K361" s="189" t="n"/>
      <c r="L361" s="189" t="n"/>
      <c r="M361" s="189" t="n"/>
      <c r="N361" s="189" t="n"/>
      <c r="O361" s="189" t="n"/>
      <c r="P361" s="189" t="n"/>
      <c r="Q361" s="189" t="n"/>
      <c r="R361" s="189" t="n"/>
      <c r="S361" s="189" t="n"/>
      <c r="T361" s="189" t="n"/>
      <c r="U361" s="189" t="n"/>
      <c r="V361" s="189" t="n"/>
      <c r="W361" s="189" t="n"/>
      <c r="X361" s="189" t="n"/>
      <c r="Y361" s="189" t="n"/>
      <c r="Z361" s="189" t="n"/>
      <c r="AA361" s="189" t="n"/>
      <c r="AB361" s="189" t="n"/>
      <c r="AC361" s="189" t="n"/>
      <c r="AD361" s="189" t="n"/>
      <c r="AE361" s="189" t="n"/>
      <c r="AF361" s="189" t="n"/>
      <c r="AG361" s="189" t="n"/>
      <c r="AH361" s="189" t="n"/>
      <c r="AI361" s="189" t="n"/>
      <c r="AJ361" s="189" t="n"/>
      <c r="AK361" s="189" t="n"/>
      <c r="AL361" s="189" t="n"/>
      <c r="AM361" s="51" t="inlineStr">
        <is>
          <t>U5θ</t>
        </is>
      </c>
    </row>
    <row r="362">
      <c r="C362" s="189" t="n"/>
      <c r="D362" s="189" t="n"/>
      <c r="E362" s="189" t="n"/>
      <c r="F362" s="189" t="n"/>
      <c r="G362" s="189" t="n"/>
      <c r="H362" s="189" t="n"/>
      <c r="I362" s="189" t="n"/>
      <c r="J362" s="189" t="n"/>
      <c r="K362" s="189" t="n"/>
      <c r="L362" s="189" t="n"/>
      <c r="M362" s="189" t="n"/>
      <c r="N362" s="189" t="n"/>
      <c r="O362" s="189" t="n"/>
      <c r="P362" s="189" t="n"/>
      <c r="Q362" s="189" t="n"/>
      <c r="R362" s="189" t="n"/>
      <c r="S362" s="189" t="n"/>
      <c r="T362" s="189" t="n"/>
      <c r="U362" s="189" t="n"/>
      <c r="V362" s="189" t="n"/>
      <c r="W362" s="189" t="n"/>
      <c r="X362" s="189" t="n"/>
      <c r="Y362" s="189" t="n"/>
      <c r="Z362" s="189" t="n"/>
      <c r="AA362" s="189" t="n"/>
      <c r="AB362" s="189" t="n"/>
      <c r="AC362" s="189" t="n"/>
      <c r="AD362" s="189" t="n"/>
      <c r="AE362" s="189" t="n"/>
      <c r="AF362" s="189" t="n"/>
      <c r="AG362" s="189" t="n"/>
      <c r="AH362" s="189" t="n"/>
      <c r="AI362" s="189" t="n"/>
      <c r="AJ362" s="189" t="n"/>
      <c r="AK362" s="189" t="n"/>
      <c r="AL362" s="189" t="n"/>
      <c r="AM362" s="51" t="inlineStr">
        <is>
          <t>U6X</t>
        </is>
      </c>
    </row>
    <row r="363">
      <c r="C363" s="189" t="n"/>
      <c r="D363" s="189" t="n"/>
      <c r="E363" s="189" t="n"/>
      <c r="F363" s="189" t="n"/>
      <c r="G363" s="189" t="n"/>
      <c r="H363" s="189" t="n"/>
      <c r="I363" s="189" t="n"/>
      <c r="J363" s="189" t="n"/>
      <c r="K363" s="189" t="n"/>
      <c r="L363" s="189" t="n"/>
      <c r="M363" s="189" t="n"/>
      <c r="N363" s="189" t="n"/>
      <c r="O363" s="189" t="n"/>
      <c r="P363" s="189" t="n"/>
      <c r="Q363" s="189" t="n"/>
      <c r="R363" s="189" t="n"/>
      <c r="S363" s="189" t="n"/>
      <c r="T363" s="189" t="n"/>
      <c r="U363" s="189" t="n"/>
      <c r="V363" s="189" t="n"/>
      <c r="W363" s="189" t="n"/>
      <c r="X363" s="189" t="n"/>
      <c r="Y363" s="189" t="n"/>
      <c r="Z363" s="189" t="n"/>
      <c r="AA363" s="189" t="n"/>
      <c r="AB363" s="189" t="n"/>
      <c r="AC363" s="189" t="n"/>
      <c r="AD363" s="189" t="n"/>
      <c r="AE363" s="189" t="n"/>
      <c r="AF363" s="189" t="n"/>
      <c r="AG363" s="189" t="n"/>
      <c r="AH363" s="189" t="n"/>
      <c r="AI363" s="189" t="n"/>
      <c r="AJ363" s="189" t="n"/>
      <c r="AK363" s="189" t="n"/>
      <c r="AL363" s="189" t="n"/>
      <c r="AM363" s="51" t="inlineStr">
        <is>
          <t>U6Y</t>
        </is>
      </c>
    </row>
    <row r="364">
      <c r="B364" s="118" t="inlineStr">
        <is>
          <t>K7 =</t>
        </is>
      </c>
      <c r="C364" s="189" t="n"/>
      <c r="D364" s="189" t="n"/>
      <c r="E364" s="189" t="n"/>
      <c r="F364" s="189" t="n"/>
      <c r="G364" s="189" t="n"/>
      <c r="H364" s="189" t="n"/>
      <c r="I364" s="189" t="n"/>
      <c r="J364" s="189" t="n"/>
      <c r="K364" s="189" t="n"/>
      <c r="L364" s="189" t="n"/>
      <c r="M364" s="189" t="n"/>
      <c r="N364" s="189" t="n"/>
      <c r="O364" s="189" t="n"/>
      <c r="P364" s="189" t="n"/>
      <c r="Q364" s="189" t="n"/>
      <c r="R364" s="189" t="n"/>
      <c r="S364" s="189" t="n"/>
      <c r="T364" s="189" t="n"/>
      <c r="U364" s="189" t="n"/>
      <c r="V364" s="189" t="n"/>
      <c r="W364" s="189" t="n"/>
      <c r="X364" s="189" t="n"/>
      <c r="Y364" s="189" t="n"/>
      <c r="Z364" s="189" t="n"/>
      <c r="AA364" s="189" t="n"/>
      <c r="AB364" s="189" t="n"/>
      <c r="AC364" s="189" t="n"/>
      <c r="AD364" s="189" t="n"/>
      <c r="AE364" s="189" t="n"/>
      <c r="AF364" s="189" t="n"/>
      <c r="AG364" s="189" t="n"/>
      <c r="AH364" s="189" t="n"/>
      <c r="AI364" s="189" t="n"/>
      <c r="AJ364" s="189" t="n"/>
      <c r="AK364" s="189" t="n"/>
      <c r="AL364" s="189" t="n"/>
      <c r="AM364" s="51" t="inlineStr">
        <is>
          <t>U6θ</t>
        </is>
      </c>
    </row>
    <row r="365">
      <c r="C365" s="189" t="n"/>
      <c r="D365" s="189" t="n"/>
      <c r="E365" s="189" t="n"/>
      <c r="F365" s="189" t="n"/>
      <c r="G365" s="189" t="n"/>
      <c r="H365" s="189" t="n"/>
      <c r="I365" s="189" t="n"/>
      <c r="J365" s="189" t="n"/>
      <c r="K365" s="189" t="n"/>
      <c r="L365" s="189" t="n"/>
      <c r="M365" s="189" t="n"/>
      <c r="N365" s="189" t="n"/>
      <c r="O365" s="189" t="n"/>
      <c r="P365" s="189" t="n"/>
      <c r="Q365" s="189" t="n"/>
      <c r="R365" s="189" t="n"/>
      <c r="S365" s="189" t="n"/>
      <c r="T365" s="189" t="n"/>
      <c r="U365" s="189">
        <f>C339</f>
        <v/>
      </c>
      <c r="V365" s="189">
        <f>D339</f>
        <v/>
      </c>
      <c r="W365" s="189">
        <f>E339</f>
        <v/>
      </c>
      <c r="X365" s="189">
        <f>F339</f>
        <v/>
      </c>
      <c r="Y365" s="189">
        <f>G339</f>
        <v/>
      </c>
      <c r="Z365" s="189">
        <f>H339</f>
        <v/>
      </c>
      <c r="AA365" s="189" t="n"/>
      <c r="AB365" s="189" t="n"/>
      <c r="AC365" s="189" t="n"/>
      <c r="AD365" s="189" t="n"/>
      <c r="AE365" s="189" t="n"/>
      <c r="AF365" s="189" t="n"/>
      <c r="AG365" s="189" t="n"/>
      <c r="AH365" s="189" t="n"/>
      <c r="AI365" s="189" t="n"/>
      <c r="AJ365" s="189" t="n"/>
      <c r="AK365" s="189" t="n"/>
      <c r="AL365" s="189" t="n"/>
      <c r="AM365" s="51" t="inlineStr">
        <is>
          <t>U7X</t>
        </is>
      </c>
    </row>
    <row r="366">
      <c r="C366" s="189" t="n"/>
      <c r="D366" s="189" t="n"/>
      <c r="E366" s="189" t="n"/>
      <c r="F366" s="189" t="n"/>
      <c r="G366" s="189" t="n"/>
      <c r="H366" s="189" t="n"/>
      <c r="I366" s="189" t="n"/>
      <c r="J366" s="189" t="n"/>
      <c r="K366" s="189" t="n"/>
      <c r="L366" s="189" t="n"/>
      <c r="M366" s="189" t="n"/>
      <c r="N366" s="189" t="n"/>
      <c r="O366" s="189" t="n"/>
      <c r="P366" s="189" t="n"/>
      <c r="Q366" s="189" t="n"/>
      <c r="R366" s="189" t="n"/>
      <c r="S366" s="189" t="n"/>
      <c r="T366" s="189" t="n"/>
      <c r="U366" s="189">
        <f>C340</f>
        <v/>
      </c>
      <c r="V366" s="189">
        <f>D340</f>
        <v/>
      </c>
      <c r="W366" s="189">
        <f>E340</f>
        <v/>
      </c>
      <c r="X366" s="189">
        <f>F340</f>
        <v/>
      </c>
      <c r="Y366" s="189">
        <f>G340</f>
        <v/>
      </c>
      <c r="Z366" s="189">
        <f>H340</f>
        <v/>
      </c>
      <c r="AA366" s="189" t="n"/>
      <c r="AB366" s="189" t="n"/>
      <c r="AC366" s="189" t="n"/>
      <c r="AD366" s="189" t="n"/>
      <c r="AE366" s="189" t="n"/>
      <c r="AF366" s="189" t="n"/>
      <c r="AG366" s="189" t="n"/>
      <c r="AH366" s="189" t="n"/>
      <c r="AI366" s="189" t="n"/>
      <c r="AJ366" s="189" t="n"/>
      <c r="AK366" s="189" t="n"/>
      <c r="AL366" s="189" t="n"/>
      <c r="AM366" s="51" t="inlineStr">
        <is>
          <t>U7Y</t>
        </is>
      </c>
    </row>
    <row r="367">
      <c r="C367" s="189" t="n"/>
      <c r="D367" s="189" t="n"/>
      <c r="E367" s="189" t="n"/>
      <c r="F367" s="189" t="n"/>
      <c r="G367" s="189" t="n"/>
      <c r="H367" s="189" t="n"/>
      <c r="I367" s="189" t="n"/>
      <c r="J367" s="189" t="n"/>
      <c r="K367" s="189" t="n"/>
      <c r="L367" s="189" t="n"/>
      <c r="M367" s="189" t="n"/>
      <c r="N367" s="189" t="n"/>
      <c r="O367" s="189" t="n"/>
      <c r="P367" s="189" t="n"/>
      <c r="Q367" s="189" t="n"/>
      <c r="R367" s="189" t="n"/>
      <c r="S367" s="189" t="n"/>
      <c r="T367" s="189" t="n"/>
      <c r="U367" s="189">
        <f>C341</f>
        <v/>
      </c>
      <c r="V367" s="189">
        <f>D341</f>
        <v/>
      </c>
      <c r="W367" s="189">
        <f>E341</f>
        <v/>
      </c>
      <c r="X367" s="189">
        <f>F341</f>
        <v/>
      </c>
      <c r="Y367" s="189">
        <f>G341</f>
        <v/>
      </c>
      <c r="Z367" s="189">
        <f>H341</f>
        <v/>
      </c>
      <c r="AA367" s="189" t="n"/>
      <c r="AB367" s="189" t="n"/>
      <c r="AC367" s="189" t="n"/>
      <c r="AD367" s="189" t="n"/>
      <c r="AE367" s="189" t="n"/>
      <c r="AF367" s="189" t="n"/>
      <c r="AG367" s="189" t="n"/>
      <c r="AH367" s="189" t="n"/>
      <c r="AI367" s="189" t="n"/>
      <c r="AJ367" s="189" t="n"/>
      <c r="AK367" s="189" t="n"/>
      <c r="AL367" s="189" t="n"/>
      <c r="AM367" s="51" t="inlineStr">
        <is>
          <t>U7θ</t>
        </is>
      </c>
    </row>
    <row r="368">
      <c r="C368" s="189" t="n"/>
      <c r="D368" s="189" t="n"/>
      <c r="E368" s="189" t="n"/>
      <c r="F368" s="189" t="n"/>
      <c r="G368" s="189" t="n"/>
      <c r="H368" s="189" t="n"/>
      <c r="I368" s="189" t="n"/>
      <c r="J368" s="189" t="n"/>
      <c r="K368" s="189" t="n"/>
      <c r="L368" s="189" t="n"/>
      <c r="M368" s="189" t="n"/>
      <c r="N368" s="189" t="n"/>
      <c r="O368" s="189" t="n"/>
      <c r="P368" s="189" t="n"/>
      <c r="Q368" s="189" t="n"/>
      <c r="R368" s="189" t="n"/>
      <c r="S368" s="189" t="n"/>
      <c r="T368" s="189" t="n"/>
      <c r="U368" s="189">
        <f>C342</f>
        <v/>
      </c>
      <c r="V368" s="189">
        <f>D342</f>
        <v/>
      </c>
      <c r="W368" s="189">
        <f>E342</f>
        <v/>
      </c>
      <c r="X368" s="189">
        <f>F342</f>
        <v/>
      </c>
      <c r="Y368" s="189">
        <f>G342</f>
        <v/>
      </c>
      <c r="Z368" s="189">
        <f>H342</f>
        <v/>
      </c>
      <c r="AA368" s="189" t="n"/>
      <c r="AB368" s="189" t="n"/>
      <c r="AC368" s="189" t="n"/>
      <c r="AD368" s="189" t="n"/>
      <c r="AE368" s="189" t="n"/>
      <c r="AF368" s="189" t="n"/>
      <c r="AG368" s="189" t="n"/>
      <c r="AH368" s="189" t="n"/>
      <c r="AI368" s="189" t="n"/>
      <c r="AJ368" s="189" t="n"/>
      <c r="AK368" s="189" t="n"/>
      <c r="AL368" s="189" t="n"/>
      <c r="AM368" s="51" t="inlineStr">
        <is>
          <t>U8X</t>
        </is>
      </c>
    </row>
    <row r="369">
      <c r="C369" s="189" t="n"/>
      <c r="D369" s="189" t="n"/>
      <c r="E369" s="189" t="n"/>
      <c r="F369" s="189" t="n"/>
      <c r="G369" s="189" t="n"/>
      <c r="H369" s="189" t="n"/>
      <c r="I369" s="189" t="n"/>
      <c r="J369" s="189" t="n"/>
      <c r="K369" s="189" t="n"/>
      <c r="L369" s="189" t="n"/>
      <c r="M369" s="189" t="n"/>
      <c r="N369" s="189" t="n"/>
      <c r="O369" s="189" t="n"/>
      <c r="P369" s="189" t="n"/>
      <c r="Q369" s="189" t="n"/>
      <c r="R369" s="189" t="n"/>
      <c r="S369" s="189" t="n"/>
      <c r="T369" s="189" t="n"/>
      <c r="U369" s="189">
        <f>C343</f>
        <v/>
      </c>
      <c r="V369" s="189">
        <f>D343</f>
        <v/>
      </c>
      <c r="W369" s="189">
        <f>E343</f>
        <v/>
      </c>
      <c r="X369" s="189">
        <f>F343</f>
        <v/>
      </c>
      <c r="Y369" s="189">
        <f>G343</f>
        <v/>
      </c>
      <c r="Z369" s="189">
        <f>H343</f>
        <v/>
      </c>
      <c r="AA369" s="189" t="n"/>
      <c r="AB369" s="189" t="n"/>
      <c r="AC369" s="189" t="n"/>
      <c r="AD369" s="189" t="n"/>
      <c r="AE369" s="189" t="n"/>
      <c r="AF369" s="189" t="n"/>
      <c r="AG369" s="189" t="n"/>
      <c r="AH369" s="189" t="n"/>
      <c r="AI369" s="189" t="n"/>
      <c r="AJ369" s="189" t="n"/>
      <c r="AK369" s="189" t="n"/>
      <c r="AL369" s="189" t="n"/>
      <c r="AM369" s="51" t="inlineStr">
        <is>
          <t>U8Y</t>
        </is>
      </c>
    </row>
    <row r="370">
      <c r="C370" s="189" t="n"/>
      <c r="D370" s="189" t="n"/>
      <c r="E370" s="189" t="n"/>
      <c r="F370" s="189" t="n"/>
      <c r="G370" s="189" t="n"/>
      <c r="H370" s="189" t="n"/>
      <c r="I370" s="189" t="n"/>
      <c r="J370" s="189" t="n"/>
      <c r="K370" s="189" t="n"/>
      <c r="L370" s="189" t="n"/>
      <c r="M370" s="189" t="n"/>
      <c r="N370" s="189" t="n"/>
      <c r="O370" s="189" t="n"/>
      <c r="P370" s="189" t="n"/>
      <c r="Q370" s="189" t="n"/>
      <c r="R370" s="189" t="n"/>
      <c r="S370" s="189" t="n"/>
      <c r="T370" s="189" t="n"/>
      <c r="U370" s="189">
        <f>C344</f>
        <v/>
      </c>
      <c r="V370" s="189">
        <f>D344</f>
        <v/>
      </c>
      <c r="W370" s="189">
        <f>E344</f>
        <v/>
      </c>
      <c r="X370" s="189">
        <f>F344</f>
        <v/>
      </c>
      <c r="Y370" s="189">
        <f>G344</f>
        <v/>
      </c>
      <c r="Z370" s="189">
        <f>H344</f>
        <v/>
      </c>
      <c r="AA370" s="189" t="n"/>
      <c r="AB370" s="189" t="n"/>
      <c r="AC370" s="189" t="n"/>
      <c r="AD370" s="189" t="n"/>
      <c r="AE370" s="189" t="n"/>
      <c r="AF370" s="189" t="n"/>
      <c r="AG370" s="189" t="n"/>
      <c r="AH370" s="189" t="n"/>
      <c r="AI370" s="189" t="n"/>
      <c r="AJ370" s="189" t="n"/>
      <c r="AK370" s="189" t="n"/>
      <c r="AL370" s="189" t="n"/>
      <c r="AM370" s="51" t="inlineStr">
        <is>
          <t>U8θ</t>
        </is>
      </c>
    </row>
    <row r="371">
      <c r="C371" s="189" t="n"/>
      <c r="D371" s="189" t="n"/>
      <c r="E371" s="189" t="n"/>
      <c r="F371" s="189" t="n"/>
      <c r="G371" s="189" t="n"/>
      <c r="H371" s="189" t="n"/>
      <c r="I371" s="189" t="n"/>
      <c r="J371" s="189" t="n"/>
      <c r="K371" s="189" t="n"/>
      <c r="L371" s="189" t="n"/>
      <c r="M371" s="189" t="n"/>
      <c r="N371" s="189" t="n"/>
      <c r="O371" s="189" t="n"/>
      <c r="P371" s="189" t="n"/>
      <c r="Q371" s="189" t="n"/>
      <c r="R371" s="189" t="n"/>
      <c r="S371" s="189" t="n"/>
      <c r="T371" s="189" t="n"/>
      <c r="U371" s="189" t="n"/>
      <c r="V371" s="189" t="n"/>
      <c r="W371" s="189" t="n"/>
      <c r="X371" s="189" t="n"/>
      <c r="Y371" s="189" t="n"/>
      <c r="Z371" s="189" t="n"/>
      <c r="AA371" s="189" t="n"/>
      <c r="AB371" s="189" t="n"/>
      <c r="AC371" s="189" t="n"/>
      <c r="AD371" s="189" t="n"/>
      <c r="AE371" s="189" t="n"/>
      <c r="AF371" s="189" t="n"/>
      <c r="AG371" s="189" t="n"/>
      <c r="AH371" s="189" t="n"/>
      <c r="AI371" s="189" t="n"/>
      <c r="AJ371" s="189" t="n"/>
      <c r="AK371" s="189" t="n"/>
      <c r="AL371" s="189" t="n"/>
      <c r="AM371" s="51" t="inlineStr">
        <is>
          <t>U9X</t>
        </is>
      </c>
    </row>
    <row r="372">
      <c r="C372" s="189" t="n"/>
      <c r="D372" s="189" t="n"/>
      <c r="E372" s="189" t="n"/>
      <c r="F372" s="189" t="n"/>
      <c r="G372" s="189" t="n"/>
      <c r="H372" s="189" t="n"/>
      <c r="I372" s="189" t="n"/>
      <c r="J372" s="189" t="n"/>
      <c r="K372" s="189" t="n"/>
      <c r="L372" s="189" t="n"/>
      <c r="M372" s="189" t="n"/>
      <c r="N372" s="189" t="n"/>
      <c r="O372" s="189" t="n"/>
      <c r="P372" s="189" t="n"/>
      <c r="Q372" s="189" t="n"/>
      <c r="R372" s="189" t="n"/>
      <c r="S372" s="189" t="n"/>
      <c r="T372" s="189" t="n"/>
      <c r="U372" s="189" t="n"/>
      <c r="V372" s="189" t="n"/>
      <c r="W372" s="189" t="n"/>
      <c r="X372" s="189" t="n"/>
      <c r="Y372" s="189" t="n"/>
      <c r="Z372" s="189" t="n"/>
      <c r="AA372" s="189" t="n"/>
      <c r="AB372" s="189" t="n"/>
      <c r="AC372" s="189" t="n"/>
      <c r="AD372" s="189" t="n"/>
      <c r="AE372" s="189" t="n"/>
      <c r="AF372" s="189" t="n"/>
      <c r="AG372" s="189" t="n"/>
      <c r="AH372" s="189" t="n"/>
      <c r="AI372" s="189" t="n"/>
      <c r="AJ372" s="189" t="n"/>
      <c r="AK372" s="189" t="n"/>
      <c r="AL372" s="189" t="n"/>
      <c r="AM372" s="51" t="inlineStr">
        <is>
          <t>U9Y</t>
        </is>
      </c>
    </row>
    <row r="373">
      <c r="C373" s="189" t="n"/>
      <c r="D373" s="189" t="n"/>
      <c r="E373" s="189" t="n"/>
      <c r="F373" s="189" t="n"/>
      <c r="G373" s="189" t="n"/>
      <c r="H373" s="189" t="n"/>
      <c r="I373" s="189" t="n"/>
      <c r="J373" s="189" t="n"/>
      <c r="K373" s="189" t="n"/>
      <c r="L373" s="189" t="n"/>
      <c r="M373" s="189" t="n"/>
      <c r="N373" s="189" t="n"/>
      <c r="O373" s="189" t="n"/>
      <c r="P373" s="189" t="n"/>
      <c r="Q373" s="189" t="n"/>
      <c r="R373" s="189" t="n"/>
      <c r="S373" s="189" t="n"/>
      <c r="T373" s="189" t="n"/>
      <c r="U373" s="189" t="n"/>
      <c r="V373" s="189" t="n"/>
      <c r="W373" s="189" t="n"/>
      <c r="X373" s="189" t="n"/>
      <c r="Y373" s="189" t="n"/>
      <c r="Z373" s="189" t="n"/>
      <c r="AA373" s="189" t="n"/>
      <c r="AB373" s="189" t="n"/>
      <c r="AC373" s="189" t="n"/>
      <c r="AD373" s="189" t="n"/>
      <c r="AE373" s="189" t="n"/>
      <c r="AF373" s="189" t="n"/>
      <c r="AG373" s="189" t="n"/>
      <c r="AH373" s="189" t="n"/>
      <c r="AI373" s="189" t="n"/>
      <c r="AJ373" s="189" t="n"/>
      <c r="AK373" s="189" t="n"/>
      <c r="AL373" s="189" t="n"/>
      <c r="AM373" s="51" t="inlineStr">
        <is>
          <t>U9θ</t>
        </is>
      </c>
    </row>
    <row r="374">
      <c r="C374" s="189" t="n"/>
      <c r="D374" s="189" t="n"/>
      <c r="E374" s="189" t="n"/>
      <c r="F374" s="189" t="n"/>
      <c r="G374" s="189" t="n"/>
      <c r="H374" s="189" t="n"/>
      <c r="I374" s="189" t="n"/>
      <c r="J374" s="189" t="n"/>
      <c r="K374" s="189" t="n"/>
      <c r="L374" s="189" t="n"/>
      <c r="M374" s="189" t="n"/>
      <c r="N374" s="189" t="n"/>
      <c r="O374" s="189" t="n"/>
      <c r="P374" s="189" t="n"/>
      <c r="Q374" s="189" t="n"/>
      <c r="R374" s="189" t="n"/>
      <c r="S374" s="189" t="n"/>
      <c r="T374" s="189" t="n"/>
      <c r="U374" s="189" t="n"/>
      <c r="V374" s="189" t="n"/>
      <c r="W374" s="189" t="n"/>
      <c r="X374" s="189" t="n"/>
      <c r="Y374" s="189" t="n"/>
      <c r="Z374" s="189" t="n"/>
      <c r="AA374" s="189" t="n"/>
      <c r="AB374" s="189" t="n"/>
      <c r="AC374" s="189" t="n"/>
      <c r="AD374" s="189" t="n"/>
      <c r="AE374" s="189" t="n"/>
      <c r="AF374" s="189" t="n"/>
      <c r="AG374" s="189" t="n"/>
      <c r="AH374" s="189" t="n"/>
      <c r="AI374" s="189" t="n"/>
      <c r="AJ374" s="189" t="n"/>
      <c r="AK374" s="189" t="n"/>
      <c r="AL374" s="189" t="n"/>
      <c r="AM374" s="51" t="inlineStr">
        <is>
          <t>U10X</t>
        </is>
      </c>
    </row>
    <row r="375">
      <c r="C375" s="189" t="n"/>
      <c r="D375" s="189" t="n"/>
      <c r="E375" s="189" t="n"/>
      <c r="F375" s="189" t="n"/>
      <c r="G375" s="189" t="n"/>
      <c r="H375" s="189" t="n"/>
      <c r="I375" s="189" t="n"/>
      <c r="J375" s="189" t="n"/>
      <c r="K375" s="189" t="n"/>
      <c r="L375" s="189" t="n"/>
      <c r="M375" s="189" t="n"/>
      <c r="N375" s="189" t="n"/>
      <c r="O375" s="189" t="n"/>
      <c r="P375" s="189" t="n"/>
      <c r="Q375" s="189" t="n"/>
      <c r="R375" s="189" t="n"/>
      <c r="S375" s="189" t="n"/>
      <c r="T375" s="189" t="n"/>
      <c r="U375" s="189" t="n"/>
      <c r="V375" s="189" t="n"/>
      <c r="W375" s="189" t="n"/>
      <c r="X375" s="189" t="n"/>
      <c r="Y375" s="189" t="n"/>
      <c r="Z375" s="189" t="n"/>
      <c r="AA375" s="189" t="n"/>
      <c r="AB375" s="189" t="n"/>
      <c r="AC375" s="189" t="n"/>
      <c r="AD375" s="189" t="n"/>
      <c r="AE375" s="189" t="n"/>
      <c r="AF375" s="189" t="n"/>
      <c r="AG375" s="189" t="n"/>
      <c r="AH375" s="189" t="n"/>
      <c r="AI375" s="189" t="n"/>
      <c r="AJ375" s="189" t="n"/>
      <c r="AK375" s="189" t="n"/>
      <c r="AL375" s="189" t="n"/>
      <c r="AM375" s="51" t="inlineStr">
        <is>
          <t>U10Y</t>
        </is>
      </c>
    </row>
    <row r="376">
      <c r="C376" s="189" t="n"/>
      <c r="D376" s="189" t="n"/>
      <c r="E376" s="189" t="n"/>
      <c r="F376" s="189" t="n"/>
      <c r="G376" s="189" t="n"/>
      <c r="H376" s="189" t="n"/>
      <c r="I376" s="189" t="n"/>
      <c r="J376" s="189" t="n"/>
      <c r="K376" s="189" t="n"/>
      <c r="L376" s="189" t="n"/>
      <c r="M376" s="189" t="n"/>
      <c r="N376" s="189" t="n"/>
      <c r="O376" s="189" t="n"/>
      <c r="P376" s="189" t="n"/>
      <c r="Q376" s="189" t="n"/>
      <c r="R376" s="189" t="n"/>
      <c r="S376" s="189" t="n"/>
      <c r="T376" s="189" t="n"/>
      <c r="U376" s="189" t="n"/>
      <c r="V376" s="189" t="n"/>
      <c r="W376" s="189" t="n"/>
      <c r="X376" s="189" t="n"/>
      <c r="Y376" s="189" t="n"/>
      <c r="Z376" s="189" t="n"/>
      <c r="AA376" s="189" t="n"/>
      <c r="AB376" s="189" t="n"/>
      <c r="AC376" s="189" t="n"/>
      <c r="AD376" s="189" t="n"/>
      <c r="AE376" s="189" t="n"/>
      <c r="AF376" s="189" t="n"/>
      <c r="AG376" s="189" t="n"/>
      <c r="AH376" s="189" t="n"/>
      <c r="AI376" s="189" t="n"/>
      <c r="AJ376" s="189" t="n"/>
      <c r="AK376" s="189" t="n"/>
      <c r="AL376" s="189" t="n"/>
      <c r="AM376" s="51" t="inlineStr">
        <is>
          <t>U10θ</t>
        </is>
      </c>
    </row>
    <row r="377">
      <c r="C377" s="189" t="n"/>
      <c r="D377" s="189" t="n"/>
      <c r="E377" s="189" t="n"/>
      <c r="F377" s="189" t="n"/>
      <c r="G377" s="189" t="n"/>
      <c r="H377" s="189" t="n"/>
      <c r="I377" s="189" t="n"/>
      <c r="J377" s="189" t="n"/>
      <c r="K377" s="189" t="n"/>
      <c r="L377" s="189" t="n"/>
      <c r="M377" s="189" t="n"/>
      <c r="N377" s="189" t="n"/>
      <c r="O377" s="189" t="n"/>
      <c r="P377" s="189" t="n"/>
      <c r="Q377" s="189" t="n"/>
      <c r="R377" s="189" t="n"/>
      <c r="S377" s="189" t="n"/>
      <c r="T377" s="189" t="n"/>
      <c r="U377" s="189" t="n"/>
      <c r="V377" s="189" t="n"/>
      <c r="W377" s="189" t="n"/>
      <c r="X377" s="189" t="n"/>
      <c r="Y377" s="189" t="n"/>
      <c r="Z377" s="189" t="n"/>
      <c r="AA377" s="189" t="n"/>
      <c r="AB377" s="189" t="n"/>
      <c r="AC377" s="189" t="n"/>
      <c r="AD377" s="189" t="n"/>
      <c r="AE377" s="189" t="n"/>
      <c r="AF377" s="189" t="n"/>
      <c r="AG377" s="189" t="n"/>
      <c r="AH377" s="189" t="n"/>
      <c r="AI377" s="189" t="n"/>
      <c r="AJ377" s="189" t="n"/>
      <c r="AK377" s="189" t="n"/>
      <c r="AL377" s="189" t="n"/>
      <c r="AM377" s="51" t="inlineStr">
        <is>
          <t>U11X</t>
        </is>
      </c>
    </row>
    <row r="378">
      <c r="C378" s="189" t="n"/>
      <c r="D378" s="189" t="n"/>
      <c r="E378" s="189" t="n"/>
      <c r="F378" s="189" t="n"/>
      <c r="G378" s="189" t="n"/>
      <c r="H378" s="189" t="n"/>
      <c r="I378" s="189" t="n"/>
      <c r="J378" s="189" t="n"/>
      <c r="K378" s="189" t="n"/>
      <c r="L378" s="189" t="n"/>
      <c r="M378" s="189" t="n"/>
      <c r="N378" s="189" t="n"/>
      <c r="O378" s="189" t="n"/>
      <c r="P378" s="189" t="n"/>
      <c r="Q378" s="189" t="n"/>
      <c r="R378" s="189" t="n"/>
      <c r="S378" s="189" t="n"/>
      <c r="T378" s="189" t="n"/>
      <c r="U378" s="189" t="n"/>
      <c r="V378" s="189" t="n"/>
      <c r="W378" s="189" t="n"/>
      <c r="X378" s="189" t="n"/>
      <c r="Y378" s="189" t="n"/>
      <c r="Z378" s="189" t="n"/>
      <c r="AA378" s="189" t="n"/>
      <c r="AB378" s="189" t="n"/>
      <c r="AC378" s="189" t="n"/>
      <c r="AD378" s="189" t="n"/>
      <c r="AE378" s="189" t="n"/>
      <c r="AF378" s="189" t="n"/>
      <c r="AG378" s="189" t="n"/>
      <c r="AH378" s="189" t="n"/>
      <c r="AI378" s="189" t="n"/>
      <c r="AJ378" s="189" t="n"/>
      <c r="AK378" s="189" t="n"/>
      <c r="AL378" s="189" t="n"/>
      <c r="AM378" s="51" t="inlineStr">
        <is>
          <t>U11Y</t>
        </is>
      </c>
    </row>
    <row r="379">
      <c r="C379" s="189" t="n"/>
      <c r="D379" s="189" t="n"/>
      <c r="E379" s="189" t="n"/>
      <c r="F379" s="189" t="n"/>
      <c r="G379" s="189" t="n"/>
      <c r="H379" s="189" t="n"/>
      <c r="I379" s="189" t="n"/>
      <c r="J379" s="189" t="n"/>
      <c r="K379" s="189" t="n"/>
      <c r="L379" s="189" t="n"/>
      <c r="M379" s="189" t="n"/>
      <c r="N379" s="189" t="n"/>
      <c r="O379" s="189" t="n"/>
      <c r="P379" s="189" t="n"/>
      <c r="Q379" s="189" t="n"/>
      <c r="R379" s="189" t="n"/>
      <c r="S379" s="189" t="n"/>
      <c r="T379" s="189" t="n"/>
      <c r="U379" s="189" t="n"/>
      <c r="V379" s="189" t="n"/>
      <c r="W379" s="189" t="n"/>
      <c r="X379" s="189" t="n"/>
      <c r="Y379" s="189" t="n"/>
      <c r="Z379" s="189" t="n"/>
      <c r="AA379" s="189" t="n"/>
      <c r="AB379" s="189" t="n"/>
      <c r="AC379" s="189" t="n"/>
      <c r="AD379" s="189" t="n"/>
      <c r="AE379" s="189" t="n"/>
      <c r="AF379" s="189" t="n"/>
      <c r="AG379" s="189" t="n"/>
      <c r="AH379" s="189" t="n"/>
      <c r="AI379" s="189" t="n"/>
      <c r="AJ379" s="189" t="n"/>
      <c r="AK379" s="189" t="n"/>
      <c r="AL379" s="189" t="n"/>
      <c r="AM379" s="51" t="inlineStr">
        <is>
          <t>U11θ</t>
        </is>
      </c>
    </row>
    <row r="380">
      <c r="C380" s="189" t="n"/>
      <c r="D380" s="189" t="n"/>
      <c r="E380" s="189" t="n"/>
      <c r="F380" s="189" t="n"/>
      <c r="G380" s="189" t="n"/>
      <c r="H380" s="189" t="n"/>
      <c r="I380" s="189" t="n"/>
      <c r="J380" s="189" t="n"/>
      <c r="K380" s="189" t="n"/>
      <c r="L380" s="189" t="n"/>
      <c r="M380" s="189" t="n"/>
      <c r="N380" s="189" t="n"/>
      <c r="O380" s="189" t="n"/>
      <c r="P380" s="189" t="n"/>
      <c r="Q380" s="189" t="n"/>
      <c r="R380" s="189" t="n"/>
      <c r="S380" s="189" t="n"/>
      <c r="T380" s="189" t="n"/>
      <c r="U380" s="189" t="n"/>
      <c r="V380" s="189" t="n"/>
      <c r="W380" s="189" t="n"/>
      <c r="X380" s="189" t="n"/>
      <c r="Y380" s="189" t="n"/>
      <c r="Z380" s="189" t="n"/>
      <c r="AA380" s="189" t="n"/>
      <c r="AB380" s="189" t="n"/>
      <c r="AC380" s="189" t="n"/>
      <c r="AD380" s="189" t="n"/>
      <c r="AE380" s="189" t="n"/>
      <c r="AF380" s="189" t="n"/>
      <c r="AG380" s="189" t="n"/>
      <c r="AH380" s="189" t="n"/>
      <c r="AI380" s="189" t="n"/>
      <c r="AJ380" s="189" t="n"/>
      <c r="AK380" s="189" t="n"/>
      <c r="AL380" s="189" t="n"/>
      <c r="AM380" s="51" t="inlineStr">
        <is>
          <t>U12X</t>
        </is>
      </c>
    </row>
    <row r="381">
      <c r="C381" s="189" t="n"/>
      <c r="D381" s="189" t="n"/>
      <c r="E381" s="189" t="n"/>
      <c r="F381" s="189" t="n"/>
      <c r="G381" s="189" t="n"/>
      <c r="H381" s="189" t="n"/>
      <c r="I381" s="189" t="n"/>
      <c r="J381" s="189" t="n"/>
      <c r="K381" s="189" t="n"/>
      <c r="L381" s="189" t="n"/>
      <c r="M381" s="189" t="n"/>
      <c r="N381" s="189" t="n"/>
      <c r="O381" s="189" t="n"/>
      <c r="P381" s="189" t="n"/>
      <c r="Q381" s="189" t="n"/>
      <c r="R381" s="189" t="n"/>
      <c r="S381" s="189" t="n"/>
      <c r="T381" s="189" t="n"/>
      <c r="U381" s="189" t="n"/>
      <c r="V381" s="189" t="n"/>
      <c r="W381" s="189" t="n"/>
      <c r="X381" s="189" t="n"/>
      <c r="Y381" s="189" t="n"/>
      <c r="Z381" s="189" t="n"/>
      <c r="AA381" s="189" t="n"/>
      <c r="AB381" s="189" t="n"/>
      <c r="AC381" s="189" t="n"/>
      <c r="AD381" s="189" t="n"/>
      <c r="AE381" s="189" t="n"/>
      <c r="AF381" s="189" t="n"/>
      <c r="AG381" s="189" t="n"/>
      <c r="AH381" s="189" t="n"/>
      <c r="AI381" s="189" t="n"/>
      <c r="AJ381" s="189" t="n"/>
      <c r="AK381" s="189" t="n"/>
      <c r="AL381" s="189" t="n"/>
      <c r="AM381" s="51" t="inlineStr">
        <is>
          <t>U12Y</t>
        </is>
      </c>
    </row>
    <row r="382">
      <c r="C382" s="189" t="n"/>
      <c r="D382" s="189" t="n"/>
      <c r="E382" s="189" t="n"/>
      <c r="F382" s="189" t="n"/>
      <c r="G382" s="189" t="n"/>
      <c r="H382" s="189" t="n"/>
      <c r="I382" s="189" t="n"/>
      <c r="J382" s="189" t="n"/>
      <c r="K382" s="189" t="n"/>
      <c r="L382" s="189" t="n"/>
      <c r="M382" s="189" t="n"/>
      <c r="N382" s="189" t="n"/>
      <c r="O382" s="189" t="n"/>
      <c r="P382" s="189" t="n"/>
      <c r="Q382" s="189" t="n"/>
      <c r="R382" s="189" t="n"/>
      <c r="S382" s="189" t="n"/>
      <c r="T382" s="189" t="n"/>
      <c r="U382" s="189" t="n"/>
      <c r="V382" s="189" t="n"/>
      <c r="W382" s="189" t="n"/>
      <c r="X382" s="189" t="n"/>
      <c r="Y382" s="189" t="n"/>
      <c r="Z382" s="189" t="n"/>
      <c r="AA382" s="189" t="n"/>
      <c r="AB382" s="189" t="n"/>
      <c r="AC382" s="189" t="n"/>
      <c r="AD382" s="189" t="n"/>
      <c r="AE382" s="189" t="n"/>
      <c r="AF382" s="189" t="n"/>
      <c r="AG382" s="189" t="n"/>
      <c r="AH382" s="189" t="n"/>
      <c r="AI382" s="189" t="n"/>
      <c r="AJ382" s="189" t="n"/>
      <c r="AK382" s="189" t="n"/>
      <c r="AL382" s="189" t="n"/>
      <c r="AM382" s="51" t="inlineStr">
        <is>
          <t>U12θ</t>
        </is>
      </c>
    </row>
    <row r="385">
      <c r="C385" s="51">
        <f>IF(C35="","", CONCATENATE("U",C35,C$27))</f>
        <v/>
      </c>
      <c r="D385" s="51">
        <f>IF(D35="","", CONCATENATE("U",D35,D$27))</f>
        <v/>
      </c>
      <c r="E385" s="51">
        <f>IF(E35="","", CONCATENATE("U",E35,E$27))</f>
        <v/>
      </c>
      <c r="F385" s="51">
        <f>IF(F35="","", CONCATENATE("U",F35,F$27))</f>
        <v/>
      </c>
      <c r="G385" s="51">
        <f>IF(G35="","", CONCATENATE("U",G35,G$27))</f>
        <v/>
      </c>
      <c r="H385" s="51">
        <f>IF(H35="","", CONCATENATE("U",H35,H$27))</f>
        <v/>
      </c>
    </row>
    <row r="386">
      <c r="C386" s="8">
        <f>IF(I21="", 0, (S21*(J21^2))+(O21*(K21^2)))</f>
        <v/>
      </c>
      <c r="D386" s="189">
        <f>IF(I21="", 0, (S21-O21)*J21*K21)</f>
        <v/>
      </c>
      <c r="E386" s="189">
        <f>IF(I21="", 0, -P21*K21)</f>
        <v/>
      </c>
      <c r="F386" s="189">
        <f>-1*C386</f>
        <v/>
      </c>
      <c r="G386" s="189">
        <f>-1*D386</f>
        <v/>
      </c>
      <c r="H386" s="189">
        <f>E386</f>
        <v/>
      </c>
      <c r="I386" s="51">
        <f>C385</f>
        <v/>
      </c>
    </row>
    <row r="387">
      <c r="C387" s="189">
        <f>D386</f>
        <v/>
      </c>
      <c r="D387" s="8">
        <f>IF(I21="", 0, (S21*(K21^2))+(O21*(J21^2)))</f>
        <v/>
      </c>
      <c r="E387" s="189">
        <f>IF(I21="", 0, P21*J21)</f>
        <v/>
      </c>
      <c r="F387" s="189">
        <f>-1*D386</f>
        <v/>
      </c>
      <c r="G387" s="189">
        <f>-1*D387</f>
        <v/>
      </c>
      <c r="H387" s="189">
        <f>E387</f>
        <v/>
      </c>
      <c r="I387" s="51">
        <f>D385</f>
        <v/>
      </c>
    </row>
    <row r="388">
      <c r="B388" s="118" t="inlineStr">
        <is>
          <t>K8 =</t>
        </is>
      </c>
      <c r="C388" s="189">
        <f>E386</f>
        <v/>
      </c>
      <c r="D388" s="189">
        <f>E387</f>
        <v/>
      </c>
      <c r="E388" s="8">
        <f>IF(I21="", 0, Q21)</f>
        <v/>
      </c>
      <c r="F388" s="189">
        <f>-1*E386</f>
        <v/>
      </c>
      <c r="G388" s="189">
        <f>-1*E387</f>
        <v/>
      </c>
      <c r="H388" s="189">
        <f>IF(I21="", 0, R21)</f>
        <v/>
      </c>
      <c r="I388" s="51">
        <f>E385</f>
        <v/>
      </c>
    </row>
    <row r="389">
      <c r="C389" s="189">
        <f>F386</f>
        <v/>
      </c>
      <c r="D389" s="189">
        <f>F387</f>
        <v/>
      </c>
      <c r="E389" s="189">
        <f>F388</f>
        <v/>
      </c>
      <c r="F389" s="8">
        <f>C386</f>
        <v/>
      </c>
      <c r="G389" s="189">
        <f>D386</f>
        <v/>
      </c>
      <c r="H389" s="189">
        <f>-1*E386</f>
        <v/>
      </c>
      <c r="I389" s="51">
        <f>F385</f>
        <v/>
      </c>
    </row>
    <row r="390">
      <c r="C390" s="189">
        <f>G386</f>
        <v/>
      </c>
      <c r="D390" s="189">
        <f>G387</f>
        <v/>
      </c>
      <c r="E390" s="189">
        <f>G388</f>
        <v/>
      </c>
      <c r="F390" s="189">
        <f>G389</f>
        <v/>
      </c>
      <c r="G390" s="8">
        <f>D387</f>
        <v/>
      </c>
      <c r="H390" s="189">
        <f>-1*E387</f>
        <v/>
      </c>
      <c r="I390" s="51">
        <f>G385</f>
        <v/>
      </c>
    </row>
    <row r="391">
      <c r="C391" s="189">
        <f>H386</f>
        <v/>
      </c>
      <c r="D391" s="189">
        <f>H387</f>
        <v/>
      </c>
      <c r="E391" s="189">
        <f>H388</f>
        <v/>
      </c>
      <c r="F391" s="189">
        <f>H389</f>
        <v/>
      </c>
      <c r="G391" s="189">
        <f>H390</f>
        <v/>
      </c>
      <c r="H391" s="8">
        <f>E388</f>
        <v/>
      </c>
      <c r="I391" s="51">
        <f>H385</f>
        <v/>
      </c>
    </row>
    <row r="393">
      <c r="C393" s="51" t="inlineStr">
        <is>
          <t>U1X</t>
        </is>
      </c>
      <c r="D393" s="51" t="inlineStr">
        <is>
          <t>U1Y</t>
        </is>
      </c>
      <c r="E393" s="51" t="inlineStr">
        <is>
          <t>U1θ</t>
        </is>
      </c>
      <c r="F393" s="51" t="inlineStr">
        <is>
          <t>U2X</t>
        </is>
      </c>
      <c r="G393" s="51" t="inlineStr">
        <is>
          <t>U2Y</t>
        </is>
      </c>
      <c r="H393" s="51" t="inlineStr">
        <is>
          <t>U2θ</t>
        </is>
      </c>
      <c r="I393" s="51" t="inlineStr">
        <is>
          <t>U3X</t>
        </is>
      </c>
      <c r="J393" s="51" t="inlineStr">
        <is>
          <t>U3Y</t>
        </is>
      </c>
      <c r="K393" s="51" t="inlineStr">
        <is>
          <t>U3θ</t>
        </is>
      </c>
      <c r="L393" s="51" t="inlineStr">
        <is>
          <t>U4X</t>
        </is>
      </c>
      <c r="M393" s="51" t="inlineStr">
        <is>
          <t>U4Y</t>
        </is>
      </c>
      <c r="N393" s="51" t="inlineStr">
        <is>
          <t>U4θ</t>
        </is>
      </c>
      <c r="O393" s="51" t="inlineStr">
        <is>
          <t>U5X</t>
        </is>
      </c>
      <c r="P393" s="51" t="inlineStr">
        <is>
          <t>U5Y</t>
        </is>
      </c>
      <c r="Q393" s="51" t="inlineStr">
        <is>
          <t>U5θ</t>
        </is>
      </c>
      <c r="R393" s="51" t="inlineStr">
        <is>
          <t>U6X</t>
        </is>
      </c>
      <c r="S393" s="51" t="inlineStr">
        <is>
          <t>U6Y</t>
        </is>
      </c>
      <c r="T393" s="51" t="inlineStr">
        <is>
          <t>U6θ</t>
        </is>
      </c>
      <c r="U393" s="51" t="inlineStr">
        <is>
          <t>U7X</t>
        </is>
      </c>
      <c r="V393" s="51" t="inlineStr">
        <is>
          <t>U7Y</t>
        </is>
      </c>
      <c r="W393" s="51" t="inlineStr">
        <is>
          <t>U7θ</t>
        </is>
      </c>
      <c r="X393" s="51" t="inlineStr">
        <is>
          <t>U8X</t>
        </is>
      </c>
      <c r="Y393" s="51" t="inlineStr">
        <is>
          <t>U8Y</t>
        </is>
      </c>
      <c r="Z393" s="51" t="inlineStr">
        <is>
          <t>U8θ</t>
        </is>
      </c>
      <c r="AA393" s="51" t="inlineStr">
        <is>
          <t>U9X</t>
        </is>
      </c>
      <c r="AB393" s="51" t="inlineStr">
        <is>
          <t>U9Y</t>
        </is>
      </c>
      <c r="AC393" s="51" t="inlineStr">
        <is>
          <t>U9θ</t>
        </is>
      </c>
      <c r="AD393" s="51" t="inlineStr">
        <is>
          <t>U10X</t>
        </is>
      </c>
      <c r="AE393" s="51" t="inlineStr">
        <is>
          <t>U10Y</t>
        </is>
      </c>
      <c r="AF393" s="51" t="inlineStr">
        <is>
          <t>U10θ</t>
        </is>
      </c>
      <c r="AG393" s="51" t="inlineStr">
        <is>
          <t>U11X</t>
        </is>
      </c>
      <c r="AH393" s="51" t="inlineStr">
        <is>
          <t>U11Y</t>
        </is>
      </c>
      <c r="AI393" s="51" t="inlineStr">
        <is>
          <t>U11θ</t>
        </is>
      </c>
      <c r="AJ393" s="51" t="inlineStr">
        <is>
          <t>U12X</t>
        </is>
      </c>
      <c r="AK393" s="51" t="inlineStr">
        <is>
          <t>U12Y</t>
        </is>
      </c>
      <c r="AL393" s="51" t="inlineStr">
        <is>
          <t>U12θ</t>
        </is>
      </c>
    </row>
    <row r="394">
      <c r="C394" s="189" t="n"/>
      <c r="D394" s="189" t="n"/>
      <c r="E394" s="189" t="n"/>
      <c r="F394" s="189" t="n"/>
      <c r="G394" s="189" t="n"/>
      <c r="H394" s="189" t="n"/>
      <c r="I394" s="189" t="n"/>
      <c r="J394" s="189" t="n"/>
      <c r="K394" s="189" t="n"/>
      <c r="L394" s="189" t="n"/>
      <c r="M394" s="189" t="n"/>
      <c r="N394" s="189" t="n"/>
      <c r="O394" s="189" t="n"/>
      <c r="P394" s="189" t="n"/>
      <c r="Q394" s="189" t="n"/>
      <c r="R394" s="189" t="n"/>
      <c r="S394" s="189" t="n"/>
      <c r="T394" s="189" t="n"/>
      <c r="U394" s="189" t="n"/>
      <c r="V394" s="189" t="n"/>
      <c r="W394" s="189" t="n"/>
      <c r="X394" s="189" t="n"/>
      <c r="Y394" s="189" t="n"/>
      <c r="Z394" s="189" t="n"/>
      <c r="AA394" s="189" t="n"/>
      <c r="AB394" s="189" t="n"/>
      <c r="AC394" s="189" t="n"/>
      <c r="AD394" s="189" t="n"/>
      <c r="AE394" s="189" t="n"/>
      <c r="AF394" s="189" t="n"/>
      <c r="AG394" s="189" t="n"/>
      <c r="AH394" s="189" t="n"/>
      <c r="AI394" s="189" t="n"/>
      <c r="AJ394" s="189" t="n"/>
      <c r="AK394" s="189" t="n"/>
      <c r="AL394" s="189" t="n"/>
      <c r="AM394" s="51" t="inlineStr">
        <is>
          <t>U1X</t>
        </is>
      </c>
    </row>
    <row r="395">
      <c r="C395" s="189" t="n"/>
      <c r="D395" s="189" t="n"/>
      <c r="E395" s="189" t="n"/>
      <c r="F395" s="189" t="n"/>
      <c r="G395" s="189" t="n"/>
      <c r="H395" s="189" t="n"/>
      <c r="I395" s="189" t="n"/>
      <c r="J395" s="189" t="n"/>
      <c r="K395" s="189" t="n"/>
      <c r="L395" s="189" t="n"/>
      <c r="M395" s="189" t="n"/>
      <c r="N395" s="189" t="n"/>
      <c r="O395" s="189" t="n"/>
      <c r="P395" s="189" t="n"/>
      <c r="Q395" s="189" t="n"/>
      <c r="R395" s="189" t="n"/>
      <c r="S395" s="189" t="n"/>
      <c r="T395" s="189" t="n"/>
      <c r="U395" s="189" t="n"/>
      <c r="V395" s="189" t="n"/>
      <c r="W395" s="189" t="n"/>
      <c r="X395" s="189" t="n"/>
      <c r="Y395" s="189" t="n"/>
      <c r="Z395" s="189" t="n"/>
      <c r="AA395" s="189" t="n"/>
      <c r="AB395" s="189" t="n"/>
      <c r="AC395" s="189" t="n"/>
      <c r="AD395" s="189" t="n"/>
      <c r="AE395" s="189" t="n"/>
      <c r="AF395" s="189" t="n"/>
      <c r="AG395" s="189" t="n"/>
      <c r="AH395" s="189" t="n"/>
      <c r="AI395" s="189" t="n"/>
      <c r="AJ395" s="189" t="n"/>
      <c r="AK395" s="189" t="n"/>
      <c r="AL395" s="189" t="n"/>
      <c r="AM395" s="51" t="inlineStr">
        <is>
          <t>U1Y</t>
        </is>
      </c>
    </row>
    <row r="396">
      <c r="C396" s="189" t="n"/>
      <c r="D396" s="189" t="n"/>
      <c r="E396" s="189" t="n"/>
      <c r="F396" s="189" t="n"/>
      <c r="G396" s="189" t="n"/>
      <c r="H396" s="189" t="n"/>
      <c r="I396" s="189" t="n"/>
      <c r="J396" s="189" t="n"/>
      <c r="K396" s="189" t="n"/>
      <c r="L396" s="189" t="n"/>
      <c r="M396" s="189" t="n"/>
      <c r="N396" s="189" t="n"/>
      <c r="O396" s="189" t="n"/>
      <c r="P396" s="189" t="n"/>
      <c r="Q396" s="189" t="n"/>
      <c r="R396" s="189" t="n"/>
      <c r="S396" s="189" t="n"/>
      <c r="T396" s="189" t="n"/>
      <c r="U396" s="189" t="n"/>
      <c r="V396" s="189" t="n"/>
      <c r="W396" s="189" t="n"/>
      <c r="X396" s="189" t="n"/>
      <c r="Y396" s="189" t="n"/>
      <c r="Z396" s="189" t="n"/>
      <c r="AA396" s="189" t="n"/>
      <c r="AB396" s="189" t="n"/>
      <c r="AC396" s="189" t="n"/>
      <c r="AD396" s="189" t="n"/>
      <c r="AE396" s="189" t="n"/>
      <c r="AF396" s="189" t="n"/>
      <c r="AG396" s="189" t="n"/>
      <c r="AH396" s="189" t="n"/>
      <c r="AI396" s="189" t="n"/>
      <c r="AJ396" s="189" t="n"/>
      <c r="AK396" s="189" t="n"/>
      <c r="AL396" s="189" t="n"/>
      <c r="AM396" s="51" t="inlineStr">
        <is>
          <t>U1θ</t>
        </is>
      </c>
    </row>
    <row r="397">
      <c r="C397" s="189" t="n"/>
      <c r="D397" s="189" t="n"/>
      <c r="E397" s="189" t="n"/>
      <c r="F397" s="189" t="n"/>
      <c r="G397" s="189" t="n"/>
      <c r="H397" s="189" t="n"/>
      <c r="I397" s="189" t="n"/>
      <c r="J397" s="189" t="n"/>
      <c r="K397" s="189" t="n"/>
      <c r="L397" s="189" t="n"/>
      <c r="M397" s="189" t="n"/>
      <c r="N397" s="189" t="n"/>
      <c r="O397" s="189" t="n"/>
      <c r="P397" s="189" t="n"/>
      <c r="Q397" s="189" t="n"/>
      <c r="R397" s="189" t="n"/>
      <c r="S397" s="189" t="n"/>
      <c r="T397" s="189" t="n"/>
      <c r="U397" s="189" t="n"/>
      <c r="V397" s="189" t="n"/>
      <c r="W397" s="189" t="n"/>
      <c r="X397" s="189" t="n"/>
      <c r="Y397" s="189" t="n"/>
      <c r="Z397" s="189" t="n"/>
      <c r="AA397" s="189" t="n"/>
      <c r="AB397" s="189" t="n"/>
      <c r="AC397" s="189" t="n"/>
      <c r="AD397" s="189" t="n"/>
      <c r="AE397" s="189" t="n"/>
      <c r="AF397" s="189" t="n"/>
      <c r="AG397" s="189" t="n"/>
      <c r="AH397" s="189" t="n"/>
      <c r="AI397" s="189" t="n"/>
      <c r="AJ397" s="189" t="n"/>
      <c r="AK397" s="189" t="n"/>
      <c r="AL397" s="189" t="n"/>
      <c r="AM397" s="51" t="inlineStr">
        <is>
          <t>U2X</t>
        </is>
      </c>
    </row>
    <row r="398">
      <c r="C398" s="189" t="n"/>
      <c r="D398" s="189" t="n"/>
      <c r="E398" s="189" t="n"/>
      <c r="F398" s="189" t="n"/>
      <c r="G398" s="189" t="n"/>
      <c r="H398" s="189" t="n"/>
      <c r="I398" s="189" t="n"/>
      <c r="J398" s="189" t="n"/>
      <c r="K398" s="189" t="n"/>
      <c r="L398" s="189" t="n"/>
      <c r="M398" s="189" t="n"/>
      <c r="N398" s="189" t="n"/>
      <c r="O398" s="189" t="n"/>
      <c r="P398" s="189" t="n"/>
      <c r="Q398" s="189" t="n"/>
      <c r="R398" s="189" t="n"/>
      <c r="S398" s="189" t="n"/>
      <c r="T398" s="189" t="n"/>
      <c r="U398" s="189" t="n"/>
      <c r="V398" s="189" t="n"/>
      <c r="W398" s="189" t="n"/>
      <c r="X398" s="189" t="n"/>
      <c r="Y398" s="189" t="n"/>
      <c r="Z398" s="189" t="n"/>
      <c r="AA398" s="189" t="n"/>
      <c r="AB398" s="189" t="n"/>
      <c r="AC398" s="189" t="n"/>
      <c r="AD398" s="189" t="n"/>
      <c r="AE398" s="189" t="n"/>
      <c r="AF398" s="189" t="n"/>
      <c r="AG398" s="189" t="n"/>
      <c r="AH398" s="189" t="n"/>
      <c r="AI398" s="189" t="n"/>
      <c r="AJ398" s="189" t="n"/>
      <c r="AK398" s="189" t="n"/>
      <c r="AL398" s="189" t="n"/>
      <c r="AM398" s="51" t="inlineStr">
        <is>
          <t>U2Y</t>
        </is>
      </c>
    </row>
    <row r="399">
      <c r="C399" s="189" t="n"/>
      <c r="D399" s="189" t="n"/>
      <c r="E399" s="189" t="n"/>
      <c r="F399" s="189" t="n"/>
      <c r="G399" s="189" t="n"/>
      <c r="H399" s="189" t="n"/>
      <c r="I399" s="189" t="n"/>
      <c r="J399" s="189" t="n"/>
      <c r="K399" s="189" t="n"/>
      <c r="L399" s="189" t="n"/>
      <c r="M399" s="189" t="n"/>
      <c r="N399" s="189" t="n"/>
      <c r="O399" s="189" t="n"/>
      <c r="P399" s="189" t="n"/>
      <c r="Q399" s="189" t="n"/>
      <c r="R399" s="189" t="n"/>
      <c r="S399" s="189" t="n"/>
      <c r="T399" s="189" t="n"/>
      <c r="U399" s="189" t="n"/>
      <c r="V399" s="189" t="n"/>
      <c r="W399" s="189" t="n"/>
      <c r="X399" s="189" t="n"/>
      <c r="Y399" s="189" t="n"/>
      <c r="Z399" s="189" t="n"/>
      <c r="AA399" s="189" t="n"/>
      <c r="AB399" s="189" t="n"/>
      <c r="AC399" s="189" t="n"/>
      <c r="AD399" s="189" t="n"/>
      <c r="AE399" s="189" t="n"/>
      <c r="AF399" s="189" t="n"/>
      <c r="AG399" s="189" t="n"/>
      <c r="AH399" s="189" t="n"/>
      <c r="AI399" s="189" t="n"/>
      <c r="AJ399" s="189" t="n"/>
      <c r="AK399" s="189" t="n"/>
      <c r="AL399" s="189" t="n"/>
      <c r="AM399" s="51" t="inlineStr">
        <is>
          <t>U2θ</t>
        </is>
      </c>
    </row>
    <row r="400">
      <c r="C400" s="189" t="n"/>
      <c r="D400" s="189" t="n"/>
      <c r="E400" s="189" t="n"/>
      <c r="F400" s="189" t="n"/>
      <c r="G400" s="189" t="n"/>
      <c r="H400" s="189" t="n"/>
      <c r="I400" s="189" t="n"/>
      <c r="J400" s="189" t="n"/>
      <c r="K400" s="189" t="n"/>
      <c r="L400" s="189" t="n"/>
      <c r="M400" s="189" t="n"/>
      <c r="N400" s="189" t="n"/>
      <c r="O400" s="189" t="n"/>
      <c r="P400" s="189" t="n"/>
      <c r="Q400" s="189" t="n"/>
      <c r="R400" s="189" t="n"/>
      <c r="S400" s="189" t="n"/>
      <c r="T400" s="189" t="n"/>
      <c r="U400" s="189" t="n"/>
      <c r="V400" s="189" t="n"/>
      <c r="W400" s="189" t="n"/>
      <c r="X400" s="189" t="n"/>
      <c r="Y400" s="189" t="n"/>
      <c r="Z400" s="189" t="n"/>
      <c r="AA400" s="189" t="n"/>
      <c r="AB400" s="189" t="n"/>
      <c r="AC400" s="189" t="n"/>
      <c r="AD400" s="189" t="n"/>
      <c r="AE400" s="189" t="n"/>
      <c r="AF400" s="189" t="n"/>
      <c r="AG400" s="189" t="n"/>
      <c r="AH400" s="189" t="n"/>
      <c r="AI400" s="189" t="n"/>
      <c r="AJ400" s="189" t="n"/>
      <c r="AK400" s="189" t="n"/>
      <c r="AL400" s="189" t="n"/>
      <c r="AM400" s="51" t="inlineStr">
        <is>
          <t>U3X</t>
        </is>
      </c>
    </row>
    <row r="401">
      <c r="C401" s="189" t="n"/>
      <c r="D401" s="189" t="n"/>
      <c r="E401" s="189" t="n"/>
      <c r="F401" s="189" t="n"/>
      <c r="G401" s="189" t="n"/>
      <c r="H401" s="189" t="n"/>
      <c r="I401" s="189" t="n"/>
      <c r="J401" s="189" t="n"/>
      <c r="K401" s="189" t="n"/>
      <c r="L401" s="189" t="n"/>
      <c r="M401" s="189" t="n"/>
      <c r="N401" s="189" t="n"/>
      <c r="O401" s="189" t="n"/>
      <c r="P401" s="189" t="n"/>
      <c r="Q401" s="189" t="n"/>
      <c r="R401" s="189" t="n"/>
      <c r="S401" s="189" t="n"/>
      <c r="T401" s="189" t="n"/>
      <c r="U401" s="189" t="n"/>
      <c r="V401" s="189" t="n"/>
      <c r="W401" s="189" t="n"/>
      <c r="X401" s="189" t="n"/>
      <c r="Y401" s="189" t="n"/>
      <c r="Z401" s="189" t="n"/>
      <c r="AA401" s="189" t="n"/>
      <c r="AB401" s="189" t="n"/>
      <c r="AC401" s="189" t="n"/>
      <c r="AD401" s="189" t="n"/>
      <c r="AE401" s="189" t="n"/>
      <c r="AF401" s="189" t="n"/>
      <c r="AG401" s="189" t="n"/>
      <c r="AH401" s="189" t="n"/>
      <c r="AI401" s="189" t="n"/>
      <c r="AJ401" s="189" t="n"/>
      <c r="AK401" s="189" t="n"/>
      <c r="AL401" s="189" t="n"/>
      <c r="AM401" s="51" t="inlineStr">
        <is>
          <t>U3Y</t>
        </is>
      </c>
    </row>
    <row r="402">
      <c r="C402" s="189" t="n"/>
      <c r="D402" s="189" t="n"/>
      <c r="E402" s="189" t="n"/>
      <c r="F402" s="189" t="n"/>
      <c r="G402" s="189" t="n"/>
      <c r="H402" s="189" t="n"/>
      <c r="I402" s="189" t="n"/>
      <c r="J402" s="189" t="n"/>
      <c r="K402" s="189" t="n"/>
      <c r="L402" s="189" t="n"/>
      <c r="M402" s="189" t="n"/>
      <c r="N402" s="189" t="n"/>
      <c r="O402" s="189" t="n"/>
      <c r="P402" s="189" t="n"/>
      <c r="Q402" s="189" t="n"/>
      <c r="R402" s="189" t="n"/>
      <c r="S402" s="189" t="n"/>
      <c r="T402" s="189" t="n"/>
      <c r="U402" s="189" t="n"/>
      <c r="V402" s="189" t="n"/>
      <c r="W402" s="189" t="n"/>
      <c r="X402" s="189" t="n"/>
      <c r="Y402" s="189" t="n"/>
      <c r="Z402" s="189" t="n"/>
      <c r="AA402" s="189" t="n"/>
      <c r="AB402" s="189" t="n"/>
      <c r="AC402" s="189" t="n"/>
      <c r="AD402" s="189" t="n"/>
      <c r="AE402" s="189" t="n"/>
      <c r="AF402" s="189" t="n"/>
      <c r="AG402" s="189" t="n"/>
      <c r="AH402" s="189" t="n"/>
      <c r="AI402" s="189" t="n"/>
      <c r="AJ402" s="189" t="n"/>
      <c r="AK402" s="189" t="n"/>
      <c r="AL402" s="189" t="n"/>
      <c r="AM402" s="51" t="inlineStr">
        <is>
          <t>U3θ</t>
        </is>
      </c>
    </row>
    <row r="403">
      <c r="C403" s="189" t="n"/>
      <c r="D403" s="189" t="n"/>
      <c r="E403" s="189" t="n"/>
      <c r="F403" s="189" t="n"/>
      <c r="G403" s="189" t="n"/>
      <c r="H403" s="189" t="n"/>
      <c r="I403" s="189" t="n"/>
      <c r="J403" s="189" t="n"/>
      <c r="K403" s="189" t="n"/>
      <c r="L403" s="189" t="n"/>
      <c r="M403" s="189" t="n"/>
      <c r="N403" s="189" t="n"/>
      <c r="O403" s="189" t="n"/>
      <c r="P403" s="189" t="n"/>
      <c r="Q403" s="189" t="n"/>
      <c r="R403" s="189" t="n"/>
      <c r="S403" s="189" t="n"/>
      <c r="T403" s="189" t="n"/>
      <c r="U403" s="189" t="n"/>
      <c r="V403" s="189" t="n"/>
      <c r="W403" s="189" t="n"/>
      <c r="X403" s="189" t="n"/>
      <c r="Y403" s="189" t="n"/>
      <c r="Z403" s="189" t="n"/>
      <c r="AA403" s="189" t="n"/>
      <c r="AB403" s="189" t="n"/>
      <c r="AC403" s="189" t="n"/>
      <c r="AD403" s="189" t="n"/>
      <c r="AE403" s="189" t="n"/>
      <c r="AF403" s="189" t="n"/>
      <c r="AG403" s="189" t="n"/>
      <c r="AH403" s="189" t="n"/>
      <c r="AI403" s="189" t="n"/>
      <c r="AJ403" s="189" t="n"/>
      <c r="AK403" s="189" t="n"/>
      <c r="AL403" s="189" t="n"/>
      <c r="AM403" s="51" t="inlineStr">
        <is>
          <t>U4X</t>
        </is>
      </c>
    </row>
    <row r="404">
      <c r="C404" s="189" t="n"/>
      <c r="D404" s="189" t="n"/>
      <c r="E404" s="189" t="n"/>
      <c r="F404" s="189" t="n"/>
      <c r="G404" s="189" t="n"/>
      <c r="H404" s="189" t="n"/>
      <c r="I404" s="189" t="n"/>
      <c r="J404" s="189" t="n"/>
      <c r="K404" s="189" t="n"/>
      <c r="L404" s="189" t="n"/>
      <c r="M404" s="189" t="n"/>
      <c r="N404" s="189" t="n"/>
      <c r="O404" s="189" t="n"/>
      <c r="P404" s="189" t="n"/>
      <c r="Q404" s="189" t="n"/>
      <c r="R404" s="189" t="n"/>
      <c r="S404" s="189" t="n"/>
      <c r="T404" s="189" t="n"/>
      <c r="U404" s="189" t="n"/>
      <c r="V404" s="189" t="n"/>
      <c r="W404" s="189" t="n"/>
      <c r="X404" s="189" t="n"/>
      <c r="Y404" s="189" t="n"/>
      <c r="Z404" s="189" t="n"/>
      <c r="AA404" s="189" t="n"/>
      <c r="AB404" s="189" t="n"/>
      <c r="AC404" s="189" t="n"/>
      <c r="AD404" s="189" t="n"/>
      <c r="AE404" s="189" t="n"/>
      <c r="AF404" s="189" t="n"/>
      <c r="AG404" s="189" t="n"/>
      <c r="AH404" s="189" t="n"/>
      <c r="AI404" s="189" t="n"/>
      <c r="AJ404" s="189" t="n"/>
      <c r="AK404" s="189" t="n"/>
      <c r="AL404" s="189" t="n"/>
      <c r="AM404" s="51" t="inlineStr">
        <is>
          <t>U4Y</t>
        </is>
      </c>
    </row>
    <row r="405">
      <c r="C405" s="189" t="n"/>
      <c r="D405" s="189" t="n"/>
      <c r="E405" s="189" t="n"/>
      <c r="F405" s="189" t="n"/>
      <c r="G405" s="189" t="n"/>
      <c r="H405" s="189" t="n"/>
      <c r="I405" s="189" t="n"/>
      <c r="J405" s="189" t="n"/>
      <c r="K405" s="189" t="n"/>
      <c r="L405" s="189" t="n"/>
      <c r="M405" s="189" t="n"/>
      <c r="N405" s="189" t="n"/>
      <c r="O405" s="189" t="n"/>
      <c r="P405" s="189" t="n"/>
      <c r="Q405" s="189" t="n"/>
      <c r="R405" s="189" t="n"/>
      <c r="S405" s="189" t="n"/>
      <c r="T405" s="189" t="n"/>
      <c r="U405" s="189" t="n"/>
      <c r="V405" s="189" t="n"/>
      <c r="W405" s="189" t="n"/>
      <c r="X405" s="189" t="n"/>
      <c r="Y405" s="189" t="n"/>
      <c r="Z405" s="189" t="n"/>
      <c r="AA405" s="189" t="n"/>
      <c r="AB405" s="189" t="n"/>
      <c r="AC405" s="189" t="n"/>
      <c r="AD405" s="189" t="n"/>
      <c r="AE405" s="189" t="n"/>
      <c r="AF405" s="189" t="n"/>
      <c r="AG405" s="189" t="n"/>
      <c r="AH405" s="189" t="n"/>
      <c r="AI405" s="189" t="n"/>
      <c r="AJ405" s="189" t="n"/>
      <c r="AK405" s="189" t="n"/>
      <c r="AL405" s="189" t="n"/>
      <c r="AM405" s="51" t="inlineStr">
        <is>
          <t>U4θ</t>
        </is>
      </c>
    </row>
    <row r="406">
      <c r="C406" s="189" t="n"/>
      <c r="D406" s="189" t="n"/>
      <c r="E406" s="189" t="n"/>
      <c r="F406" s="189" t="n"/>
      <c r="G406" s="189" t="n"/>
      <c r="H406" s="189" t="n"/>
      <c r="I406" s="189" t="n"/>
      <c r="J406" s="189" t="n"/>
      <c r="K406" s="189" t="n"/>
      <c r="L406" s="189" t="n"/>
      <c r="M406" s="189" t="n"/>
      <c r="N406" s="189" t="n"/>
      <c r="O406" s="189" t="n"/>
      <c r="P406" s="189" t="n"/>
      <c r="Q406" s="189" t="n"/>
      <c r="R406" s="189" t="n"/>
      <c r="S406" s="189" t="n"/>
      <c r="T406" s="189" t="n"/>
      <c r="U406" s="189" t="n"/>
      <c r="V406" s="189" t="n"/>
      <c r="W406" s="189" t="n"/>
      <c r="X406" s="189" t="n"/>
      <c r="Y406" s="189" t="n"/>
      <c r="Z406" s="189" t="n"/>
      <c r="AA406" s="189" t="n"/>
      <c r="AB406" s="189" t="n"/>
      <c r="AC406" s="189" t="n"/>
      <c r="AD406" s="189" t="n"/>
      <c r="AE406" s="189" t="n"/>
      <c r="AF406" s="189" t="n"/>
      <c r="AG406" s="189" t="n"/>
      <c r="AH406" s="189" t="n"/>
      <c r="AI406" s="189" t="n"/>
      <c r="AJ406" s="189" t="n"/>
      <c r="AK406" s="189" t="n"/>
      <c r="AL406" s="189" t="n"/>
      <c r="AM406" s="51" t="inlineStr">
        <is>
          <t>U5X</t>
        </is>
      </c>
    </row>
    <row r="407">
      <c r="C407" s="189" t="n"/>
      <c r="D407" s="189" t="n"/>
      <c r="E407" s="189" t="n"/>
      <c r="F407" s="189" t="n"/>
      <c r="G407" s="189" t="n"/>
      <c r="H407" s="189" t="n"/>
      <c r="I407" s="189" t="n"/>
      <c r="J407" s="189" t="n"/>
      <c r="K407" s="189" t="n"/>
      <c r="L407" s="189" t="n"/>
      <c r="M407" s="189" t="n"/>
      <c r="N407" s="189" t="n"/>
      <c r="O407" s="189" t="n"/>
      <c r="P407" s="189" t="n"/>
      <c r="Q407" s="189" t="n"/>
      <c r="R407" s="189" t="n"/>
      <c r="S407" s="189" t="n"/>
      <c r="T407" s="189" t="n"/>
      <c r="U407" s="189" t="n"/>
      <c r="V407" s="189" t="n"/>
      <c r="W407" s="189" t="n"/>
      <c r="X407" s="189" t="n"/>
      <c r="Y407" s="189" t="n"/>
      <c r="Z407" s="189" t="n"/>
      <c r="AA407" s="189" t="n"/>
      <c r="AB407" s="189" t="n"/>
      <c r="AC407" s="189" t="n"/>
      <c r="AD407" s="189" t="n"/>
      <c r="AE407" s="189" t="n"/>
      <c r="AF407" s="189" t="n"/>
      <c r="AG407" s="189" t="n"/>
      <c r="AH407" s="189" t="n"/>
      <c r="AI407" s="189" t="n"/>
      <c r="AJ407" s="189" t="n"/>
      <c r="AK407" s="189" t="n"/>
      <c r="AL407" s="189" t="n"/>
      <c r="AM407" s="51" t="inlineStr">
        <is>
          <t>U5Y</t>
        </is>
      </c>
    </row>
    <row r="408">
      <c r="C408" s="189" t="n"/>
      <c r="D408" s="189" t="n"/>
      <c r="E408" s="189" t="n"/>
      <c r="F408" s="189" t="n"/>
      <c r="G408" s="189" t="n"/>
      <c r="H408" s="189" t="n"/>
      <c r="I408" s="189" t="n"/>
      <c r="J408" s="189" t="n"/>
      <c r="K408" s="189" t="n"/>
      <c r="L408" s="189" t="n"/>
      <c r="M408" s="189" t="n"/>
      <c r="N408" s="189" t="n"/>
      <c r="O408" s="189" t="n"/>
      <c r="P408" s="189" t="n"/>
      <c r="Q408" s="189" t="n"/>
      <c r="R408" s="189" t="n"/>
      <c r="S408" s="189" t="n"/>
      <c r="T408" s="189" t="n"/>
      <c r="U408" s="189" t="n"/>
      <c r="V408" s="189" t="n"/>
      <c r="W408" s="189" t="n"/>
      <c r="X408" s="189" t="n"/>
      <c r="Y408" s="189" t="n"/>
      <c r="Z408" s="189" t="n"/>
      <c r="AA408" s="189" t="n"/>
      <c r="AB408" s="189" t="n"/>
      <c r="AC408" s="189" t="n"/>
      <c r="AD408" s="189" t="n"/>
      <c r="AE408" s="189" t="n"/>
      <c r="AF408" s="189" t="n"/>
      <c r="AG408" s="189" t="n"/>
      <c r="AH408" s="189" t="n"/>
      <c r="AI408" s="189" t="n"/>
      <c r="AJ408" s="189" t="n"/>
      <c r="AK408" s="189" t="n"/>
      <c r="AL408" s="189" t="n"/>
      <c r="AM408" s="51" t="inlineStr">
        <is>
          <t>U5θ</t>
        </is>
      </c>
    </row>
    <row r="409">
      <c r="C409" s="189" t="n"/>
      <c r="D409" s="189" t="n"/>
      <c r="E409" s="189" t="n"/>
      <c r="F409" s="189" t="n"/>
      <c r="G409" s="189" t="n"/>
      <c r="H409" s="189" t="n"/>
      <c r="I409" s="189" t="n"/>
      <c r="J409" s="189" t="n"/>
      <c r="K409" s="189" t="n"/>
      <c r="L409" s="189" t="n"/>
      <c r="M409" s="189" t="n"/>
      <c r="N409" s="189" t="n"/>
      <c r="O409" s="189" t="n"/>
      <c r="P409" s="189" t="n"/>
      <c r="Q409" s="189" t="n"/>
      <c r="R409" s="189" t="n"/>
      <c r="S409" s="189" t="n"/>
      <c r="T409" s="189" t="n"/>
      <c r="U409" s="189" t="n"/>
      <c r="V409" s="189" t="n"/>
      <c r="W409" s="189" t="n"/>
      <c r="X409" s="189" t="n"/>
      <c r="Y409" s="189" t="n"/>
      <c r="Z409" s="189" t="n"/>
      <c r="AA409" s="189" t="n"/>
      <c r="AB409" s="189" t="n"/>
      <c r="AC409" s="189" t="n"/>
      <c r="AD409" s="189" t="n"/>
      <c r="AE409" s="189" t="n"/>
      <c r="AF409" s="189" t="n"/>
      <c r="AG409" s="189" t="n"/>
      <c r="AH409" s="189" t="n"/>
      <c r="AI409" s="189" t="n"/>
      <c r="AJ409" s="189" t="n"/>
      <c r="AK409" s="189" t="n"/>
      <c r="AL409" s="189" t="n"/>
      <c r="AM409" s="51" t="inlineStr">
        <is>
          <t>U6X</t>
        </is>
      </c>
    </row>
    <row r="410">
      <c r="C410" s="189" t="n"/>
      <c r="D410" s="189" t="n"/>
      <c r="E410" s="189" t="n"/>
      <c r="F410" s="189" t="n"/>
      <c r="G410" s="189" t="n"/>
      <c r="H410" s="189" t="n"/>
      <c r="I410" s="189" t="n"/>
      <c r="J410" s="189" t="n"/>
      <c r="K410" s="189" t="n"/>
      <c r="L410" s="189" t="n"/>
      <c r="M410" s="189" t="n"/>
      <c r="N410" s="189" t="n"/>
      <c r="O410" s="189" t="n"/>
      <c r="P410" s="189" t="n"/>
      <c r="Q410" s="189" t="n"/>
      <c r="R410" s="189" t="n"/>
      <c r="S410" s="189" t="n"/>
      <c r="T410" s="189" t="n"/>
      <c r="U410" s="189" t="n"/>
      <c r="V410" s="189" t="n"/>
      <c r="W410" s="189" t="n"/>
      <c r="X410" s="189" t="n"/>
      <c r="Y410" s="189" t="n"/>
      <c r="Z410" s="189" t="n"/>
      <c r="AA410" s="189" t="n"/>
      <c r="AB410" s="189" t="n"/>
      <c r="AC410" s="189" t="n"/>
      <c r="AD410" s="189" t="n"/>
      <c r="AE410" s="189" t="n"/>
      <c r="AF410" s="189" t="n"/>
      <c r="AG410" s="189" t="n"/>
      <c r="AH410" s="189" t="n"/>
      <c r="AI410" s="189" t="n"/>
      <c r="AJ410" s="189" t="n"/>
      <c r="AK410" s="189" t="n"/>
      <c r="AL410" s="189" t="n"/>
      <c r="AM410" s="51" t="inlineStr">
        <is>
          <t>U6Y</t>
        </is>
      </c>
    </row>
    <row r="411">
      <c r="B411" s="118" t="inlineStr">
        <is>
          <t>K8 =</t>
        </is>
      </c>
      <c r="C411" s="189" t="n"/>
      <c r="D411" s="189" t="n"/>
      <c r="E411" s="189" t="n"/>
      <c r="F411" s="189" t="n"/>
      <c r="G411" s="189" t="n"/>
      <c r="H411" s="189" t="n"/>
      <c r="I411" s="189" t="n"/>
      <c r="J411" s="189" t="n"/>
      <c r="K411" s="189" t="n"/>
      <c r="L411" s="189" t="n"/>
      <c r="M411" s="189" t="n"/>
      <c r="N411" s="189" t="n"/>
      <c r="O411" s="189" t="n"/>
      <c r="P411" s="189" t="n"/>
      <c r="Q411" s="189" t="n"/>
      <c r="R411" s="189" t="n"/>
      <c r="S411" s="189" t="n"/>
      <c r="T411" s="189" t="n"/>
      <c r="U411" s="189" t="n"/>
      <c r="V411" s="189" t="n"/>
      <c r="W411" s="189" t="n"/>
      <c r="X411" s="189" t="n"/>
      <c r="Y411" s="189" t="n"/>
      <c r="Z411" s="189" t="n"/>
      <c r="AA411" s="189" t="n"/>
      <c r="AB411" s="189" t="n"/>
      <c r="AC411" s="189" t="n"/>
      <c r="AD411" s="189" t="n"/>
      <c r="AE411" s="189" t="n"/>
      <c r="AF411" s="189" t="n"/>
      <c r="AG411" s="189" t="n"/>
      <c r="AH411" s="189" t="n"/>
      <c r="AI411" s="189" t="n"/>
      <c r="AJ411" s="189" t="n"/>
      <c r="AK411" s="189" t="n"/>
      <c r="AL411" s="189" t="n"/>
      <c r="AM411" s="51" t="inlineStr">
        <is>
          <t>U6θ</t>
        </is>
      </c>
    </row>
    <row r="412">
      <c r="C412" s="189" t="n"/>
      <c r="D412" s="189" t="n"/>
      <c r="E412" s="189" t="n"/>
      <c r="F412" s="189" t="n"/>
      <c r="G412" s="189" t="n"/>
      <c r="H412" s="189" t="n"/>
      <c r="I412" s="189" t="n"/>
      <c r="J412" s="189" t="n"/>
      <c r="K412" s="189" t="n"/>
      <c r="L412" s="189" t="n"/>
      <c r="M412" s="189" t="n"/>
      <c r="N412" s="189" t="n"/>
      <c r="O412" s="189" t="n"/>
      <c r="P412" s="189" t="n"/>
      <c r="Q412" s="189" t="n"/>
      <c r="R412" s="189" t="n"/>
      <c r="S412" s="189" t="n"/>
      <c r="T412" s="189" t="n"/>
      <c r="U412" s="189" t="n"/>
      <c r="V412" s="189" t="n"/>
      <c r="W412" s="189" t="n"/>
      <c r="X412" s="189" t="n"/>
      <c r="Y412" s="189" t="n"/>
      <c r="Z412" s="189" t="n"/>
      <c r="AA412" s="189" t="n"/>
      <c r="AB412" s="189" t="n"/>
      <c r="AC412" s="189" t="n"/>
      <c r="AD412" s="189" t="n"/>
      <c r="AE412" s="189" t="n"/>
      <c r="AF412" s="189" t="n"/>
      <c r="AG412" s="189" t="n"/>
      <c r="AH412" s="189" t="n"/>
      <c r="AI412" s="189" t="n"/>
      <c r="AJ412" s="189" t="n"/>
      <c r="AK412" s="189" t="n"/>
      <c r="AL412" s="189" t="n"/>
      <c r="AM412" s="51" t="inlineStr">
        <is>
          <t>U7X</t>
        </is>
      </c>
    </row>
    <row r="413">
      <c r="C413" s="189" t="n"/>
      <c r="D413" s="189" t="n"/>
      <c r="E413" s="189" t="n"/>
      <c r="F413" s="189" t="n"/>
      <c r="G413" s="189" t="n"/>
      <c r="H413" s="189" t="n"/>
      <c r="I413" s="189" t="n"/>
      <c r="J413" s="189" t="n"/>
      <c r="K413" s="189" t="n"/>
      <c r="L413" s="189" t="n"/>
      <c r="M413" s="189" t="n"/>
      <c r="N413" s="189" t="n"/>
      <c r="O413" s="189" t="n"/>
      <c r="P413" s="189" t="n"/>
      <c r="Q413" s="189" t="n"/>
      <c r="R413" s="189" t="n"/>
      <c r="S413" s="189" t="n"/>
      <c r="T413" s="189" t="n"/>
      <c r="U413" s="189" t="n"/>
      <c r="V413" s="189" t="n"/>
      <c r="W413" s="189" t="n"/>
      <c r="X413" s="189" t="n"/>
      <c r="Y413" s="189" t="n"/>
      <c r="Z413" s="189" t="n"/>
      <c r="AA413" s="189" t="n"/>
      <c r="AB413" s="189" t="n"/>
      <c r="AC413" s="189" t="n"/>
      <c r="AD413" s="189" t="n"/>
      <c r="AE413" s="189" t="n"/>
      <c r="AF413" s="189" t="n"/>
      <c r="AG413" s="189" t="n"/>
      <c r="AH413" s="189" t="n"/>
      <c r="AI413" s="189" t="n"/>
      <c r="AJ413" s="189" t="n"/>
      <c r="AK413" s="189" t="n"/>
      <c r="AL413" s="189" t="n"/>
      <c r="AM413" s="51" t="inlineStr">
        <is>
          <t>U7Y</t>
        </is>
      </c>
    </row>
    <row r="414">
      <c r="C414" s="189" t="n"/>
      <c r="D414" s="189" t="n"/>
      <c r="E414" s="189" t="n"/>
      <c r="F414" s="189" t="n"/>
      <c r="G414" s="189" t="n"/>
      <c r="H414" s="189" t="n"/>
      <c r="I414" s="189" t="n"/>
      <c r="J414" s="189" t="n"/>
      <c r="K414" s="189" t="n"/>
      <c r="L414" s="189" t="n"/>
      <c r="M414" s="189" t="n"/>
      <c r="N414" s="189" t="n"/>
      <c r="O414" s="189" t="n"/>
      <c r="P414" s="189" t="n"/>
      <c r="Q414" s="189" t="n"/>
      <c r="R414" s="189" t="n"/>
      <c r="S414" s="189" t="n"/>
      <c r="T414" s="189" t="n"/>
      <c r="U414" s="189" t="n"/>
      <c r="V414" s="189" t="n"/>
      <c r="W414" s="189" t="n"/>
      <c r="X414" s="189" t="n"/>
      <c r="Y414" s="189" t="n"/>
      <c r="Z414" s="189" t="n"/>
      <c r="AA414" s="189" t="n"/>
      <c r="AB414" s="189" t="n"/>
      <c r="AC414" s="189" t="n"/>
      <c r="AD414" s="189" t="n"/>
      <c r="AE414" s="189" t="n"/>
      <c r="AF414" s="189" t="n"/>
      <c r="AG414" s="189" t="n"/>
      <c r="AH414" s="189" t="n"/>
      <c r="AI414" s="189" t="n"/>
      <c r="AJ414" s="189" t="n"/>
      <c r="AK414" s="189" t="n"/>
      <c r="AL414" s="189" t="n"/>
      <c r="AM414" s="51" t="inlineStr">
        <is>
          <t>U7θ</t>
        </is>
      </c>
    </row>
    <row r="415">
      <c r="C415" s="189" t="n"/>
      <c r="D415" s="189" t="n"/>
      <c r="E415" s="189" t="n"/>
      <c r="F415" s="189" t="n"/>
      <c r="G415" s="189" t="n"/>
      <c r="H415" s="189" t="n"/>
      <c r="I415" s="189" t="n"/>
      <c r="J415" s="189" t="n"/>
      <c r="K415" s="189" t="n"/>
      <c r="L415" s="189" t="n"/>
      <c r="M415" s="189" t="n"/>
      <c r="N415" s="189" t="n"/>
      <c r="O415" s="189" t="n"/>
      <c r="P415" s="189" t="n"/>
      <c r="Q415" s="189" t="n"/>
      <c r="R415" s="189" t="n"/>
      <c r="S415" s="189" t="n"/>
      <c r="T415" s="189" t="n"/>
      <c r="U415" s="189" t="n"/>
      <c r="V415" s="189" t="n"/>
      <c r="W415" s="189" t="n"/>
      <c r="X415" s="189">
        <f>C386</f>
        <v/>
      </c>
      <c r="Y415" s="189">
        <f>D386</f>
        <v/>
      </c>
      <c r="Z415" s="189">
        <f>E386</f>
        <v/>
      </c>
      <c r="AA415" s="189">
        <f>F386</f>
        <v/>
      </c>
      <c r="AB415" s="189">
        <f>G386</f>
        <v/>
      </c>
      <c r="AC415" s="189">
        <f>H386</f>
        <v/>
      </c>
      <c r="AD415" s="189" t="n"/>
      <c r="AE415" s="189" t="n"/>
      <c r="AF415" s="189" t="n"/>
      <c r="AG415" s="189" t="n"/>
      <c r="AH415" s="189" t="n"/>
      <c r="AI415" s="189" t="n"/>
      <c r="AJ415" s="189" t="n"/>
      <c r="AK415" s="189" t="n"/>
      <c r="AL415" s="189" t="n"/>
      <c r="AM415" s="51" t="inlineStr">
        <is>
          <t>U8X</t>
        </is>
      </c>
    </row>
    <row r="416">
      <c r="C416" s="189" t="n"/>
      <c r="D416" s="189" t="n"/>
      <c r="E416" s="189" t="n"/>
      <c r="F416" s="189" t="n"/>
      <c r="G416" s="189" t="n"/>
      <c r="H416" s="189" t="n"/>
      <c r="I416" s="189" t="n"/>
      <c r="J416" s="189" t="n"/>
      <c r="K416" s="189" t="n"/>
      <c r="L416" s="189" t="n"/>
      <c r="M416" s="189" t="n"/>
      <c r="N416" s="189" t="n"/>
      <c r="O416" s="189" t="n"/>
      <c r="P416" s="189" t="n"/>
      <c r="Q416" s="189" t="n"/>
      <c r="R416" s="189" t="n"/>
      <c r="S416" s="189" t="n"/>
      <c r="T416" s="189" t="n"/>
      <c r="U416" s="189" t="n"/>
      <c r="V416" s="189" t="n"/>
      <c r="W416" s="189" t="n"/>
      <c r="X416" s="189">
        <f>C387</f>
        <v/>
      </c>
      <c r="Y416" s="189">
        <f>D387</f>
        <v/>
      </c>
      <c r="Z416" s="189">
        <f>E387</f>
        <v/>
      </c>
      <c r="AA416" s="189">
        <f>F387</f>
        <v/>
      </c>
      <c r="AB416" s="189">
        <f>G387</f>
        <v/>
      </c>
      <c r="AC416" s="189">
        <f>H387</f>
        <v/>
      </c>
      <c r="AD416" s="189" t="n"/>
      <c r="AE416" s="189" t="n"/>
      <c r="AF416" s="189" t="n"/>
      <c r="AG416" s="189" t="n"/>
      <c r="AH416" s="189" t="n"/>
      <c r="AI416" s="189" t="n"/>
      <c r="AJ416" s="189" t="n"/>
      <c r="AK416" s="189" t="n"/>
      <c r="AL416" s="189" t="n"/>
      <c r="AM416" s="51" t="inlineStr">
        <is>
          <t>U8Y</t>
        </is>
      </c>
    </row>
    <row r="417">
      <c r="C417" s="189" t="n"/>
      <c r="D417" s="189" t="n"/>
      <c r="E417" s="189" t="n"/>
      <c r="F417" s="189" t="n"/>
      <c r="G417" s="189" t="n"/>
      <c r="H417" s="189" t="n"/>
      <c r="I417" s="189" t="n"/>
      <c r="J417" s="189" t="n"/>
      <c r="K417" s="189" t="n"/>
      <c r="L417" s="189" t="n"/>
      <c r="M417" s="189" t="n"/>
      <c r="N417" s="189" t="n"/>
      <c r="O417" s="189" t="n"/>
      <c r="P417" s="189" t="n"/>
      <c r="Q417" s="189" t="n"/>
      <c r="R417" s="189" t="n"/>
      <c r="S417" s="189" t="n"/>
      <c r="T417" s="189" t="n"/>
      <c r="U417" s="189" t="n"/>
      <c r="V417" s="189" t="n"/>
      <c r="W417" s="189" t="n"/>
      <c r="X417" s="189">
        <f>C388</f>
        <v/>
      </c>
      <c r="Y417" s="189">
        <f>D388</f>
        <v/>
      </c>
      <c r="Z417" s="189">
        <f>E388</f>
        <v/>
      </c>
      <c r="AA417" s="189">
        <f>F388</f>
        <v/>
      </c>
      <c r="AB417" s="189">
        <f>G388</f>
        <v/>
      </c>
      <c r="AC417" s="189">
        <f>H388</f>
        <v/>
      </c>
      <c r="AD417" s="189" t="n"/>
      <c r="AE417" s="189" t="n"/>
      <c r="AF417" s="189" t="n"/>
      <c r="AG417" s="189" t="n"/>
      <c r="AH417" s="189" t="n"/>
      <c r="AI417" s="189" t="n"/>
      <c r="AJ417" s="189" t="n"/>
      <c r="AK417" s="189" t="n"/>
      <c r="AL417" s="189" t="n"/>
      <c r="AM417" s="51" t="inlineStr">
        <is>
          <t>U8θ</t>
        </is>
      </c>
    </row>
    <row r="418">
      <c r="C418" s="189" t="n"/>
      <c r="D418" s="189" t="n"/>
      <c r="E418" s="189" t="n"/>
      <c r="F418" s="189" t="n"/>
      <c r="G418" s="189" t="n"/>
      <c r="H418" s="189" t="n"/>
      <c r="I418" s="189" t="n"/>
      <c r="J418" s="189" t="n"/>
      <c r="K418" s="189" t="n"/>
      <c r="L418" s="189" t="n"/>
      <c r="M418" s="189" t="n"/>
      <c r="N418" s="189" t="n"/>
      <c r="O418" s="189" t="n"/>
      <c r="P418" s="189" t="n"/>
      <c r="Q418" s="189" t="n"/>
      <c r="R418" s="189" t="n"/>
      <c r="S418" s="189" t="n"/>
      <c r="T418" s="189" t="n"/>
      <c r="U418" s="189" t="n"/>
      <c r="V418" s="189" t="n"/>
      <c r="W418" s="189" t="n"/>
      <c r="X418" s="189">
        <f>C389</f>
        <v/>
      </c>
      <c r="Y418" s="189">
        <f>D389</f>
        <v/>
      </c>
      <c r="Z418" s="189">
        <f>E389</f>
        <v/>
      </c>
      <c r="AA418" s="189">
        <f>F389</f>
        <v/>
      </c>
      <c r="AB418" s="189">
        <f>G389</f>
        <v/>
      </c>
      <c r="AC418" s="189">
        <f>H389</f>
        <v/>
      </c>
      <c r="AD418" s="189" t="n"/>
      <c r="AE418" s="189" t="n"/>
      <c r="AF418" s="189" t="n"/>
      <c r="AG418" s="189" t="n"/>
      <c r="AH418" s="189" t="n"/>
      <c r="AI418" s="189" t="n"/>
      <c r="AJ418" s="189" t="n"/>
      <c r="AK418" s="189" t="n"/>
      <c r="AL418" s="189" t="n"/>
      <c r="AM418" s="51" t="inlineStr">
        <is>
          <t>U9X</t>
        </is>
      </c>
    </row>
    <row r="419">
      <c r="C419" s="189" t="n"/>
      <c r="D419" s="189" t="n"/>
      <c r="E419" s="189" t="n"/>
      <c r="F419" s="189" t="n"/>
      <c r="G419" s="189" t="n"/>
      <c r="H419" s="189" t="n"/>
      <c r="I419" s="189" t="n"/>
      <c r="J419" s="189" t="n"/>
      <c r="K419" s="189" t="n"/>
      <c r="L419" s="189" t="n"/>
      <c r="M419" s="189" t="n"/>
      <c r="N419" s="189" t="n"/>
      <c r="O419" s="189" t="n"/>
      <c r="P419" s="189" t="n"/>
      <c r="Q419" s="189" t="n"/>
      <c r="R419" s="189" t="n"/>
      <c r="S419" s="189" t="n"/>
      <c r="T419" s="189" t="n"/>
      <c r="U419" s="189" t="n"/>
      <c r="V419" s="189" t="n"/>
      <c r="W419" s="189" t="n"/>
      <c r="X419" s="189">
        <f>C390</f>
        <v/>
      </c>
      <c r="Y419" s="189">
        <f>D390</f>
        <v/>
      </c>
      <c r="Z419" s="189">
        <f>E390</f>
        <v/>
      </c>
      <c r="AA419" s="189">
        <f>F390</f>
        <v/>
      </c>
      <c r="AB419" s="189">
        <f>G390</f>
        <v/>
      </c>
      <c r="AC419" s="189">
        <f>H390</f>
        <v/>
      </c>
      <c r="AD419" s="189" t="n"/>
      <c r="AE419" s="189" t="n"/>
      <c r="AF419" s="189" t="n"/>
      <c r="AG419" s="189" t="n"/>
      <c r="AH419" s="189" t="n"/>
      <c r="AI419" s="189" t="n"/>
      <c r="AJ419" s="189" t="n"/>
      <c r="AK419" s="189" t="n"/>
      <c r="AL419" s="189" t="n"/>
      <c r="AM419" s="51" t="inlineStr">
        <is>
          <t>U9Y</t>
        </is>
      </c>
    </row>
    <row r="420">
      <c r="C420" s="189" t="n"/>
      <c r="D420" s="189" t="n"/>
      <c r="E420" s="189" t="n"/>
      <c r="F420" s="189" t="n"/>
      <c r="G420" s="189" t="n"/>
      <c r="H420" s="189" t="n"/>
      <c r="I420" s="189" t="n"/>
      <c r="J420" s="189" t="n"/>
      <c r="K420" s="189" t="n"/>
      <c r="L420" s="189" t="n"/>
      <c r="M420" s="189" t="n"/>
      <c r="N420" s="189" t="n"/>
      <c r="O420" s="189" t="n"/>
      <c r="P420" s="189" t="n"/>
      <c r="Q420" s="189" t="n"/>
      <c r="R420" s="189" t="n"/>
      <c r="S420" s="189" t="n"/>
      <c r="T420" s="189" t="n"/>
      <c r="U420" s="189" t="n"/>
      <c r="V420" s="189" t="n"/>
      <c r="W420" s="189" t="n"/>
      <c r="X420" s="189">
        <f>C391</f>
        <v/>
      </c>
      <c r="Y420" s="189">
        <f>D391</f>
        <v/>
      </c>
      <c r="Z420" s="189">
        <f>E391</f>
        <v/>
      </c>
      <c r="AA420" s="189">
        <f>F391</f>
        <v/>
      </c>
      <c r="AB420" s="189">
        <f>G391</f>
        <v/>
      </c>
      <c r="AC420" s="189">
        <f>H391</f>
        <v/>
      </c>
      <c r="AD420" s="189" t="n"/>
      <c r="AE420" s="189" t="n"/>
      <c r="AF420" s="189" t="n"/>
      <c r="AG420" s="189" t="n"/>
      <c r="AH420" s="189" t="n"/>
      <c r="AI420" s="189" t="n"/>
      <c r="AJ420" s="189" t="n"/>
      <c r="AK420" s="189" t="n"/>
      <c r="AL420" s="189" t="n"/>
      <c r="AM420" s="51" t="inlineStr">
        <is>
          <t>U9θ</t>
        </is>
      </c>
    </row>
    <row r="421">
      <c r="C421" s="189" t="n"/>
      <c r="D421" s="189" t="n"/>
      <c r="E421" s="189" t="n"/>
      <c r="F421" s="189" t="n"/>
      <c r="G421" s="189" t="n"/>
      <c r="H421" s="189" t="n"/>
      <c r="I421" s="189" t="n"/>
      <c r="J421" s="189" t="n"/>
      <c r="K421" s="189" t="n"/>
      <c r="L421" s="189" t="n"/>
      <c r="M421" s="189" t="n"/>
      <c r="N421" s="189" t="n"/>
      <c r="O421" s="189" t="n"/>
      <c r="P421" s="189" t="n"/>
      <c r="Q421" s="189" t="n"/>
      <c r="R421" s="189" t="n"/>
      <c r="S421" s="189" t="n"/>
      <c r="T421" s="189" t="n"/>
      <c r="U421" s="189" t="n"/>
      <c r="V421" s="189" t="n"/>
      <c r="W421" s="189" t="n"/>
      <c r="X421" s="189" t="n"/>
      <c r="Y421" s="189" t="n"/>
      <c r="Z421" s="189" t="n"/>
      <c r="AA421" s="189" t="n"/>
      <c r="AB421" s="189" t="n"/>
      <c r="AC421" s="189" t="n"/>
      <c r="AD421" s="189" t="n"/>
      <c r="AE421" s="189" t="n"/>
      <c r="AF421" s="189" t="n"/>
      <c r="AG421" s="189" t="n"/>
      <c r="AH421" s="189" t="n"/>
      <c r="AI421" s="189" t="n"/>
      <c r="AJ421" s="189" t="n"/>
      <c r="AK421" s="189" t="n"/>
      <c r="AL421" s="189" t="n"/>
      <c r="AM421" s="51" t="inlineStr">
        <is>
          <t>U10X</t>
        </is>
      </c>
    </row>
    <row r="422">
      <c r="C422" s="189" t="n"/>
      <c r="D422" s="189" t="n"/>
      <c r="E422" s="189" t="n"/>
      <c r="F422" s="189" t="n"/>
      <c r="G422" s="189" t="n"/>
      <c r="H422" s="189" t="n"/>
      <c r="I422" s="189" t="n"/>
      <c r="J422" s="189" t="n"/>
      <c r="K422" s="189" t="n"/>
      <c r="L422" s="189" t="n"/>
      <c r="M422" s="189" t="n"/>
      <c r="N422" s="189" t="n"/>
      <c r="O422" s="189" t="n"/>
      <c r="P422" s="189" t="n"/>
      <c r="Q422" s="189" t="n"/>
      <c r="R422" s="189" t="n"/>
      <c r="S422" s="189" t="n"/>
      <c r="T422" s="189" t="n"/>
      <c r="U422" s="189" t="n"/>
      <c r="V422" s="189" t="n"/>
      <c r="W422" s="189" t="n"/>
      <c r="X422" s="189" t="n"/>
      <c r="Y422" s="189" t="n"/>
      <c r="Z422" s="189" t="n"/>
      <c r="AA422" s="189" t="n"/>
      <c r="AB422" s="189" t="n"/>
      <c r="AC422" s="189" t="n"/>
      <c r="AD422" s="189" t="n"/>
      <c r="AE422" s="189" t="n"/>
      <c r="AF422" s="189" t="n"/>
      <c r="AG422" s="189" t="n"/>
      <c r="AH422" s="189" t="n"/>
      <c r="AI422" s="189" t="n"/>
      <c r="AJ422" s="189" t="n"/>
      <c r="AK422" s="189" t="n"/>
      <c r="AL422" s="189" t="n"/>
      <c r="AM422" s="51" t="inlineStr">
        <is>
          <t>U10Y</t>
        </is>
      </c>
    </row>
    <row r="423">
      <c r="C423" s="189" t="n"/>
      <c r="D423" s="189" t="n"/>
      <c r="E423" s="189" t="n"/>
      <c r="F423" s="189" t="n"/>
      <c r="G423" s="189" t="n"/>
      <c r="H423" s="189" t="n"/>
      <c r="I423" s="189" t="n"/>
      <c r="J423" s="189" t="n"/>
      <c r="K423" s="189" t="n"/>
      <c r="L423" s="189" t="n"/>
      <c r="M423" s="189" t="n"/>
      <c r="N423" s="189" t="n"/>
      <c r="O423" s="189" t="n"/>
      <c r="P423" s="189" t="n"/>
      <c r="Q423" s="189" t="n"/>
      <c r="R423" s="189" t="n"/>
      <c r="S423" s="189" t="n"/>
      <c r="T423" s="189" t="n"/>
      <c r="U423" s="189" t="n"/>
      <c r="V423" s="189" t="n"/>
      <c r="W423" s="189" t="n"/>
      <c r="X423" s="189" t="n"/>
      <c r="Y423" s="189" t="n"/>
      <c r="Z423" s="189" t="n"/>
      <c r="AA423" s="189" t="n"/>
      <c r="AB423" s="189" t="n"/>
      <c r="AC423" s="189" t="n"/>
      <c r="AD423" s="189" t="n"/>
      <c r="AE423" s="189" t="n"/>
      <c r="AF423" s="189" t="n"/>
      <c r="AG423" s="189" t="n"/>
      <c r="AH423" s="189" t="n"/>
      <c r="AI423" s="189" t="n"/>
      <c r="AJ423" s="189" t="n"/>
      <c r="AK423" s="189" t="n"/>
      <c r="AL423" s="189" t="n"/>
      <c r="AM423" s="51" t="inlineStr">
        <is>
          <t>U10θ</t>
        </is>
      </c>
    </row>
    <row r="424">
      <c r="C424" s="189" t="n"/>
      <c r="D424" s="189" t="n"/>
      <c r="E424" s="189" t="n"/>
      <c r="F424" s="189" t="n"/>
      <c r="G424" s="189" t="n"/>
      <c r="H424" s="189" t="n"/>
      <c r="I424" s="189" t="n"/>
      <c r="J424" s="189" t="n"/>
      <c r="K424" s="189" t="n"/>
      <c r="L424" s="189" t="n"/>
      <c r="M424" s="189" t="n"/>
      <c r="N424" s="189" t="n"/>
      <c r="O424" s="189" t="n"/>
      <c r="P424" s="189" t="n"/>
      <c r="Q424" s="189" t="n"/>
      <c r="R424" s="189" t="n"/>
      <c r="S424" s="189" t="n"/>
      <c r="T424" s="189" t="n"/>
      <c r="U424" s="189" t="n"/>
      <c r="V424" s="189" t="n"/>
      <c r="W424" s="189" t="n"/>
      <c r="X424" s="189" t="n"/>
      <c r="Y424" s="189" t="n"/>
      <c r="Z424" s="189" t="n"/>
      <c r="AA424" s="189" t="n"/>
      <c r="AB424" s="189" t="n"/>
      <c r="AC424" s="189" t="n"/>
      <c r="AD424" s="189" t="n"/>
      <c r="AE424" s="189" t="n"/>
      <c r="AF424" s="189" t="n"/>
      <c r="AG424" s="189" t="n"/>
      <c r="AH424" s="189" t="n"/>
      <c r="AI424" s="189" t="n"/>
      <c r="AJ424" s="189" t="n"/>
      <c r="AK424" s="189" t="n"/>
      <c r="AL424" s="189" t="n"/>
      <c r="AM424" s="51" t="inlineStr">
        <is>
          <t>U11X</t>
        </is>
      </c>
    </row>
    <row r="425">
      <c r="C425" s="189" t="n"/>
      <c r="D425" s="189" t="n"/>
      <c r="E425" s="189" t="n"/>
      <c r="F425" s="189" t="n"/>
      <c r="G425" s="189" t="n"/>
      <c r="H425" s="189" t="n"/>
      <c r="I425" s="189" t="n"/>
      <c r="J425" s="189" t="n"/>
      <c r="K425" s="189" t="n"/>
      <c r="L425" s="189" t="n"/>
      <c r="M425" s="189" t="n"/>
      <c r="N425" s="189" t="n"/>
      <c r="O425" s="189" t="n"/>
      <c r="P425" s="189" t="n"/>
      <c r="Q425" s="189" t="n"/>
      <c r="R425" s="189" t="n"/>
      <c r="S425" s="189" t="n"/>
      <c r="T425" s="189" t="n"/>
      <c r="U425" s="189" t="n"/>
      <c r="V425" s="189" t="n"/>
      <c r="W425" s="189" t="n"/>
      <c r="X425" s="189" t="n"/>
      <c r="Y425" s="189" t="n"/>
      <c r="Z425" s="189" t="n"/>
      <c r="AA425" s="189" t="n"/>
      <c r="AB425" s="189" t="n"/>
      <c r="AC425" s="189" t="n"/>
      <c r="AD425" s="189" t="n"/>
      <c r="AE425" s="189" t="n"/>
      <c r="AF425" s="189" t="n"/>
      <c r="AG425" s="189" t="n"/>
      <c r="AH425" s="189" t="n"/>
      <c r="AI425" s="189" t="n"/>
      <c r="AJ425" s="189" t="n"/>
      <c r="AK425" s="189" t="n"/>
      <c r="AL425" s="189" t="n"/>
      <c r="AM425" s="51" t="inlineStr">
        <is>
          <t>U11Y</t>
        </is>
      </c>
    </row>
    <row r="426">
      <c r="C426" s="189" t="n"/>
      <c r="D426" s="189" t="n"/>
      <c r="E426" s="189" t="n"/>
      <c r="F426" s="189" t="n"/>
      <c r="G426" s="189" t="n"/>
      <c r="H426" s="189" t="n"/>
      <c r="I426" s="189" t="n"/>
      <c r="J426" s="189" t="n"/>
      <c r="K426" s="189" t="n"/>
      <c r="L426" s="189" t="n"/>
      <c r="M426" s="189" t="n"/>
      <c r="N426" s="189" t="n"/>
      <c r="O426" s="189" t="n"/>
      <c r="P426" s="189" t="n"/>
      <c r="Q426" s="189" t="n"/>
      <c r="R426" s="189" t="n"/>
      <c r="S426" s="189" t="n"/>
      <c r="T426" s="189" t="n"/>
      <c r="U426" s="189" t="n"/>
      <c r="V426" s="189" t="n"/>
      <c r="W426" s="189" t="n"/>
      <c r="X426" s="189" t="n"/>
      <c r="Y426" s="189" t="n"/>
      <c r="Z426" s="189" t="n"/>
      <c r="AA426" s="189" t="n"/>
      <c r="AB426" s="189" t="n"/>
      <c r="AC426" s="189" t="n"/>
      <c r="AD426" s="189" t="n"/>
      <c r="AE426" s="189" t="n"/>
      <c r="AF426" s="189" t="n"/>
      <c r="AG426" s="189" t="n"/>
      <c r="AH426" s="189" t="n"/>
      <c r="AI426" s="189" t="n"/>
      <c r="AJ426" s="189" t="n"/>
      <c r="AK426" s="189" t="n"/>
      <c r="AL426" s="189" t="n"/>
      <c r="AM426" s="51" t="inlineStr">
        <is>
          <t>U11θ</t>
        </is>
      </c>
    </row>
    <row r="427">
      <c r="C427" s="189" t="n"/>
      <c r="D427" s="189" t="n"/>
      <c r="E427" s="189" t="n"/>
      <c r="F427" s="189" t="n"/>
      <c r="G427" s="189" t="n"/>
      <c r="H427" s="189" t="n"/>
      <c r="I427" s="189" t="n"/>
      <c r="J427" s="189" t="n"/>
      <c r="K427" s="189" t="n"/>
      <c r="L427" s="189" t="n"/>
      <c r="M427" s="189" t="n"/>
      <c r="N427" s="189" t="n"/>
      <c r="O427" s="189" t="n"/>
      <c r="P427" s="189" t="n"/>
      <c r="Q427" s="189" t="n"/>
      <c r="R427" s="189" t="n"/>
      <c r="S427" s="189" t="n"/>
      <c r="T427" s="189" t="n"/>
      <c r="U427" s="189" t="n"/>
      <c r="V427" s="189" t="n"/>
      <c r="W427" s="189" t="n"/>
      <c r="X427" s="189" t="n"/>
      <c r="Y427" s="189" t="n"/>
      <c r="Z427" s="189" t="n"/>
      <c r="AA427" s="189" t="n"/>
      <c r="AB427" s="189" t="n"/>
      <c r="AC427" s="189" t="n"/>
      <c r="AD427" s="189" t="n"/>
      <c r="AE427" s="189" t="n"/>
      <c r="AF427" s="189" t="n"/>
      <c r="AG427" s="189" t="n"/>
      <c r="AH427" s="189" t="n"/>
      <c r="AI427" s="189" t="n"/>
      <c r="AJ427" s="189" t="n"/>
      <c r="AK427" s="189" t="n"/>
      <c r="AL427" s="189" t="n"/>
      <c r="AM427" s="51" t="inlineStr">
        <is>
          <t>U12X</t>
        </is>
      </c>
    </row>
    <row r="428">
      <c r="C428" s="189" t="n"/>
      <c r="D428" s="189" t="n"/>
      <c r="E428" s="189" t="n"/>
      <c r="F428" s="189" t="n"/>
      <c r="G428" s="189" t="n"/>
      <c r="H428" s="189" t="n"/>
      <c r="I428" s="189" t="n"/>
      <c r="J428" s="189" t="n"/>
      <c r="K428" s="189" t="n"/>
      <c r="L428" s="189" t="n"/>
      <c r="M428" s="189" t="n"/>
      <c r="N428" s="189" t="n"/>
      <c r="O428" s="189" t="n"/>
      <c r="P428" s="189" t="n"/>
      <c r="Q428" s="189" t="n"/>
      <c r="R428" s="189" t="n"/>
      <c r="S428" s="189" t="n"/>
      <c r="T428" s="189" t="n"/>
      <c r="U428" s="189" t="n"/>
      <c r="V428" s="189" t="n"/>
      <c r="W428" s="189" t="n"/>
      <c r="X428" s="189" t="n"/>
      <c r="Y428" s="189" t="n"/>
      <c r="Z428" s="189" t="n"/>
      <c r="AA428" s="189" t="n"/>
      <c r="AB428" s="189" t="n"/>
      <c r="AC428" s="189" t="n"/>
      <c r="AD428" s="189" t="n"/>
      <c r="AE428" s="189" t="n"/>
      <c r="AF428" s="189" t="n"/>
      <c r="AG428" s="189" t="n"/>
      <c r="AH428" s="189" t="n"/>
      <c r="AI428" s="189" t="n"/>
      <c r="AJ428" s="189" t="n"/>
      <c r="AK428" s="189" t="n"/>
      <c r="AL428" s="189" t="n"/>
      <c r="AM428" s="51" t="inlineStr">
        <is>
          <t>U12Y</t>
        </is>
      </c>
    </row>
    <row r="429">
      <c r="C429" s="189" t="n"/>
      <c r="D429" s="189" t="n"/>
      <c r="E429" s="189" t="n"/>
      <c r="F429" s="189" t="n"/>
      <c r="G429" s="189" t="n"/>
      <c r="H429" s="189" t="n"/>
      <c r="I429" s="189" t="n"/>
      <c r="J429" s="189" t="n"/>
      <c r="K429" s="189" t="n"/>
      <c r="L429" s="189" t="n"/>
      <c r="M429" s="189" t="n"/>
      <c r="N429" s="189" t="n"/>
      <c r="O429" s="189" t="n"/>
      <c r="P429" s="189" t="n"/>
      <c r="Q429" s="189" t="n"/>
      <c r="R429" s="189" t="n"/>
      <c r="S429" s="189" t="n"/>
      <c r="T429" s="189" t="n"/>
      <c r="U429" s="189" t="n"/>
      <c r="V429" s="189" t="n"/>
      <c r="W429" s="189" t="n"/>
      <c r="X429" s="189" t="n"/>
      <c r="Y429" s="189" t="n"/>
      <c r="Z429" s="189" t="n"/>
      <c r="AA429" s="189" t="n"/>
      <c r="AB429" s="189" t="n"/>
      <c r="AC429" s="189" t="n"/>
      <c r="AD429" s="189" t="n"/>
      <c r="AE429" s="189" t="n"/>
      <c r="AF429" s="189" t="n"/>
      <c r="AG429" s="189" t="n"/>
      <c r="AH429" s="189" t="n"/>
      <c r="AI429" s="189" t="n"/>
      <c r="AJ429" s="189" t="n"/>
      <c r="AK429" s="189" t="n"/>
      <c r="AL429" s="189" t="n"/>
      <c r="AM429" s="51" t="inlineStr">
        <is>
          <t>U12θ</t>
        </is>
      </c>
    </row>
    <row r="432">
      <c r="C432" s="51">
        <f>IF(C36="","", CONCATENATE("U",C36,C$27))</f>
        <v/>
      </c>
      <c r="D432" s="51">
        <f>IF(D36="","", CONCATENATE("U",D36,D$27))</f>
        <v/>
      </c>
      <c r="E432" s="51">
        <f>IF(E36="","", CONCATENATE("U",E36,E$27))</f>
        <v/>
      </c>
      <c r="F432" s="51">
        <f>IF(F36="","", CONCATENATE("U",F36,F$27))</f>
        <v/>
      </c>
      <c r="G432" s="51">
        <f>IF(G36="","", CONCATENATE("U",G36,G$27))</f>
        <v/>
      </c>
      <c r="H432" s="51">
        <f>IF(H36="","", CONCATENATE("U",H36,H$27))</f>
        <v/>
      </c>
    </row>
    <row r="433">
      <c r="C433" s="8">
        <f>IF(I22="", 0, (S22*(J22^2))+(O22*(K22^2)))</f>
        <v/>
      </c>
      <c r="D433" s="189">
        <f>IF(I22="", 0, (S22-O22)*J22*K22)</f>
        <v/>
      </c>
      <c r="E433" s="189">
        <f>IF(I22="", 0, -P22*K22)</f>
        <v/>
      </c>
      <c r="F433" s="189">
        <f>-1*C433</f>
        <v/>
      </c>
      <c r="G433" s="189">
        <f>-1*D433</f>
        <v/>
      </c>
      <c r="H433" s="189">
        <f>E433</f>
        <v/>
      </c>
      <c r="I433" s="51">
        <f>C432</f>
        <v/>
      </c>
    </row>
    <row r="434">
      <c r="C434" s="189">
        <f>D433</f>
        <v/>
      </c>
      <c r="D434" s="8">
        <f>IF(I22="", 0, (S22*(K22^2))+(O22*(J22^2)))</f>
        <v/>
      </c>
      <c r="E434" s="189">
        <f>IF(I22="", 0, P22*J22)</f>
        <v/>
      </c>
      <c r="F434" s="189">
        <f>-1*D433</f>
        <v/>
      </c>
      <c r="G434" s="189">
        <f>-1*D434</f>
        <v/>
      </c>
      <c r="H434" s="189">
        <f>E434</f>
        <v/>
      </c>
      <c r="I434" s="51">
        <f>D432</f>
        <v/>
      </c>
    </row>
    <row r="435">
      <c r="B435" s="118" t="inlineStr">
        <is>
          <t>K9 =</t>
        </is>
      </c>
      <c r="C435" s="189">
        <f>E433</f>
        <v/>
      </c>
      <c r="D435" s="189">
        <f>E434</f>
        <v/>
      </c>
      <c r="E435" s="8">
        <f>IF(I22="", 0, Q22)</f>
        <v/>
      </c>
      <c r="F435" s="189">
        <f>-1*E433</f>
        <v/>
      </c>
      <c r="G435" s="189">
        <f>-1*E434</f>
        <v/>
      </c>
      <c r="H435" s="189">
        <f>IF(I22="", 0, R22)</f>
        <v/>
      </c>
      <c r="I435" s="51">
        <f>E432</f>
        <v/>
      </c>
    </row>
    <row r="436">
      <c r="C436" s="189">
        <f>F433</f>
        <v/>
      </c>
      <c r="D436" s="189">
        <f>F434</f>
        <v/>
      </c>
      <c r="E436" s="189">
        <f>F435</f>
        <v/>
      </c>
      <c r="F436" s="8">
        <f>C433</f>
        <v/>
      </c>
      <c r="G436" s="189">
        <f>D433</f>
        <v/>
      </c>
      <c r="H436" s="189">
        <f>-1*E433</f>
        <v/>
      </c>
      <c r="I436" s="51">
        <f>F432</f>
        <v/>
      </c>
    </row>
    <row r="437">
      <c r="C437" s="189">
        <f>G433</f>
        <v/>
      </c>
      <c r="D437" s="189">
        <f>G434</f>
        <v/>
      </c>
      <c r="E437" s="189">
        <f>G435</f>
        <v/>
      </c>
      <c r="F437" s="189">
        <f>G436</f>
        <v/>
      </c>
      <c r="G437" s="8">
        <f>D434</f>
        <v/>
      </c>
      <c r="H437" s="189">
        <f>-1*E434</f>
        <v/>
      </c>
      <c r="I437" s="51">
        <f>G432</f>
        <v/>
      </c>
    </row>
    <row r="438">
      <c r="C438" s="189">
        <f>H433</f>
        <v/>
      </c>
      <c r="D438" s="189">
        <f>H434</f>
        <v/>
      </c>
      <c r="E438" s="189">
        <f>H435</f>
        <v/>
      </c>
      <c r="F438" s="189">
        <f>H436</f>
        <v/>
      </c>
      <c r="G438" s="189">
        <f>H437</f>
        <v/>
      </c>
      <c r="H438" s="8">
        <f>E435</f>
        <v/>
      </c>
      <c r="I438" s="51">
        <f>H432</f>
        <v/>
      </c>
    </row>
    <row r="440">
      <c r="C440" s="51" t="inlineStr">
        <is>
          <t>U1X</t>
        </is>
      </c>
      <c r="D440" s="51" t="inlineStr">
        <is>
          <t>U1Y</t>
        </is>
      </c>
      <c r="E440" s="51" t="inlineStr">
        <is>
          <t>U1θ</t>
        </is>
      </c>
      <c r="F440" s="51" t="inlineStr">
        <is>
          <t>U2X</t>
        </is>
      </c>
      <c r="G440" s="51" t="inlineStr">
        <is>
          <t>U2Y</t>
        </is>
      </c>
      <c r="H440" s="51" t="inlineStr">
        <is>
          <t>U2θ</t>
        </is>
      </c>
      <c r="I440" s="51" t="inlineStr">
        <is>
          <t>U3X</t>
        </is>
      </c>
      <c r="J440" s="51" t="inlineStr">
        <is>
          <t>U3Y</t>
        </is>
      </c>
      <c r="K440" s="51" t="inlineStr">
        <is>
          <t>U3θ</t>
        </is>
      </c>
      <c r="L440" s="51" t="inlineStr">
        <is>
          <t>U4X</t>
        </is>
      </c>
      <c r="M440" s="51" t="inlineStr">
        <is>
          <t>U4Y</t>
        </is>
      </c>
      <c r="N440" s="51" t="inlineStr">
        <is>
          <t>U4θ</t>
        </is>
      </c>
      <c r="O440" s="51" t="inlineStr">
        <is>
          <t>U5X</t>
        </is>
      </c>
      <c r="P440" s="51" t="inlineStr">
        <is>
          <t>U5Y</t>
        </is>
      </c>
      <c r="Q440" s="51" t="inlineStr">
        <is>
          <t>U5θ</t>
        </is>
      </c>
      <c r="R440" s="51" t="inlineStr">
        <is>
          <t>U6X</t>
        </is>
      </c>
      <c r="S440" s="51" t="inlineStr">
        <is>
          <t>U6Y</t>
        </is>
      </c>
      <c r="T440" s="51" t="inlineStr">
        <is>
          <t>U6θ</t>
        </is>
      </c>
      <c r="U440" s="51" t="inlineStr">
        <is>
          <t>U7X</t>
        </is>
      </c>
      <c r="V440" s="51" t="inlineStr">
        <is>
          <t>U7Y</t>
        </is>
      </c>
      <c r="W440" s="51" t="inlineStr">
        <is>
          <t>U7θ</t>
        </is>
      </c>
      <c r="X440" s="51" t="inlineStr">
        <is>
          <t>U8X</t>
        </is>
      </c>
      <c r="Y440" s="51" t="inlineStr">
        <is>
          <t>U8Y</t>
        </is>
      </c>
      <c r="Z440" s="51" t="inlineStr">
        <is>
          <t>U8θ</t>
        </is>
      </c>
      <c r="AA440" s="51" t="inlineStr">
        <is>
          <t>U9X</t>
        </is>
      </c>
      <c r="AB440" s="51" t="inlineStr">
        <is>
          <t>U9Y</t>
        </is>
      </c>
      <c r="AC440" s="51" t="inlineStr">
        <is>
          <t>U9θ</t>
        </is>
      </c>
      <c r="AD440" s="51" t="inlineStr">
        <is>
          <t>U10X</t>
        </is>
      </c>
      <c r="AE440" s="51" t="inlineStr">
        <is>
          <t>U10Y</t>
        </is>
      </c>
      <c r="AF440" s="51" t="inlineStr">
        <is>
          <t>U10θ</t>
        </is>
      </c>
      <c r="AG440" s="51" t="inlineStr">
        <is>
          <t>U11X</t>
        </is>
      </c>
      <c r="AH440" s="51" t="inlineStr">
        <is>
          <t>U11Y</t>
        </is>
      </c>
      <c r="AI440" s="51" t="inlineStr">
        <is>
          <t>U11θ</t>
        </is>
      </c>
      <c r="AJ440" s="51" t="inlineStr">
        <is>
          <t>U12X</t>
        </is>
      </c>
      <c r="AK440" s="51" t="inlineStr">
        <is>
          <t>U12Y</t>
        </is>
      </c>
      <c r="AL440" s="51" t="inlineStr">
        <is>
          <t>U12θ</t>
        </is>
      </c>
    </row>
    <row r="441">
      <c r="C441" s="189" t="n"/>
      <c r="D441" s="189" t="n"/>
      <c r="E441" s="189" t="n"/>
      <c r="F441" s="189" t="n"/>
      <c r="G441" s="189" t="n"/>
      <c r="H441" s="189" t="n"/>
      <c r="I441" s="189" t="n"/>
      <c r="J441" s="189" t="n"/>
      <c r="K441" s="189" t="n"/>
      <c r="L441" s="189" t="n"/>
      <c r="M441" s="189" t="n"/>
      <c r="N441" s="189" t="n"/>
      <c r="O441" s="189" t="n"/>
      <c r="P441" s="189" t="n"/>
      <c r="Q441" s="189" t="n"/>
      <c r="R441" s="189" t="n"/>
      <c r="S441" s="189" t="n"/>
      <c r="T441" s="189" t="n"/>
      <c r="U441" s="189" t="n"/>
      <c r="V441" s="189" t="n"/>
      <c r="W441" s="189" t="n"/>
      <c r="X441" s="189" t="n"/>
      <c r="Y441" s="189" t="n"/>
      <c r="Z441" s="189" t="n"/>
      <c r="AA441" s="189" t="n"/>
      <c r="AB441" s="189" t="n"/>
      <c r="AC441" s="189" t="n"/>
      <c r="AD441" s="189" t="n"/>
      <c r="AE441" s="189" t="n"/>
      <c r="AF441" s="189" t="n"/>
      <c r="AG441" s="189" t="n"/>
      <c r="AH441" s="189" t="n"/>
      <c r="AI441" s="189" t="n"/>
      <c r="AJ441" s="189" t="n"/>
      <c r="AK441" s="189" t="n"/>
      <c r="AL441" s="189" t="n"/>
      <c r="AM441" s="51" t="inlineStr">
        <is>
          <t>U1X</t>
        </is>
      </c>
    </row>
    <row r="442">
      <c r="C442" s="189" t="n"/>
      <c r="D442" s="189" t="n"/>
      <c r="E442" s="189" t="n"/>
      <c r="F442" s="189" t="n"/>
      <c r="G442" s="189" t="n"/>
      <c r="H442" s="189" t="n"/>
      <c r="I442" s="189" t="n"/>
      <c r="J442" s="189" t="n"/>
      <c r="K442" s="189" t="n"/>
      <c r="L442" s="189" t="n"/>
      <c r="M442" s="189" t="n"/>
      <c r="N442" s="189" t="n"/>
      <c r="O442" s="189" t="n"/>
      <c r="P442" s="189" t="n"/>
      <c r="Q442" s="189" t="n"/>
      <c r="R442" s="189" t="n"/>
      <c r="S442" s="189" t="n"/>
      <c r="T442" s="189" t="n"/>
      <c r="U442" s="189" t="n"/>
      <c r="V442" s="189" t="n"/>
      <c r="W442" s="189" t="n"/>
      <c r="X442" s="189" t="n"/>
      <c r="Y442" s="189" t="n"/>
      <c r="Z442" s="189" t="n"/>
      <c r="AA442" s="189" t="n"/>
      <c r="AB442" s="189" t="n"/>
      <c r="AC442" s="189" t="n"/>
      <c r="AD442" s="189" t="n"/>
      <c r="AE442" s="189" t="n"/>
      <c r="AF442" s="189" t="n"/>
      <c r="AG442" s="189" t="n"/>
      <c r="AH442" s="189" t="n"/>
      <c r="AI442" s="189" t="n"/>
      <c r="AJ442" s="189" t="n"/>
      <c r="AK442" s="189" t="n"/>
      <c r="AL442" s="189" t="n"/>
      <c r="AM442" s="51" t="inlineStr">
        <is>
          <t>U1Y</t>
        </is>
      </c>
    </row>
    <row r="443">
      <c r="C443" s="189" t="n"/>
      <c r="D443" s="189" t="n"/>
      <c r="E443" s="189" t="n"/>
      <c r="F443" s="189" t="n"/>
      <c r="G443" s="189" t="n"/>
      <c r="H443" s="189" t="n"/>
      <c r="I443" s="189" t="n"/>
      <c r="J443" s="189" t="n"/>
      <c r="K443" s="189" t="n"/>
      <c r="L443" s="189" t="n"/>
      <c r="M443" s="189" t="n"/>
      <c r="N443" s="189" t="n"/>
      <c r="O443" s="189" t="n"/>
      <c r="P443" s="189" t="n"/>
      <c r="Q443" s="189" t="n"/>
      <c r="R443" s="189" t="n"/>
      <c r="S443" s="189" t="n"/>
      <c r="T443" s="189" t="n"/>
      <c r="U443" s="189" t="n"/>
      <c r="V443" s="189" t="n"/>
      <c r="W443" s="189" t="n"/>
      <c r="X443" s="189" t="n"/>
      <c r="Y443" s="189" t="n"/>
      <c r="Z443" s="189" t="n"/>
      <c r="AA443" s="189" t="n"/>
      <c r="AB443" s="189" t="n"/>
      <c r="AC443" s="189" t="n"/>
      <c r="AD443" s="189" t="n"/>
      <c r="AE443" s="189" t="n"/>
      <c r="AF443" s="189" t="n"/>
      <c r="AG443" s="189" t="n"/>
      <c r="AH443" s="189" t="n"/>
      <c r="AI443" s="189" t="n"/>
      <c r="AJ443" s="189" t="n"/>
      <c r="AK443" s="189" t="n"/>
      <c r="AL443" s="189" t="n"/>
      <c r="AM443" s="51" t="inlineStr">
        <is>
          <t>U1θ</t>
        </is>
      </c>
    </row>
    <row r="444">
      <c r="C444" s="189" t="n"/>
      <c r="D444" s="189" t="n"/>
      <c r="E444" s="189" t="n"/>
      <c r="F444" s="189" t="n"/>
      <c r="G444" s="189" t="n"/>
      <c r="H444" s="189" t="n"/>
      <c r="I444" s="189" t="n"/>
      <c r="J444" s="189" t="n"/>
      <c r="K444" s="189" t="n"/>
      <c r="L444" s="189" t="n"/>
      <c r="M444" s="189" t="n"/>
      <c r="N444" s="189" t="n"/>
      <c r="O444" s="189" t="n"/>
      <c r="P444" s="189" t="n"/>
      <c r="Q444" s="189" t="n"/>
      <c r="R444" s="189" t="n"/>
      <c r="S444" s="189" t="n"/>
      <c r="T444" s="189" t="n"/>
      <c r="U444" s="189" t="n"/>
      <c r="V444" s="189" t="n"/>
      <c r="W444" s="189" t="n"/>
      <c r="X444" s="189" t="n"/>
      <c r="Y444" s="189" t="n"/>
      <c r="Z444" s="189" t="n"/>
      <c r="AA444" s="189" t="n"/>
      <c r="AB444" s="189" t="n"/>
      <c r="AC444" s="189" t="n"/>
      <c r="AD444" s="189" t="n"/>
      <c r="AE444" s="189" t="n"/>
      <c r="AF444" s="189" t="n"/>
      <c r="AG444" s="189" t="n"/>
      <c r="AH444" s="189" t="n"/>
      <c r="AI444" s="189" t="n"/>
      <c r="AJ444" s="189" t="n"/>
      <c r="AK444" s="189" t="n"/>
      <c r="AL444" s="189" t="n"/>
      <c r="AM444" s="51" t="inlineStr">
        <is>
          <t>U2X</t>
        </is>
      </c>
    </row>
    <row r="445">
      <c r="C445" s="189" t="n"/>
      <c r="D445" s="189" t="n"/>
      <c r="E445" s="189" t="n"/>
      <c r="F445" s="189" t="n"/>
      <c r="G445" s="189" t="n"/>
      <c r="H445" s="189" t="n"/>
      <c r="I445" s="189" t="n"/>
      <c r="J445" s="189" t="n"/>
      <c r="K445" s="189" t="n"/>
      <c r="L445" s="189" t="n"/>
      <c r="M445" s="189" t="n"/>
      <c r="N445" s="189" t="n"/>
      <c r="O445" s="189" t="n"/>
      <c r="P445" s="189" t="n"/>
      <c r="Q445" s="189" t="n"/>
      <c r="R445" s="189" t="n"/>
      <c r="S445" s="189" t="n"/>
      <c r="T445" s="189" t="n"/>
      <c r="U445" s="189" t="n"/>
      <c r="V445" s="189" t="n"/>
      <c r="W445" s="189" t="n"/>
      <c r="X445" s="189" t="n"/>
      <c r="Y445" s="189" t="n"/>
      <c r="Z445" s="189" t="n"/>
      <c r="AA445" s="189" t="n"/>
      <c r="AB445" s="189" t="n"/>
      <c r="AC445" s="189" t="n"/>
      <c r="AD445" s="189" t="n"/>
      <c r="AE445" s="189" t="n"/>
      <c r="AF445" s="189" t="n"/>
      <c r="AG445" s="189" t="n"/>
      <c r="AH445" s="189" t="n"/>
      <c r="AI445" s="189" t="n"/>
      <c r="AJ445" s="189" t="n"/>
      <c r="AK445" s="189" t="n"/>
      <c r="AL445" s="189" t="n"/>
      <c r="AM445" s="51" t="inlineStr">
        <is>
          <t>U2Y</t>
        </is>
      </c>
    </row>
    <row r="446">
      <c r="C446" s="189" t="n"/>
      <c r="D446" s="189" t="n"/>
      <c r="E446" s="189" t="n"/>
      <c r="F446" s="189" t="n"/>
      <c r="G446" s="189" t="n"/>
      <c r="H446" s="189" t="n"/>
      <c r="I446" s="189" t="n"/>
      <c r="J446" s="189" t="n"/>
      <c r="K446" s="189" t="n"/>
      <c r="L446" s="189" t="n"/>
      <c r="M446" s="189" t="n"/>
      <c r="N446" s="189" t="n"/>
      <c r="O446" s="189" t="n"/>
      <c r="P446" s="189" t="n"/>
      <c r="Q446" s="189" t="n"/>
      <c r="R446" s="189" t="n"/>
      <c r="S446" s="189" t="n"/>
      <c r="T446" s="189" t="n"/>
      <c r="U446" s="189" t="n"/>
      <c r="V446" s="189" t="n"/>
      <c r="W446" s="189" t="n"/>
      <c r="X446" s="189" t="n"/>
      <c r="Y446" s="189" t="n"/>
      <c r="Z446" s="189" t="n"/>
      <c r="AA446" s="189" t="n"/>
      <c r="AB446" s="189" t="n"/>
      <c r="AC446" s="189" t="n"/>
      <c r="AD446" s="189" t="n"/>
      <c r="AE446" s="189" t="n"/>
      <c r="AF446" s="189" t="n"/>
      <c r="AG446" s="189" t="n"/>
      <c r="AH446" s="189" t="n"/>
      <c r="AI446" s="189" t="n"/>
      <c r="AJ446" s="189" t="n"/>
      <c r="AK446" s="189" t="n"/>
      <c r="AL446" s="189" t="n"/>
      <c r="AM446" s="51" t="inlineStr">
        <is>
          <t>U2θ</t>
        </is>
      </c>
    </row>
    <row r="447">
      <c r="C447" s="189" t="n"/>
      <c r="D447" s="189" t="n"/>
      <c r="E447" s="189" t="n"/>
      <c r="F447" s="189" t="n"/>
      <c r="G447" s="189" t="n"/>
      <c r="H447" s="189" t="n"/>
      <c r="I447" s="189" t="n"/>
      <c r="J447" s="189" t="n"/>
      <c r="K447" s="189" t="n"/>
      <c r="L447" s="189" t="n"/>
      <c r="M447" s="189" t="n"/>
      <c r="N447" s="189" t="n"/>
      <c r="O447" s="189" t="n"/>
      <c r="P447" s="189" t="n"/>
      <c r="Q447" s="189" t="n"/>
      <c r="R447" s="189" t="n"/>
      <c r="S447" s="189" t="n"/>
      <c r="T447" s="189" t="n"/>
      <c r="U447" s="189" t="n"/>
      <c r="V447" s="189" t="n"/>
      <c r="W447" s="189" t="n"/>
      <c r="X447" s="189" t="n"/>
      <c r="Y447" s="189" t="n"/>
      <c r="Z447" s="189" t="n"/>
      <c r="AA447" s="189" t="n"/>
      <c r="AB447" s="189" t="n"/>
      <c r="AC447" s="189" t="n"/>
      <c r="AD447" s="189" t="n"/>
      <c r="AE447" s="189" t="n"/>
      <c r="AF447" s="189" t="n"/>
      <c r="AG447" s="189" t="n"/>
      <c r="AH447" s="189" t="n"/>
      <c r="AI447" s="189" t="n"/>
      <c r="AJ447" s="189" t="n"/>
      <c r="AK447" s="189" t="n"/>
      <c r="AL447" s="189" t="n"/>
      <c r="AM447" s="51" t="inlineStr">
        <is>
          <t>U3X</t>
        </is>
      </c>
    </row>
    <row r="448">
      <c r="C448" s="189" t="n"/>
      <c r="D448" s="189" t="n"/>
      <c r="E448" s="189" t="n"/>
      <c r="F448" s="189" t="n"/>
      <c r="G448" s="189" t="n"/>
      <c r="H448" s="189" t="n"/>
      <c r="I448" s="189" t="n"/>
      <c r="J448" s="189" t="n"/>
      <c r="K448" s="189" t="n"/>
      <c r="L448" s="189" t="n"/>
      <c r="M448" s="189" t="n"/>
      <c r="N448" s="189" t="n"/>
      <c r="O448" s="189" t="n"/>
      <c r="P448" s="189" t="n"/>
      <c r="Q448" s="189" t="n"/>
      <c r="R448" s="189" t="n"/>
      <c r="S448" s="189" t="n"/>
      <c r="T448" s="189" t="n"/>
      <c r="U448" s="189" t="n"/>
      <c r="V448" s="189" t="n"/>
      <c r="W448" s="189" t="n"/>
      <c r="X448" s="189" t="n"/>
      <c r="Y448" s="189" t="n"/>
      <c r="Z448" s="189" t="n"/>
      <c r="AA448" s="189" t="n"/>
      <c r="AB448" s="189" t="n"/>
      <c r="AC448" s="189" t="n"/>
      <c r="AD448" s="189" t="n"/>
      <c r="AE448" s="189" t="n"/>
      <c r="AF448" s="189" t="n"/>
      <c r="AG448" s="189" t="n"/>
      <c r="AH448" s="189" t="n"/>
      <c r="AI448" s="189" t="n"/>
      <c r="AJ448" s="189" t="n"/>
      <c r="AK448" s="189" t="n"/>
      <c r="AL448" s="189" t="n"/>
      <c r="AM448" s="51" t="inlineStr">
        <is>
          <t>U3Y</t>
        </is>
      </c>
    </row>
    <row r="449">
      <c r="C449" s="189" t="n"/>
      <c r="D449" s="189" t="n"/>
      <c r="E449" s="189" t="n"/>
      <c r="F449" s="189" t="n"/>
      <c r="G449" s="189" t="n"/>
      <c r="H449" s="189" t="n"/>
      <c r="I449" s="189" t="n"/>
      <c r="J449" s="189" t="n"/>
      <c r="K449" s="189" t="n"/>
      <c r="L449" s="189" t="n"/>
      <c r="M449" s="189" t="n"/>
      <c r="N449" s="189" t="n"/>
      <c r="O449" s="189" t="n"/>
      <c r="P449" s="189" t="n"/>
      <c r="Q449" s="189" t="n"/>
      <c r="R449" s="189" t="n"/>
      <c r="S449" s="189" t="n"/>
      <c r="T449" s="189" t="n"/>
      <c r="U449" s="189" t="n"/>
      <c r="V449" s="189" t="n"/>
      <c r="W449" s="189" t="n"/>
      <c r="X449" s="189" t="n"/>
      <c r="Y449" s="189" t="n"/>
      <c r="Z449" s="189" t="n"/>
      <c r="AA449" s="189" t="n"/>
      <c r="AB449" s="189" t="n"/>
      <c r="AC449" s="189" t="n"/>
      <c r="AD449" s="189" t="n"/>
      <c r="AE449" s="189" t="n"/>
      <c r="AF449" s="189" t="n"/>
      <c r="AG449" s="189" t="n"/>
      <c r="AH449" s="189" t="n"/>
      <c r="AI449" s="189" t="n"/>
      <c r="AJ449" s="189" t="n"/>
      <c r="AK449" s="189" t="n"/>
      <c r="AL449" s="189" t="n"/>
      <c r="AM449" s="51" t="inlineStr">
        <is>
          <t>U3θ</t>
        </is>
      </c>
    </row>
    <row r="450">
      <c r="C450" s="189" t="n"/>
      <c r="D450" s="189" t="n"/>
      <c r="E450" s="189" t="n"/>
      <c r="F450" s="189" t="n"/>
      <c r="G450" s="189" t="n"/>
      <c r="H450" s="189" t="n"/>
      <c r="I450" s="189" t="n"/>
      <c r="J450" s="189" t="n"/>
      <c r="K450" s="189" t="n"/>
      <c r="L450" s="189" t="n"/>
      <c r="M450" s="189" t="n"/>
      <c r="N450" s="189" t="n"/>
      <c r="O450" s="189" t="n"/>
      <c r="P450" s="189" t="n"/>
      <c r="Q450" s="189" t="n"/>
      <c r="R450" s="189" t="n"/>
      <c r="S450" s="189" t="n"/>
      <c r="T450" s="189" t="n"/>
      <c r="U450" s="189" t="n"/>
      <c r="V450" s="189" t="n"/>
      <c r="W450" s="189" t="n"/>
      <c r="X450" s="189" t="n"/>
      <c r="Y450" s="189" t="n"/>
      <c r="Z450" s="189" t="n"/>
      <c r="AA450" s="189" t="n"/>
      <c r="AB450" s="189" t="n"/>
      <c r="AC450" s="189" t="n"/>
      <c r="AD450" s="189" t="n"/>
      <c r="AE450" s="189" t="n"/>
      <c r="AF450" s="189" t="n"/>
      <c r="AG450" s="189" t="n"/>
      <c r="AH450" s="189" t="n"/>
      <c r="AI450" s="189" t="n"/>
      <c r="AJ450" s="189" t="n"/>
      <c r="AK450" s="189" t="n"/>
      <c r="AL450" s="189" t="n"/>
      <c r="AM450" s="51" t="inlineStr">
        <is>
          <t>U4X</t>
        </is>
      </c>
    </row>
    <row r="451">
      <c r="C451" s="189" t="n"/>
      <c r="D451" s="189" t="n"/>
      <c r="E451" s="189" t="n"/>
      <c r="F451" s="189" t="n"/>
      <c r="G451" s="189" t="n"/>
      <c r="H451" s="189" t="n"/>
      <c r="I451" s="189" t="n"/>
      <c r="J451" s="189" t="n"/>
      <c r="K451" s="189" t="n"/>
      <c r="L451" s="189" t="n"/>
      <c r="M451" s="189" t="n"/>
      <c r="N451" s="189" t="n"/>
      <c r="O451" s="189" t="n"/>
      <c r="P451" s="189" t="n"/>
      <c r="Q451" s="189" t="n"/>
      <c r="R451" s="189" t="n"/>
      <c r="S451" s="189" t="n"/>
      <c r="T451" s="189" t="n"/>
      <c r="U451" s="189" t="n"/>
      <c r="V451" s="189" t="n"/>
      <c r="W451" s="189" t="n"/>
      <c r="X451" s="189" t="n"/>
      <c r="Y451" s="189" t="n"/>
      <c r="Z451" s="189" t="n"/>
      <c r="AA451" s="189" t="n"/>
      <c r="AB451" s="189" t="n"/>
      <c r="AC451" s="189" t="n"/>
      <c r="AD451" s="189" t="n"/>
      <c r="AE451" s="189" t="n"/>
      <c r="AF451" s="189" t="n"/>
      <c r="AG451" s="189" t="n"/>
      <c r="AH451" s="189" t="n"/>
      <c r="AI451" s="189" t="n"/>
      <c r="AJ451" s="189" t="n"/>
      <c r="AK451" s="189" t="n"/>
      <c r="AL451" s="189" t="n"/>
      <c r="AM451" s="51" t="inlineStr">
        <is>
          <t>U4Y</t>
        </is>
      </c>
    </row>
    <row r="452">
      <c r="C452" s="189" t="n"/>
      <c r="D452" s="189" t="n"/>
      <c r="E452" s="189" t="n"/>
      <c r="F452" s="189" t="n"/>
      <c r="G452" s="189" t="n"/>
      <c r="H452" s="189" t="n"/>
      <c r="I452" s="189" t="n"/>
      <c r="J452" s="189" t="n"/>
      <c r="K452" s="189" t="n"/>
      <c r="L452" s="189" t="n"/>
      <c r="M452" s="189" t="n"/>
      <c r="N452" s="189" t="n"/>
      <c r="O452" s="189" t="n"/>
      <c r="P452" s="189" t="n"/>
      <c r="Q452" s="189" t="n"/>
      <c r="R452" s="189" t="n"/>
      <c r="S452" s="189" t="n"/>
      <c r="T452" s="189" t="n"/>
      <c r="U452" s="189" t="n"/>
      <c r="V452" s="189" t="n"/>
      <c r="W452" s="189" t="n"/>
      <c r="X452" s="189" t="n"/>
      <c r="Y452" s="189" t="n"/>
      <c r="Z452" s="189" t="n"/>
      <c r="AA452" s="189" t="n"/>
      <c r="AB452" s="189" t="n"/>
      <c r="AC452" s="189" t="n"/>
      <c r="AD452" s="189" t="n"/>
      <c r="AE452" s="189" t="n"/>
      <c r="AF452" s="189" t="n"/>
      <c r="AG452" s="189" t="n"/>
      <c r="AH452" s="189" t="n"/>
      <c r="AI452" s="189" t="n"/>
      <c r="AJ452" s="189" t="n"/>
      <c r="AK452" s="189" t="n"/>
      <c r="AL452" s="189" t="n"/>
      <c r="AM452" s="51" t="inlineStr">
        <is>
          <t>U4θ</t>
        </is>
      </c>
    </row>
    <row r="453">
      <c r="C453" s="189" t="n"/>
      <c r="D453" s="189" t="n"/>
      <c r="E453" s="189" t="n"/>
      <c r="F453" s="189" t="n"/>
      <c r="G453" s="189" t="n"/>
      <c r="H453" s="189" t="n"/>
      <c r="I453" s="189" t="n"/>
      <c r="J453" s="189" t="n"/>
      <c r="K453" s="189" t="n"/>
      <c r="L453" s="189" t="n"/>
      <c r="M453" s="189" t="n"/>
      <c r="N453" s="189" t="n"/>
      <c r="O453" s="189" t="n"/>
      <c r="P453" s="189" t="n"/>
      <c r="Q453" s="189" t="n"/>
      <c r="R453" s="189" t="n"/>
      <c r="S453" s="189" t="n"/>
      <c r="T453" s="189" t="n"/>
      <c r="U453" s="189" t="n"/>
      <c r="V453" s="189" t="n"/>
      <c r="W453" s="189" t="n"/>
      <c r="X453" s="189" t="n"/>
      <c r="Y453" s="189" t="n"/>
      <c r="Z453" s="189" t="n"/>
      <c r="AA453" s="189" t="n"/>
      <c r="AB453" s="189" t="n"/>
      <c r="AC453" s="189" t="n"/>
      <c r="AD453" s="189" t="n"/>
      <c r="AE453" s="189" t="n"/>
      <c r="AF453" s="189" t="n"/>
      <c r="AG453" s="189" t="n"/>
      <c r="AH453" s="189" t="n"/>
      <c r="AI453" s="189" t="n"/>
      <c r="AJ453" s="189" t="n"/>
      <c r="AK453" s="189" t="n"/>
      <c r="AL453" s="189" t="n"/>
      <c r="AM453" s="51" t="inlineStr">
        <is>
          <t>U5X</t>
        </is>
      </c>
    </row>
    <row r="454">
      <c r="C454" s="189" t="n"/>
      <c r="D454" s="189" t="n"/>
      <c r="E454" s="189" t="n"/>
      <c r="F454" s="189" t="n"/>
      <c r="G454" s="189" t="n"/>
      <c r="H454" s="189" t="n"/>
      <c r="I454" s="189" t="n"/>
      <c r="J454" s="189" t="n"/>
      <c r="K454" s="189" t="n"/>
      <c r="L454" s="189" t="n"/>
      <c r="M454" s="189" t="n"/>
      <c r="N454" s="189" t="n"/>
      <c r="O454" s="189" t="n"/>
      <c r="P454" s="189" t="n"/>
      <c r="Q454" s="189" t="n"/>
      <c r="R454" s="189" t="n"/>
      <c r="S454" s="189" t="n"/>
      <c r="T454" s="189" t="n"/>
      <c r="U454" s="189" t="n"/>
      <c r="V454" s="189" t="n"/>
      <c r="W454" s="189" t="n"/>
      <c r="X454" s="189" t="n"/>
      <c r="Y454" s="189" t="n"/>
      <c r="Z454" s="189" t="n"/>
      <c r="AA454" s="189" t="n"/>
      <c r="AB454" s="189" t="n"/>
      <c r="AC454" s="189" t="n"/>
      <c r="AD454" s="189" t="n"/>
      <c r="AE454" s="189" t="n"/>
      <c r="AF454" s="189" t="n"/>
      <c r="AG454" s="189" t="n"/>
      <c r="AH454" s="189" t="n"/>
      <c r="AI454" s="189" t="n"/>
      <c r="AJ454" s="189" t="n"/>
      <c r="AK454" s="189" t="n"/>
      <c r="AL454" s="189" t="n"/>
      <c r="AM454" s="51" t="inlineStr">
        <is>
          <t>U5Y</t>
        </is>
      </c>
    </row>
    <row r="455">
      <c r="C455" s="189" t="n"/>
      <c r="D455" s="189" t="n"/>
      <c r="E455" s="189" t="n"/>
      <c r="F455" s="189" t="n"/>
      <c r="G455" s="189" t="n"/>
      <c r="H455" s="189" t="n"/>
      <c r="I455" s="189" t="n"/>
      <c r="J455" s="189" t="n"/>
      <c r="K455" s="189" t="n"/>
      <c r="L455" s="189" t="n"/>
      <c r="M455" s="189" t="n"/>
      <c r="N455" s="189" t="n"/>
      <c r="O455" s="189" t="n"/>
      <c r="P455" s="189" t="n"/>
      <c r="Q455" s="189" t="n"/>
      <c r="R455" s="189" t="n"/>
      <c r="S455" s="189" t="n"/>
      <c r="T455" s="189" t="n"/>
      <c r="U455" s="189" t="n"/>
      <c r="V455" s="189" t="n"/>
      <c r="W455" s="189" t="n"/>
      <c r="X455" s="189" t="n"/>
      <c r="Y455" s="189" t="n"/>
      <c r="Z455" s="189" t="n"/>
      <c r="AA455" s="189" t="n"/>
      <c r="AB455" s="189" t="n"/>
      <c r="AC455" s="189" t="n"/>
      <c r="AD455" s="189" t="n"/>
      <c r="AE455" s="189" t="n"/>
      <c r="AF455" s="189" t="n"/>
      <c r="AG455" s="189" t="n"/>
      <c r="AH455" s="189" t="n"/>
      <c r="AI455" s="189" t="n"/>
      <c r="AJ455" s="189" t="n"/>
      <c r="AK455" s="189" t="n"/>
      <c r="AL455" s="189" t="n"/>
      <c r="AM455" s="51" t="inlineStr">
        <is>
          <t>U5θ</t>
        </is>
      </c>
    </row>
    <row r="456">
      <c r="C456" s="189" t="n"/>
      <c r="D456" s="189" t="n"/>
      <c r="E456" s="189" t="n"/>
      <c r="F456" s="189" t="n"/>
      <c r="G456" s="189" t="n"/>
      <c r="H456" s="189" t="n"/>
      <c r="I456" s="189" t="n"/>
      <c r="J456" s="189" t="n"/>
      <c r="K456" s="189" t="n"/>
      <c r="L456" s="189" t="n"/>
      <c r="M456" s="189" t="n"/>
      <c r="N456" s="189" t="n"/>
      <c r="O456" s="189" t="n"/>
      <c r="P456" s="189" t="n"/>
      <c r="Q456" s="189" t="n"/>
      <c r="R456" s="189" t="n"/>
      <c r="S456" s="189" t="n"/>
      <c r="T456" s="189" t="n"/>
      <c r="U456" s="189" t="n"/>
      <c r="V456" s="189" t="n"/>
      <c r="W456" s="189" t="n"/>
      <c r="X456" s="189" t="n"/>
      <c r="Y456" s="189" t="n"/>
      <c r="Z456" s="189" t="n"/>
      <c r="AA456" s="189" t="n"/>
      <c r="AB456" s="189" t="n"/>
      <c r="AC456" s="189" t="n"/>
      <c r="AD456" s="189" t="n"/>
      <c r="AE456" s="189" t="n"/>
      <c r="AF456" s="189" t="n"/>
      <c r="AG456" s="189" t="n"/>
      <c r="AH456" s="189" t="n"/>
      <c r="AI456" s="189" t="n"/>
      <c r="AJ456" s="189" t="n"/>
      <c r="AK456" s="189" t="n"/>
      <c r="AL456" s="189" t="n"/>
      <c r="AM456" s="51" t="inlineStr">
        <is>
          <t>U6X</t>
        </is>
      </c>
    </row>
    <row r="457">
      <c r="C457" s="189" t="n"/>
      <c r="D457" s="189" t="n"/>
      <c r="E457" s="189" t="n"/>
      <c r="F457" s="189" t="n"/>
      <c r="G457" s="189" t="n"/>
      <c r="H457" s="189" t="n"/>
      <c r="I457" s="189" t="n"/>
      <c r="J457" s="189" t="n"/>
      <c r="K457" s="189" t="n"/>
      <c r="L457" s="189" t="n"/>
      <c r="M457" s="189" t="n"/>
      <c r="N457" s="189" t="n"/>
      <c r="O457" s="189" t="n"/>
      <c r="P457" s="189" t="n"/>
      <c r="Q457" s="189" t="n"/>
      <c r="R457" s="189" t="n"/>
      <c r="S457" s="189" t="n"/>
      <c r="T457" s="189" t="n"/>
      <c r="U457" s="189" t="n"/>
      <c r="V457" s="189" t="n"/>
      <c r="W457" s="189" t="n"/>
      <c r="X457" s="189" t="n"/>
      <c r="Y457" s="189" t="n"/>
      <c r="Z457" s="189" t="n"/>
      <c r="AA457" s="189" t="n"/>
      <c r="AB457" s="189" t="n"/>
      <c r="AC457" s="189" t="n"/>
      <c r="AD457" s="189" t="n"/>
      <c r="AE457" s="189" t="n"/>
      <c r="AF457" s="189" t="n"/>
      <c r="AG457" s="189" t="n"/>
      <c r="AH457" s="189" t="n"/>
      <c r="AI457" s="189" t="n"/>
      <c r="AJ457" s="189" t="n"/>
      <c r="AK457" s="189" t="n"/>
      <c r="AL457" s="189" t="n"/>
      <c r="AM457" s="51" t="inlineStr">
        <is>
          <t>U6Y</t>
        </is>
      </c>
    </row>
    <row r="458">
      <c r="B458" s="118" t="inlineStr">
        <is>
          <t>K9 =</t>
        </is>
      </c>
      <c r="C458" s="189" t="n"/>
      <c r="D458" s="189" t="n"/>
      <c r="E458" s="189" t="n"/>
      <c r="F458" s="189" t="n"/>
      <c r="G458" s="189" t="n"/>
      <c r="H458" s="189" t="n"/>
      <c r="I458" s="189" t="n"/>
      <c r="J458" s="189" t="n"/>
      <c r="K458" s="189" t="n"/>
      <c r="L458" s="189" t="n"/>
      <c r="M458" s="189" t="n"/>
      <c r="N458" s="189" t="n"/>
      <c r="O458" s="189" t="n"/>
      <c r="P458" s="189" t="n"/>
      <c r="Q458" s="189" t="n"/>
      <c r="R458" s="189" t="n"/>
      <c r="S458" s="189" t="n"/>
      <c r="T458" s="189" t="n"/>
      <c r="U458" s="189" t="n"/>
      <c r="V458" s="189" t="n"/>
      <c r="W458" s="189" t="n"/>
      <c r="X458" s="189" t="n"/>
      <c r="Y458" s="189" t="n"/>
      <c r="Z458" s="189" t="n"/>
      <c r="AA458" s="189" t="n"/>
      <c r="AB458" s="189" t="n"/>
      <c r="AC458" s="189" t="n"/>
      <c r="AD458" s="189" t="n"/>
      <c r="AE458" s="189" t="n"/>
      <c r="AF458" s="189" t="n"/>
      <c r="AG458" s="189" t="n"/>
      <c r="AH458" s="189" t="n"/>
      <c r="AI458" s="189" t="n"/>
      <c r="AJ458" s="189" t="n"/>
      <c r="AK458" s="189" t="n"/>
      <c r="AL458" s="189" t="n"/>
      <c r="AM458" s="51" t="inlineStr">
        <is>
          <t>U6θ</t>
        </is>
      </c>
    </row>
    <row r="459">
      <c r="C459" s="189" t="n"/>
      <c r="D459" s="189" t="n"/>
      <c r="E459" s="189" t="n"/>
      <c r="F459" s="189" t="n"/>
      <c r="G459" s="189" t="n"/>
      <c r="H459" s="189" t="n"/>
      <c r="I459" s="189" t="n"/>
      <c r="J459" s="189" t="n"/>
      <c r="K459" s="189" t="n"/>
      <c r="L459" s="189" t="n"/>
      <c r="M459" s="189" t="n"/>
      <c r="N459" s="189" t="n"/>
      <c r="O459" s="189" t="n"/>
      <c r="P459" s="189" t="n"/>
      <c r="Q459" s="189" t="n"/>
      <c r="R459" s="189" t="n"/>
      <c r="S459" s="189" t="n"/>
      <c r="T459" s="189" t="n"/>
      <c r="U459" s="189" t="n"/>
      <c r="V459" s="189" t="n"/>
      <c r="W459" s="189" t="n"/>
      <c r="X459" s="189" t="n"/>
      <c r="Y459" s="189" t="n"/>
      <c r="Z459" s="189" t="n"/>
      <c r="AA459" s="189" t="n"/>
      <c r="AB459" s="189" t="n"/>
      <c r="AC459" s="189" t="n"/>
      <c r="AD459" s="189" t="n"/>
      <c r="AE459" s="189" t="n"/>
      <c r="AF459" s="189" t="n"/>
      <c r="AG459" s="189" t="n"/>
      <c r="AH459" s="189" t="n"/>
      <c r="AI459" s="189" t="n"/>
      <c r="AJ459" s="189" t="n"/>
      <c r="AK459" s="189" t="n"/>
      <c r="AL459" s="189" t="n"/>
      <c r="AM459" s="51" t="inlineStr">
        <is>
          <t>U7X</t>
        </is>
      </c>
    </row>
    <row r="460">
      <c r="C460" s="189" t="n"/>
      <c r="D460" s="189" t="n"/>
      <c r="E460" s="189" t="n"/>
      <c r="F460" s="189" t="n"/>
      <c r="G460" s="189" t="n"/>
      <c r="H460" s="189" t="n"/>
      <c r="I460" s="189" t="n"/>
      <c r="J460" s="189" t="n"/>
      <c r="K460" s="189" t="n"/>
      <c r="L460" s="189" t="n"/>
      <c r="M460" s="189" t="n"/>
      <c r="N460" s="189" t="n"/>
      <c r="O460" s="189" t="n"/>
      <c r="P460" s="189" t="n"/>
      <c r="Q460" s="189" t="n"/>
      <c r="R460" s="189" t="n"/>
      <c r="S460" s="189" t="n"/>
      <c r="T460" s="189" t="n"/>
      <c r="U460" s="189" t="n"/>
      <c r="V460" s="189" t="n"/>
      <c r="W460" s="189" t="n"/>
      <c r="X460" s="189" t="n"/>
      <c r="Y460" s="189" t="n"/>
      <c r="Z460" s="189" t="n"/>
      <c r="AA460" s="189" t="n"/>
      <c r="AB460" s="189" t="n"/>
      <c r="AC460" s="189" t="n"/>
      <c r="AD460" s="189" t="n"/>
      <c r="AE460" s="189" t="n"/>
      <c r="AF460" s="189" t="n"/>
      <c r="AG460" s="189" t="n"/>
      <c r="AH460" s="189" t="n"/>
      <c r="AI460" s="189" t="n"/>
      <c r="AJ460" s="189" t="n"/>
      <c r="AK460" s="189" t="n"/>
      <c r="AL460" s="189" t="n"/>
      <c r="AM460" s="51" t="inlineStr">
        <is>
          <t>U7Y</t>
        </is>
      </c>
    </row>
    <row r="461">
      <c r="C461" s="189" t="n"/>
      <c r="D461" s="189" t="n"/>
      <c r="E461" s="189" t="n"/>
      <c r="F461" s="189" t="n"/>
      <c r="G461" s="189" t="n"/>
      <c r="H461" s="189" t="n"/>
      <c r="I461" s="189" t="n"/>
      <c r="J461" s="189" t="n"/>
      <c r="K461" s="189" t="n"/>
      <c r="L461" s="189" t="n"/>
      <c r="M461" s="189" t="n"/>
      <c r="N461" s="189" t="n"/>
      <c r="O461" s="189" t="n"/>
      <c r="P461" s="189" t="n"/>
      <c r="Q461" s="189" t="n"/>
      <c r="R461" s="189" t="n"/>
      <c r="S461" s="189" t="n"/>
      <c r="T461" s="189" t="n"/>
      <c r="U461" s="189" t="n"/>
      <c r="V461" s="189" t="n"/>
      <c r="W461" s="189" t="n"/>
      <c r="X461" s="189" t="n"/>
      <c r="Y461" s="189" t="n"/>
      <c r="Z461" s="189" t="n"/>
      <c r="AA461" s="189" t="n"/>
      <c r="AB461" s="189" t="n"/>
      <c r="AC461" s="189" t="n"/>
      <c r="AD461" s="189" t="n"/>
      <c r="AE461" s="189" t="n"/>
      <c r="AF461" s="189" t="n"/>
      <c r="AG461" s="189" t="n"/>
      <c r="AH461" s="189" t="n"/>
      <c r="AI461" s="189" t="n"/>
      <c r="AJ461" s="189" t="n"/>
      <c r="AK461" s="189" t="n"/>
      <c r="AL461" s="189" t="n"/>
      <c r="AM461" s="51" t="inlineStr">
        <is>
          <t>U7θ</t>
        </is>
      </c>
    </row>
    <row r="462">
      <c r="C462" s="189" t="n"/>
      <c r="D462" s="189" t="n"/>
      <c r="E462" s="189" t="n"/>
      <c r="F462" s="189" t="n"/>
      <c r="G462" s="189" t="n"/>
      <c r="H462" s="189" t="n"/>
      <c r="I462" s="189" t="n"/>
      <c r="J462" s="189" t="n"/>
      <c r="K462" s="189" t="n"/>
      <c r="L462" s="189" t="n"/>
      <c r="M462" s="189" t="n"/>
      <c r="N462" s="189" t="n"/>
      <c r="O462" s="189" t="n"/>
      <c r="P462" s="189" t="n"/>
      <c r="Q462" s="189" t="n"/>
      <c r="R462" s="189" t="n"/>
      <c r="S462" s="189" t="n"/>
      <c r="T462" s="189" t="n"/>
      <c r="U462" s="189" t="n"/>
      <c r="V462" s="189" t="n"/>
      <c r="W462" s="189" t="n"/>
      <c r="X462" s="189" t="n"/>
      <c r="Y462" s="189" t="n"/>
      <c r="Z462" s="189" t="n"/>
      <c r="AA462" s="189" t="n"/>
      <c r="AB462" s="189" t="n"/>
      <c r="AC462" s="189" t="n"/>
      <c r="AD462" s="189" t="n"/>
      <c r="AE462" s="189" t="n"/>
      <c r="AF462" s="189" t="n"/>
      <c r="AG462" s="189" t="n"/>
      <c r="AH462" s="189" t="n"/>
      <c r="AI462" s="189" t="n"/>
      <c r="AJ462" s="189" t="n"/>
      <c r="AK462" s="189" t="n"/>
      <c r="AL462" s="189" t="n"/>
      <c r="AM462" s="51" t="inlineStr">
        <is>
          <t>U8X</t>
        </is>
      </c>
    </row>
    <row r="463">
      <c r="C463" s="189" t="n"/>
      <c r="D463" s="189" t="n"/>
      <c r="E463" s="189" t="n"/>
      <c r="F463" s="189" t="n"/>
      <c r="G463" s="189" t="n"/>
      <c r="H463" s="189" t="n"/>
      <c r="I463" s="189" t="n"/>
      <c r="J463" s="189" t="n"/>
      <c r="K463" s="189" t="n"/>
      <c r="L463" s="189" t="n"/>
      <c r="M463" s="189" t="n"/>
      <c r="N463" s="189" t="n"/>
      <c r="O463" s="189" t="n"/>
      <c r="P463" s="189" t="n"/>
      <c r="Q463" s="189" t="n"/>
      <c r="R463" s="189" t="n"/>
      <c r="S463" s="189" t="n"/>
      <c r="T463" s="189" t="n"/>
      <c r="U463" s="189" t="n"/>
      <c r="V463" s="189" t="n"/>
      <c r="W463" s="189" t="n"/>
      <c r="X463" s="189" t="n"/>
      <c r="Y463" s="189" t="n"/>
      <c r="Z463" s="189" t="n"/>
      <c r="AA463" s="189" t="n"/>
      <c r="AB463" s="189" t="n"/>
      <c r="AC463" s="189" t="n"/>
      <c r="AD463" s="189" t="n"/>
      <c r="AE463" s="189" t="n"/>
      <c r="AF463" s="189" t="n"/>
      <c r="AG463" s="189" t="n"/>
      <c r="AH463" s="189" t="n"/>
      <c r="AI463" s="189" t="n"/>
      <c r="AJ463" s="189" t="n"/>
      <c r="AK463" s="189" t="n"/>
      <c r="AL463" s="189" t="n"/>
      <c r="AM463" s="51" t="inlineStr">
        <is>
          <t>U8Y</t>
        </is>
      </c>
    </row>
    <row r="464">
      <c r="C464" s="189" t="n"/>
      <c r="D464" s="189" t="n"/>
      <c r="E464" s="189" t="n"/>
      <c r="F464" s="189" t="n"/>
      <c r="G464" s="189" t="n"/>
      <c r="H464" s="189" t="n"/>
      <c r="I464" s="189" t="n"/>
      <c r="J464" s="189" t="n"/>
      <c r="K464" s="189" t="n"/>
      <c r="L464" s="189" t="n"/>
      <c r="M464" s="189" t="n"/>
      <c r="N464" s="189" t="n"/>
      <c r="O464" s="189" t="n"/>
      <c r="P464" s="189" t="n"/>
      <c r="Q464" s="189" t="n"/>
      <c r="R464" s="189" t="n"/>
      <c r="S464" s="189" t="n"/>
      <c r="T464" s="189" t="n"/>
      <c r="U464" s="189" t="n"/>
      <c r="V464" s="189" t="n"/>
      <c r="W464" s="189" t="n"/>
      <c r="X464" s="189" t="n"/>
      <c r="Y464" s="189" t="n"/>
      <c r="Z464" s="189" t="n"/>
      <c r="AA464" s="189" t="n"/>
      <c r="AB464" s="189" t="n"/>
      <c r="AC464" s="189" t="n"/>
      <c r="AD464" s="189" t="n"/>
      <c r="AE464" s="189" t="n"/>
      <c r="AF464" s="189" t="n"/>
      <c r="AG464" s="189" t="n"/>
      <c r="AH464" s="189" t="n"/>
      <c r="AI464" s="189" t="n"/>
      <c r="AJ464" s="189" t="n"/>
      <c r="AK464" s="189" t="n"/>
      <c r="AL464" s="189" t="n"/>
      <c r="AM464" s="51" t="inlineStr">
        <is>
          <t>U8θ</t>
        </is>
      </c>
    </row>
    <row r="465">
      <c r="C465" s="189" t="n"/>
      <c r="D465" s="189" t="n"/>
      <c r="E465" s="189" t="n"/>
      <c r="F465" s="189" t="n"/>
      <c r="G465" s="189" t="n"/>
      <c r="H465" s="189" t="n"/>
      <c r="I465" s="189" t="n"/>
      <c r="J465" s="189" t="n"/>
      <c r="K465" s="189" t="n"/>
      <c r="L465" s="189" t="n"/>
      <c r="M465" s="189" t="n"/>
      <c r="N465" s="189" t="n"/>
      <c r="O465" s="189" t="n"/>
      <c r="P465" s="189" t="n"/>
      <c r="Q465" s="189" t="n"/>
      <c r="R465" s="189" t="n"/>
      <c r="S465" s="189" t="n"/>
      <c r="T465" s="189" t="n"/>
      <c r="U465" s="189" t="n"/>
      <c r="V465" s="189" t="n"/>
      <c r="W465" s="189" t="n"/>
      <c r="X465" s="189" t="n"/>
      <c r="Y465" s="189" t="n"/>
      <c r="Z465" s="189" t="n"/>
      <c r="AA465" s="189">
        <f>C433</f>
        <v/>
      </c>
      <c r="AB465" s="189">
        <f>D433</f>
        <v/>
      </c>
      <c r="AC465" s="189">
        <f>E433</f>
        <v/>
      </c>
      <c r="AD465" s="189">
        <f>F433</f>
        <v/>
      </c>
      <c r="AE465" s="189">
        <f>G433</f>
        <v/>
      </c>
      <c r="AF465" s="189">
        <f>H433</f>
        <v/>
      </c>
      <c r="AG465" s="189" t="n"/>
      <c r="AH465" s="189" t="n"/>
      <c r="AI465" s="189" t="n"/>
      <c r="AJ465" s="189" t="n"/>
      <c r="AK465" s="189" t="n"/>
      <c r="AL465" s="189" t="n"/>
      <c r="AM465" s="51" t="inlineStr">
        <is>
          <t>U9X</t>
        </is>
      </c>
    </row>
    <row r="466">
      <c r="C466" s="189" t="n"/>
      <c r="D466" s="189" t="n"/>
      <c r="E466" s="189" t="n"/>
      <c r="F466" s="189" t="n"/>
      <c r="G466" s="189" t="n"/>
      <c r="H466" s="189" t="n"/>
      <c r="I466" s="189" t="n"/>
      <c r="J466" s="189" t="n"/>
      <c r="K466" s="189" t="n"/>
      <c r="L466" s="189" t="n"/>
      <c r="M466" s="189" t="n"/>
      <c r="N466" s="189" t="n"/>
      <c r="O466" s="189" t="n"/>
      <c r="P466" s="189" t="n"/>
      <c r="Q466" s="189" t="n"/>
      <c r="R466" s="189" t="n"/>
      <c r="S466" s="189" t="n"/>
      <c r="T466" s="189" t="n"/>
      <c r="U466" s="189" t="n"/>
      <c r="V466" s="189" t="n"/>
      <c r="W466" s="189" t="n"/>
      <c r="X466" s="189" t="n"/>
      <c r="Y466" s="189" t="n"/>
      <c r="Z466" s="189" t="n"/>
      <c r="AA466" s="189">
        <f>C434</f>
        <v/>
      </c>
      <c r="AB466" s="189">
        <f>D434</f>
        <v/>
      </c>
      <c r="AC466" s="189">
        <f>E434</f>
        <v/>
      </c>
      <c r="AD466" s="189">
        <f>F434</f>
        <v/>
      </c>
      <c r="AE466" s="189">
        <f>G434</f>
        <v/>
      </c>
      <c r="AF466" s="189">
        <f>H434</f>
        <v/>
      </c>
      <c r="AG466" s="189" t="n"/>
      <c r="AH466" s="189" t="n"/>
      <c r="AI466" s="189" t="n"/>
      <c r="AJ466" s="189" t="n"/>
      <c r="AK466" s="189" t="n"/>
      <c r="AL466" s="189" t="n"/>
      <c r="AM466" s="51" t="inlineStr">
        <is>
          <t>U9Y</t>
        </is>
      </c>
    </row>
    <row r="467">
      <c r="C467" s="189" t="n"/>
      <c r="D467" s="189" t="n"/>
      <c r="E467" s="189" t="n"/>
      <c r="F467" s="189" t="n"/>
      <c r="G467" s="189" t="n"/>
      <c r="H467" s="189" t="n"/>
      <c r="I467" s="189" t="n"/>
      <c r="J467" s="189" t="n"/>
      <c r="K467" s="189" t="n"/>
      <c r="L467" s="189" t="n"/>
      <c r="M467" s="189" t="n"/>
      <c r="N467" s="189" t="n"/>
      <c r="O467" s="189" t="n"/>
      <c r="P467" s="189" t="n"/>
      <c r="Q467" s="189" t="n"/>
      <c r="R467" s="189" t="n"/>
      <c r="S467" s="189" t="n"/>
      <c r="T467" s="189" t="n"/>
      <c r="U467" s="189" t="n"/>
      <c r="V467" s="189" t="n"/>
      <c r="W467" s="189" t="n"/>
      <c r="X467" s="189" t="n"/>
      <c r="Y467" s="189" t="n"/>
      <c r="Z467" s="189" t="n"/>
      <c r="AA467" s="189">
        <f>C435</f>
        <v/>
      </c>
      <c r="AB467" s="189">
        <f>D435</f>
        <v/>
      </c>
      <c r="AC467" s="189">
        <f>E435</f>
        <v/>
      </c>
      <c r="AD467" s="189">
        <f>F435</f>
        <v/>
      </c>
      <c r="AE467" s="189">
        <f>G435</f>
        <v/>
      </c>
      <c r="AF467" s="189">
        <f>H435</f>
        <v/>
      </c>
      <c r="AG467" s="189" t="n"/>
      <c r="AH467" s="189" t="n"/>
      <c r="AI467" s="189" t="n"/>
      <c r="AJ467" s="189" t="n"/>
      <c r="AK467" s="189" t="n"/>
      <c r="AL467" s="189" t="n"/>
      <c r="AM467" s="51" t="inlineStr">
        <is>
          <t>U9θ</t>
        </is>
      </c>
    </row>
    <row r="468">
      <c r="C468" s="189" t="n"/>
      <c r="D468" s="189" t="n"/>
      <c r="E468" s="189" t="n"/>
      <c r="F468" s="189" t="n"/>
      <c r="G468" s="189" t="n"/>
      <c r="H468" s="189" t="n"/>
      <c r="I468" s="189" t="n"/>
      <c r="J468" s="189" t="n"/>
      <c r="K468" s="189" t="n"/>
      <c r="L468" s="189" t="n"/>
      <c r="M468" s="189" t="n"/>
      <c r="N468" s="189" t="n"/>
      <c r="O468" s="189" t="n"/>
      <c r="P468" s="189" t="n"/>
      <c r="Q468" s="189" t="n"/>
      <c r="R468" s="189" t="n"/>
      <c r="S468" s="189" t="n"/>
      <c r="T468" s="189" t="n"/>
      <c r="U468" s="189" t="n"/>
      <c r="V468" s="189" t="n"/>
      <c r="W468" s="189" t="n"/>
      <c r="X468" s="189" t="n"/>
      <c r="Y468" s="189" t="n"/>
      <c r="Z468" s="189" t="n"/>
      <c r="AA468" s="189">
        <f>C436</f>
        <v/>
      </c>
      <c r="AB468" s="189">
        <f>D436</f>
        <v/>
      </c>
      <c r="AC468" s="189">
        <f>E436</f>
        <v/>
      </c>
      <c r="AD468" s="189">
        <f>F436</f>
        <v/>
      </c>
      <c r="AE468" s="189">
        <f>G436</f>
        <v/>
      </c>
      <c r="AF468" s="189">
        <f>H436</f>
        <v/>
      </c>
      <c r="AG468" s="189" t="n"/>
      <c r="AH468" s="189" t="n"/>
      <c r="AI468" s="189" t="n"/>
      <c r="AJ468" s="189" t="n"/>
      <c r="AK468" s="189" t="n"/>
      <c r="AL468" s="189" t="n"/>
      <c r="AM468" s="51" t="inlineStr">
        <is>
          <t>U10X</t>
        </is>
      </c>
    </row>
    <row r="469">
      <c r="C469" s="189" t="n"/>
      <c r="D469" s="189" t="n"/>
      <c r="E469" s="189" t="n"/>
      <c r="F469" s="189" t="n"/>
      <c r="G469" s="189" t="n"/>
      <c r="H469" s="189" t="n"/>
      <c r="I469" s="189" t="n"/>
      <c r="J469" s="189" t="n"/>
      <c r="K469" s="189" t="n"/>
      <c r="L469" s="189" t="n"/>
      <c r="M469" s="189" t="n"/>
      <c r="N469" s="189" t="n"/>
      <c r="O469" s="189" t="n"/>
      <c r="P469" s="189" t="n"/>
      <c r="Q469" s="189" t="n"/>
      <c r="R469" s="189" t="n"/>
      <c r="S469" s="189" t="n"/>
      <c r="T469" s="189" t="n"/>
      <c r="U469" s="189" t="n"/>
      <c r="V469" s="189" t="n"/>
      <c r="W469" s="189" t="n"/>
      <c r="X469" s="189" t="n"/>
      <c r="Y469" s="189" t="n"/>
      <c r="Z469" s="189" t="n"/>
      <c r="AA469" s="189">
        <f>C437</f>
        <v/>
      </c>
      <c r="AB469" s="189">
        <f>D437</f>
        <v/>
      </c>
      <c r="AC469" s="189">
        <f>E437</f>
        <v/>
      </c>
      <c r="AD469" s="189">
        <f>F437</f>
        <v/>
      </c>
      <c r="AE469" s="189">
        <f>G437</f>
        <v/>
      </c>
      <c r="AF469" s="189">
        <f>H437</f>
        <v/>
      </c>
      <c r="AG469" s="189" t="n"/>
      <c r="AH469" s="189" t="n"/>
      <c r="AI469" s="189" t="n"/>
      <c r="AJ469" s="189" t="n"/>
      <c r="AK469" s="189" t="n"/>
      <c r="AL469" s="189" t="n"/>
      <c r="AM469" s="51" t="inlineStr">
        <is>
          <t>U10Y</t>
        </is>
      </c>
    </row>
    <row r="470">
      <c r="C470" s="189" t="n"/>
      <c r="D470" s="189" t="n"/>
      <c r="E470" s="189" t="n"/>
      <c r="F470" s="189" t="n"/>
      <c r="G470" s="189" t="n"/>
      <c r="H470" s="189" t="n"/>
      <c r="I470" s="189" t="n"/>
      <c r="J470" s="189" t="n"/>
      <c r="K470" s="189" t="n"/>
      <c r="L470" s="189" t="n"/>
      <c r="M470" s="189" t="n"/>
      <c r="N470" s="189" t="n"/>
      <c r="O470" s="189" t="n"/>
      <c r="P470" s="189" t="n"/>
      <c r="Q470" s="189" t="n"/>
      <c r="R470" s="189" t="n"/>
      <c r="S470" s="189" t="n"/>
      <c r="T470" s="189" t="n"/>
      <c r="U470" s="189" t="n"/>
      <c r="V470" s="189" t="n"/>
      <c r="W470" s="189" t="n"/>
      <c r="X470" s="189" t="n"/>
      <c r="Y470" s="189" t="n"/>
      <c r="Z470" s="189" t="n"/>
      <c r="AA470" s="189">
        <f>C438</f>
        <v/>
      </c>
      <c r="AB470" s="189">
        <f>D438</f>
        <v/>
      </c>
      <c r="AC470" s="189">
        <f>E438</f>
        <v/>
      </c>
      <c r="AD470" s="189">
        <f>F438</f>
        <v/>
      </c>
      <c r="AE470" s="189">
        <f>G438</f>
        <v/>
      </c>
      <c r="AF470" s="189">
        <f>H438</f>
        <v/>
      </c>
      <c r="AG470" s="189" t="n"/>
      <c r="AH470" s="189" t="n"/>
      <c r="AI470" s="189" t="n"/>
      <c r="AJ470" s="189" t="n"/>
      <c r="AK470" s="189" t="n"/>
      <c r="AL470" s="189" t="n"/>
      <c r="AM470" s="51" t="inlineStr">
        <is>
          <t>U10θ</t>
        </is>
      </c>
    </row>
    <row r="471">
      <c r="C471" s="189" t="n"/>
      <c r="D471" s="189" t="n"/>
      <c r="E471" s="189" t="n"/>
      <c r="F471" s="189" t="n"/>
      <c r="G471" s="189" t="n"/>
      <c r="H471" s="189" t="n"/>
      <c r="I471" s="189" t="n"/>
      <c r="J471" s="189" t="n"/>
      <c r="K471" s="189" t="n"/>
      <c r="L471" s="189" t="n"/>
      <c r="M471" s="189" t="n"/>
      <c r="N471" s="189" t="n"/>
      <c r="O471" s="189" t="n"/>
      <c r="P471" s="189" t="n"/>
      <c r="Q471" s="189" t="n"/>
      <c r="R471" s="189" t="n"/>
      <c r="S471" s="189" t="n"/>
      <c r="T471" s="189" t="n"/>
      <c r="U471" s="189" t="n"/>
      <c r="V471" s="189" t="n"/>
      <c r="W471" s="189" t="n"/>
      <c r="X471" s="189" t="n"/>
      <c r="Y471" s="189" t="n"/>
      <c r="Z471" s="189" t="n"/>
      <c r="AA471" s="189" t="n"/>
      <c r="AB471" s="189" t="n"/>
      <c r="AC471" s="189" t="n"/>
      <c r="AD471" s="189" t="n"/>
      <c r="AE471" s="189" t="n"/>
      <c r="AF471" s="189" t="n"/>
      <c r="AG471" s="189" t="n"/>
      <c r="AH471" s="189" t="n"/>
      <c r="AI471" s="189" t="n"/>
      <c r="AJ471" s="189" t="n"/>
      <c r="AK471" s="189" t="n"/>
      <c r="AL471" s="189" t="n"/>
      <c r="AM471" s="51" t="inlineStr">
        <is>
          <t>U11X</t>
        </is>
      </c>
    </row>
    <row r="472">
      <c r="C472" s="189" t="n"/>
      <c r="D472" s="189" t="n"/>
      <c r="E472" s="189" t="n"/>
      <c r="F472" s="189" t="n"/>
      <c r="G472" s="189" t="n"/>
      <c r="H472" s="189" t="n"/>
      <c r="I472" s="189" t="n"/>
      <c r="J472" s="189" t="n"/>
      <c r="K472" s="189" t="n"/>
      <c r="L472" s="189" t="n"/>
      <c r="M472" s="189" t="n"/>
      <c r="N472" s="189" t="n"/>
      <c r="O472" s="189" t="n"/>
      <c r="P472" s="189" t="n"/>
      <c r="Q472" s="189" t="n"/>
      <c r="R472" s="189" t="n"/>
      <c r="S472" s="189" t="n"/>
      <c r="T472" s="189" t="n"/>
      <c r="U472" s="189" t="n"/>
      <c r="V472" s="189" t="n"/>
      <c r="W472" s="189" t="n"/>
      <c r="X472" s="189" t="n"/>
      <c r="Y472" s="189" t="n"/>
      <c r="Z472" s="189" t="n"/>
      <c r="AA472" s="189" t="n"/>
      <c r="AB472" s="189" t="n"/>
      <c r="AC472" s="189" t="n"/>
      <c r="AD472" s="189" t="n"/>
      <c r="AE472" s="189" t="n"/>
      <c r="AF472" s="189" t="n"/>
      <c r="AG472" s="189" t="n"/>
      <c r="AH472" s="189" t="n"/>
      <c r="AI472" s="189" t="n"/>
      <c r="AJ472" s="189" t="n"/>
      <c r="AK472" s="189" t="n"/>
      <c r="AL472" s="189" t="n"/>
      <c r="AM472" s="51" t="inlineStr">
        <is>
          <t>U11Y</t>
        </is>
      </c>
    </row>
    <row r="473">
      <c r="C473" s="189" t="n"/>
      <c r="D473" s="189" t="n"/>
      <c r="E473" s="189" t="n"/>
      <c r="F473" s="189" t="n"/>
      <c r="G473" s="189" t="n"/>
      <c r="H473" s="189" t="n"/>
      <c r="I473" s="189" t="n"/>
      <c r="J473" s="189" t="n"/>
      <c r="K473" s="189" t="n"/>
      <c r="L473" s="189" t="n"/>
      <c r="M473" s="189" t="n"/>
      <c r="N473" s="189" t="n"/>
      <c r="O473" s="189" t="n"/>
      <c r="P473" s="189" t="n"/>
      <c r="Q473" s="189" t="n"/>
      <c r="R473" s="189" t="n"/>
      <c r="S473" s="189" t="n"/>
      <c r="T473" s="189" t="n"/>
      <c r="U473" s="189" t="n"/>
      <c r="V473" s="189" t="n"/>
      <c r="W473" s="189" t="n"/>
      <c r="X473" s="189" t="n"/>
      <c r="Y473" s="189" t="n"/>
      <c r="Z473" s="189" t="n"/>
      <c r="AA473" s="189" t="n"/>
      <c r="AB473" s="189" t="n"/>
      <c r="AC473" s="189" t="n"/>
      <c r="AD473" s="189" t="n"/>
      <c r="AE473" s="189" t="n"/>
      <c r="AF473" s="189" t="n"/>
      <c r="AG473" s="189" t="n"/>
      <c r="AH473" s="189" t="n"/>
      <c r="AI473" s="189" t="n"/>
      <c r="AJ473" s="189" t="n"/>
      <c r="AK473" s="189" t="n"/>
      <c r="AL473" s="189" t="n"/>
      <c r="AM473" s="51" t="inlineStr">
        <is>
          <t>U11θ</t>
        </is>
      </c>
    </row>
    <row r="474">
      <c r="C474" s="189" t="n"/>
      <c r="D474" s="189" t="n"/>
      <c r="E474" s="189" t="n"/>
      <c r="F474" s="189" t="n"/>
      <c r="G474" s="189" t="n"/>
      <c r="H474" s="189" t="n"/>
      <c r="I474" s="189" t="n"/>
      <c r="J474" s="189" t="n"/>
      <c r="K474" s="189" t="n"/>
      <c r="L474" s="189" t="n"/>
      <c r="M474" s="189" t="n"/>
      <c r="N474" s="189" t="n"/>
      <c r="O474" s="189" t="n"/>
      <c r="P474" s="189" t="n"/>
      <c r="Q474" s="189" t="n"/>
      <c r="R474" s="189" t="n"/>
      <c r="S474" s="189" t="n"/>
      <c r="T474" s="189" t="n"/>
      <c r="U474" s="189" t="n"/>
      <c r="V474" s="189" t="n"/>
      <c r="W474" s="189" t="n"/>
      <c r="X474" s="189" t="n"/>
      <c r="Y474" s="189" t="n"/>
      <c r="Z474" s="189" t="n"/>
      <c r="AA474" s="189" t="n"/>
      <c r="AB474" s="189" t="n"/>
      <c r="AC474" s="189" t="n"/>
      <c r="AD474" s="189" t="n"/>
      <c r="AE474" s="189" t="n"/>
      <c r="AF474" s="189" t="n"/>
      <c r="AG474" s="189" t="n"/>
      <c r="AH474" s="189" t="n"/>
      <c r="AI474" s="189" t="n"/>
      <c r="AJ474" s="189" t="n"/>
      <c r="AK474" s="189" t="n"/>
      <c r="AL474" s="189" t="n"/>
      <c r="AM474" s="51" t="inlineStr">
        <is>
          <t>U12X</t>
        </is>
      </c>
    </row>
    <row r="475">
      <c r="C475" s="189" t="n"/>
      <c r="D475" s="189" t="n"/>
      <c r="E475" s="189" t="n"/>
      <c r="F475" s="189" t="n"/>
      <c r="G475" s="189" t="n"/>
      <c r="H475" s="189" t="n"/>
      <c r="I475" s="189" t="n"/>
      <c r="J475" s="189" t="n"/>
      <c r="K475" s="189" t="n"/>
      <c r="L475" s="189" t="n"/>
      <c r="M475" s="189" t="n"/>
      <c r="N475" s="189" t="n"/>
      <c r="O475" s="189" t="n"/>
      <c r="P475" s="189" t="n"/>
      <c r="Q475" s="189" t="n"/>
      <c r="R475" s="189" t="n"/>
      <c r="S475" s="189" t="n"/>
      <c r="T475" s="189" t="n"/>
      <c r="U475" s="189" t="n"/>
      <c r="V475" s="189" t="n"/>
      <c r="W475" s="189" t="n"/>
      <c r="X475" s="189" t="n"/>
      <c r="Y475" s="189" t="n"/>
      <c r="Z475" s="189" t="n"/>
      <c r="AA475" s="189" t="n"/>
      <c r="AB475" s="189" t="n"/>
      <c r="AC475" s="189" t="n"/>
      <c r="AD475" s="189" t="n"/>
      <c r="AE475" s="189" t="n"/>
      <c r="AF475" s="189" t="n"/>
      <c r="AG475" s="189" t="n"/>
      <c r="AH475" s="189" t="n"/>
      <c r="AI475" s="189" t="n"/>
      <c r="AJ475" s="189" t="n"/>
      <c r="AK475" s="189" t="n"/>
      <c r="AL475" s="189" t="n"/>
      <c r="AM475" s="51" t="inlineStr">
        <is>
          <t>U12Y</t>
        </is>
      </c>
    </row>
    <row r="476">
      <c r="C476" s="189" t="n"/>
      <c r="D476" s="189" t="n"/>
      <c r="E476" s="189" t="n"/>
      <c r="F476" s="189" t="n"/>
      <c r="G476" s="189" t="n"/>
      <c r="H476" s="189" t="n"/>
      <c r="I476" s="189" t="n"/>
      <c r="J476" s="189" t="n"/>
      <c r="K476" s="189" t="n"/>
      <c r="L476" s="189" t="n"/>
      <c r="M476" s="189" t="n"/>
      <c r="N476" s="189" t="n"/>
      <c r="O476" s="189" t="n"/>
      <c r="P476" s="189" t="n"/>
      <c r="Q476" s="189" t="n"/>
      <c r="R476" s="189" t="n"/>
      <c r="S476" s="189" t="n"/>
      <c r="T476" s="189" t="n"/>
      <c r="U476" s="189" t="n"/>
      <c r="V476" s="189" t="n"/>
      <c r="W476" s="189" t="n"/>
      <c r="X476" s="189" t="n"/>
      <c r="Y476" s="189" t="n"/>
      <c r="Z476" s="189" t="n"/>
      <c r="AA476" s="189" t="n"/>
      <c r="AB476" s="189" t="n"/>
      <c r="AC476" s="189" t="n"/>
      <c r="AD476" s="189" t="n"/>
      <c r="AE476" s="189" t="n"/>
      <c r="AF476" s="189" t="n"/>
      <c r="AG476" s="189" t="n"/>
      <c r="AH476" s="189" t="n"/>
      <c r="AI476" s="189" t="n"/>
      <c r="AJ476" s="189" t="n"/>
      <c r="AK476" s="189" t="n"/>
      <c r="AL476" s="189" t="n"/>
      <c r="AM476" s="51" t="inlineStr">
        <is>
          <t>U12θ</t>
        </is>
      </c>
    </row>
    <row r="479">
      <c r="C479" s="51">
        <f>IF(C37="","", CONCATENATE("U",C37,C$27))</f>
        <v/>
      </c>
      <c r="D479" s="51">
        <f>IF(D37="","", CONCATENATE("U",D37,D$27))</f>
        <v/>
      </c>
      <c r="E479" s="51">
        <f>IF(E37="","", CONCATENATE("U",E37,E$27))</f>
        <v/>
      </c>
      <c r="F479" s="51">
        <f>IF(F37="","", CONCATENATE("U",F37,F$27))</f>
        <v/>
      </c>
      <c r="G479" s="51">
        <f>IF(G37="","", CONCATENATE("U",G37,G$27))</f>
        <v/>
      </c>
      <c r="H479" s="51">
        <f>IF(H37="","", CONCATENATE("U",H37,H$27))</f>
        <v/>
      </c>
    </row>
    <row r="480">
      <c r="C480" s="8">
        <f>IF(I23="", 0, (S23*(J23^2))+(O23*(K23^2)))</f>
        <v/>
      </c>
      <c r="D480" s="189">
        <f>IF(I23="", 0, (S23-O23)*J23*K23)</f>
        <v/>
      </c>
      <c r="E480" s="189">
        <f>IF(I23="", 0, -P23*K23)</f>
        <v/>
      </c>
      <c r="F480" s="189">
        <f>-1*C480</f>
        <v/>
      </c>
      <c r="G480" s="189">
        <f>-1*D480</f>
        <v/>
      </c>
      <c r="H480" s="189">
        <f>E480</f>
        <v/>
      </c>
      <c r="I480" s="51">
        <f>C479</f>
        <v/>
      </c>
    </row>
    <row r="481">
      <c r="C481" s="189">
        <f>D480</f>
        <v/>
      </c>
      <c r="D481" s="8">
        <f>IF(I23="", 0, (S23*(K23^2))+(O23*(J23^2)))</f>
        <v/>
      </c>
      <c r="E481" s="189">
        <f>IF(I23="", 0, P23*J23)</f>
        <v/>
      </c>
      <c r="F481" s="189">
        <f>-1*D480</f>
        <v/>
      </c>
      <c r="G481" s="189">
        <f>-1*D481</f>
        <v/>
      </c>
      <c r="H481" s="189">
        <f>E481</f>
        <v/>
      </c>
      <c r="I481" s="51">
        <f>D479</f>
        <v/>
      </c>
    </row>
    <row r="482">
      <c r="B482" s="118" t="inlineStr">
        <is>
          <t>K10 =</t>
        </is>
      </c>
      <c r="C482" s="189">
        <f>E480</f>
        <v/>
      </c>
      <c r="D482" s="189">
        <f>E481</f>
        <v/>
      </c>
      <c r="E482" s="8">
        <f>IF(I23="", 0, Q23)</f>
        <v/>
      </c>
      <c r="F482" s="189">
        <f>-1*E480</f>
        <v/>
      </c>
      <c r="G482" s="189">
        <f>-1*E481</f>
        <v/>
      </c>
      <c r="H482" s="189">
        <f>IF(I23="", 0, R23)</f>
        <v/>
      </c>
      <c r="I482" s="51">
        <f>E479</f>
        <v/>
      </c>
    </row>
    <row r="483">
      <c r="C483" s="189">
        <f>F480</f>
        <v/>
      </c>
      <c r="D483" s="189">
        <f>F481</f>
        <v/>
      </c>
      <c r="E483" s="189">
        <f>F482</f>
        <v/>
      </c>
      <c r="F483" s="8">
        <f>C480</f>
        <v/>
      </c>
      <c r="G483" s="189">
        <f>D480</f>
        <v/>
      </c>
      <c r="H483" s="189">
        <f>-1*E480</f>
        <v/>
      </c>
      <c r="I483" s="51">
        <f>F479</f>
        <v/>
      </c>
    </row>
    <row r="484">
      <c r="C484" s="189">
        <f>G480</f>
        <v/>
      </c>
      <c r="D484" s="189">
        <f>G481</f>
        <v/>
      </c>
      <c r="E484" s="189">
        <f>G482</f>
        <v/>
      </c>
      <c r="F484" s="189">
        <f>G483</f>
        <v/>
      </c>
      <c r="G484" s="8">
        <f>D481</f>
        <v/>
      </c>
      <c r="H484" s="189">
        <f>-1*E481</f>
        <v/>
      </c>
      <c r="I484" s="51">
        <f>G479</f>
        <v/>
      </c>
    </row>
    <row r="485">
      <c r="C485" s="189">
        <f>H480</f>
        <v/>
      </c>
      <c r="D485" s="189">
        <f>H481</f>
        <v/>
      </c>
      <c r="E485" s="189">
        <f>H482</f>
        <v/>
      </c>
      <c r="F485" s="189">
        <f>H483</f>
        <v/>
      </c>
      <c r="G485" s="189">
        <f>H484</f>
        <v/>
      </c>
      <c r="H485" s="8">
        <f>E482</f>
        <v/>
      </c>
      <c r="I485" s="51">
        <f>H479</f>
        <v/>
      </c>
    </row>
    <row r="487">
      <c r="C487" s="51" t="inlineStr">
        <is>
          <t>U1X</t>
        </is>
      </c>
      <c r="D487" s="51" t="inlineStr">
        <is>
          <t>U1Y</t>
        </is>
      </c>
      <c r="E487" s="51" t="inlineStr">
        <is>
          <t>U1θ</t>
        </is>
      </c>
      <c r="F487" s="51" t="inlineStr">
        <is>
          <t>U2X</t>
        </is>
      </c>
      <c r="G487" s="51" t="inlineStr">
        <is>
          <t>U2Y</t>
        </is>
      </c>
      <c r="H487" s="51" t="inlineStr">
        <is>
          <t>U2θ</t>
        </is>
      </c>
      <c r="I487" s="51" t="inlineStr">
        <is>
          <t>U3X</t>
        </is>
      </c>
      <c r="J487" s="51" t="inlineStr">
        <is>
          <t>U3Y</t>
        </is>
      </c>
      <c r="K487" s="51" t="inlineStr">
        <is>
          <t>U3θ</t>
        </is>
      </c>
      <c r="L487" s="51" t="inlineStr">
        <is>
          <t>U4X</t>
        </is>
      </c>
      <c r="M487" s="51" t="inlineStr">
        <is>
          <t>U4Y</t>
        </is>
      </c>
      <c r="N487" s="51" t="inlineStr">
        <is>
          <t>U4θ</t>
        </is>
      </c>
      <c r="O487" s="51" t="inlineStr">
        <is>
          <t>U5X</t>
        </is>
      </c>
      <c r="P487" s="51" t="inlineStr">
        <is>
          <t>U5Y</t>
        </is>
      </c>
      <c r="Q487" s="51" t="inlineStr">
        <is>
          <t>U5θ</t>
        </is>
      </c>
      <c r="R487" s="51" t="inlineStr">
        <is>
          <t>U6X</t>
        </is>
      </c>
      <c r="S487" s="51" t="inlineStr">
        <is>
          <t>U6Y</t>
        </is>
      </c>
      <c r="T487" s="51" t="inlineStr">
        <is>
          <t>U6θ</t>
        </is>
      </c>
      <c r="U487" s="51" t="inlineStr">
        <is>
          <t>U7X</t>
        </is>
      </c>
      <c r="V487" s="51" t="inlineStr">
        <is>
          <t>U7Y</t>
        </is>
      </c>
      <c r="W487" s="51" t="inlineStr">
        <is>
          <t>U7θ</t>
        </is>
      </c>
      <c r="X487" s="51" t="inlineStr">
        <is>
          <t>U8X</t>
        </is>
      </c>
      <c r="Y487" s="51" t="inlineStr">
        <is>
          <t>U8Y</t>
        </is>
      </c>
      <c r="Z487" s="51" t="inlineStr">
        <is>
          <t>U8θ</t>
        </is>
      </c>
      <c r="AA487" s="51" t="inlineStr">
        <is>
          <t>U9X</t>
        </is>
      </c>
      <c r="AB487" s="51" t="inlineStr">
        <is>
          <t>U9Y</t>
        </is>
      </c>
      <c r="AC487" s="51" t="inlineStr">
        <is>
          <t>U9θ</t>
        </is>
      </c>
      <c r="AD487" s="51" t="inlineStr">
        <is>
          <t>U10X</t>
        </is>
      </c>
      <c r="AE487" s="51" t="inlineStr">
        <is>
          <t>U10Y</t>
        </is>
      </c>
      <c r="AF487" s="51" t="inlineStr">
        <is>
          <t>U10θ</t>
        </is>
      </c>
      <c r="AG487" s="51" t="inlineStr">
        <is>
          <t>U11X</t>
        </is>
      </c>
      <c r="AH487" s="51" t="inlineStr">
        <is>
          <t>U11Y</t>
        </is>
      </c>
      <c r="AI487" s="51" t="inlineStr">
        <is>
          <t>U11θ</t>
        </is>
      </c>
      <c r="AJ487" s="51" t="inlineStr">
        <is>
          <t>U12X</t>
        </is>
      </c>
      <c r="AK487" s="51" t="inlineStr">
        <is>
          <t>U12Y</t>
        </is>
      </c>
      <c r="AL487" s="51" t="inlineStr">
        <is>
          <t>U12θ</t>
        </is>
      </c>
    </row>
    <row r="488">
      <c r="C488" s="189" t="n"/>
      <c r="D488" s="189" t="n"/>
      <c r="E488" s="189" t="n"/>
      <c r="F488" s="189" t="n"/>
      <c r="G488" s="189" t="n"/>
      <c r="H488" s="189" t="n"/>
      <c r="I488" s="189" t="n"/>
      <c r="J488" s="189" t="n"/>
      <c r="K488" s="189" t="n"/>
      <c r="L488" s="189" t="n"/>
      <c r="M488" s="189" t="n"/>
      <c r="N488" s="189" t="n"/>
      <c r="O488" s="189" t="n"/>
      <c r="P488" s="189" t="n"/>
      <c r="Q488" s="189" t="n"/>
      <c r="R488" s="189" t="n"/>
      <c r="S488" s="189" t="n"/>
      <c r="T488" s="189" t="n"/>
      <c r="U488" s="189" t="n"/>
      <c r="V488" s="189" t="n"/>
      <c r="W488" s="189" t="n"/>
      <c r="X488" s="189" t="n"/>
      <c r="Y488" s="189" t="n"/>
      <c r="Z488" s="189" t="n"/>
      <c r="AA488" s="189" t="n"/>
      <c r="AB488" s="189" t="n"/>
      <c r="AC488" s="189" t="n"/>
      <c r="AD488" s="189" t="n"/>
      <c r="AE488" s="189" t="n"/>
      <c r="AF488" s="189" t="n"/>
      <c r="AG488" s="189" t="n"/>
      <c r="AH488" s="189" t="n"/>
      <c r="AI488" s="189" t="n"/>
      <c r="AJ488" s="189" t="n"/>
      <c r="AK488" s="189" t="n"/>
      <c r="AL488" s="189" t="n"/>
      <c r="AM488" s="51" t="inlineStr">
        <is>
          <t>U1X</t>
        </is>
      </c>
    </row>
    <row r="489">
      <c r="C489" s="189" t="n"/>
      <c r="D489" s="189" t="n"/>
      <c r="E489" s="189" t="n"/>
      <c r="F489" s="189" t="n"/>
      <c r="G489" s="189" t="n"/>
      <c r="H489" s="189" t="n"/>
      <c r="I489" s="189" t="n"/>
      <c r="J489" s="189" t="n"/>
      <c r="K489" s="189" t="n"/>
      <c r="L489" s="189" t="n"/>
      <c r="M489" s="189" t="n"/>
      <c r="N489" s="189" t="n"/>
      <c r="O489" s="189" t="n"/>
      <c r="P489" s="189" t="n"/>
      <c r="Q489" s="189" t="n"/>
      <c r="R489" s="189" t="n"/>
      <c r="S489" s="189" t="n"/>
      <c r="T489" s="189" t="n"/>
      <c r="U489" s="189" t="n"/>
      <c r="V489" s="189" t="n"/>
      <c r="W489" s="189" t="n"/>
      <c r="X489" s="189" t="n"/>
      <c r="Y489" s="189" t="n"/>
      <c r="Z489" s="189" t="n"/>
      <c r="AA489" s="189" t="n"/>
      <c r="AB489" s="189" t="n"/>
      <c r="AC489" s="189" t="n"/>
      <c r="AD489" s="189" t="n"/>
      <c r="AE489" s="189" t="n"/>
      <c r="AF489" s="189" t="n"/>
      <c r="AG489" s="189" t="n"/>
      <c r="AH489" s="189" t="n"/>
      <c r="AI489" s="189" t="n"/>
      <c r="AJ489" s="189" t="n"/>
      <c r="AK489" s="189" t="n"/>
      <c r="AL489" s="189" t="n"/>
      <c r="AM489" s="51" t="inlineStr">
        <is>
          <t>U1Y</t>
        </is>
      </c>
    </row>
    <row r="490">
      <c r="C490" s="189" t="n"/>
      <c r="D490" s="189" t="n"/>
      <c r="E490" s="189" t="n"/>
      <c r="F490" s="189" t="n"/>
      <c r="G490" s="189" t="n"/>
      <c r="H490" s="189" t="n"/>
      <c r="I490" s="189" t="n"/>
      <c r="J490" s="189" t="n"/>
      <c r="K490" s="189" t="n"/>
      <c r="L490" s="189" t="n"/>
      <c r="M490" s="189" t="n"/>
      <c r="N490" s="189" t="n"/>
      <c r="O490" s="189" t="n"/>
      <c r="P490" s="189" t="n"/>
      <c r="Q490" s="189" t="n"/>
      <c r="R490" s="189" t="n"/>
      <c r="S490" s="189" t="n"/>
      <c r="T490" s="189" t="n"/>
      <c r="U490" s="189" t="n"/>
      <c r="V490" s="189" t="n"/>
      <c r="W490" s="189" t="n"/>
      <c r="X490" s="189" t="n"/>
      <c r="Y490" s="189" t="n"/>
      <c r="Z490" s="189" t="n"/>
      <c r="AA490" s="189" t="n"/>
      <c r="AB490" s="189" t="n"/>
      <c r="AC490" s="189" t="n"/>
      <c r="AD490" s="189" t="n"/>
      <c r="AE490" s="189" t="n"/>
      <c r="AF490" s="189" t="n"/>
      <c r="AG490" s="189" t="n"/>
      <c r="AH490" s="189" t="n"/>
      <c r="AI490" s="189" t="n"/>
      <c r="AJ490" s="189" t="n"/>
      <c r="AK490" s="189" t="n"/>
      <c r="AL490" s="189" t="n"/>
      <c r="AM490" s="51" t="inlineStr">
        <is>
          <t>U1θ</t>
        </is>
      </c>
    </row>
    <row r="491">
      <c r="C491" s="189" t="n"/>
      <c r="D491" s="189" t="n"/>
      <c r="E491" s="189" t="n"/>
      <c r="F491" s="189" t="n"/>
      <c r="G491" s="189" t="n"/>
      <c r="H491" s="189" t="n"/>
      <c r="I491" s="189" t="n"/>
      <c r="J491" s="189" t="n"/>
      <c r="K491" s="189" t="n"/>
      <c r="L491" s="189" t="n"/>
      <c r="M491" s="189" t="n"/>
      <c r="N491" s="189" t="n"/>
      <c r="O491" s="189" t="n"/>
      <c r="P491" s="189" t="n"/>
      <c r="Q491" s="189" t="n"/>
      <c r="R491" s="189" t="n"/>
      <c r="S491" s="189" t="n"/>
      <c r="T491" s="189" t="n"/>
      <c r="U491" s="189" t="n"/>
      <c r="V491" s="189" t="n"/>
      <c r="W491" s="189" t="n"/>
      <c r="X491" s="189" t="n"/>
      <c r="Y491" s="189" t="n"/>
      <c r="Z491" s="189" t="n"/>
      <c r="AA491" s="189" t="n"/>
      <c r="AB491" s="189" t="n"/>
      <c r="AC491" s="189" t="n"/>
      <c r="AD491" s="189" t="n"/>
      <c r="AE491" s="189" t="n"/>
      <c r="AF491" s="189" t="n"/>
      <c r="AG491" s="189" t="n"/>
      <c r="AH491" s="189" t="n"/>
      <c r="AI491" s="189" t="n"/>
      <c r="AJ491" s="189" t="n"/>
      <c r="AK491" s="189" t="n"/>
      <c r="AL491" s="189" t="n"/>
      <c r="AM491" s="51" t="inlineStr">
        <is>
          <t>U2X</t>
        </is>
      </c>
    </row>
    <row r="492">
      <c r="C492" s="189" t="n"/>
      <c r="D492" s="189" t="n"/>
      <c r="E492" s="189" t="n"/>
      <c r="F492" s="189" t="n"/>
      <c r="G492" s="189" t="n"/>
      <c r="H492" s="189" t="n"/>
      <c r="I492" s="189" t="n"/>
      <c r="J492" s="189" t="n"/>
      <c r="K492" s="189" t="n"/>
      <c r="L492" s="189" t="n"/>
      <c r="M492" s="189" t="n"/>
      <c r="N492" s="189" t="n"/>
      <c r="O492" s="189" t="n"/>
      <c r="P492" s="189" t="n"/>
      <c r="Q492" s="189" t="n"/>
      <c r="R492" s="189" t="n"/>
      <c r="S492" s="189" t="n"/>
      <c r="T492" s="189" t="n"/>
      <c r="U492" s="189" t="n"/>
      <c r="V492" s="189" t="n"/>
      <c r="W492" s="189" t="n"/>
      <c r="X492" s="189" t="n"/>
      <c r="Y492" s="189" t="n"/>
      <c r="Z492" s="189" t="n"/>
      <c r="AA492" s="189" t="n"/>
      <c r="AB492" s="189" t="n"/>
      <c r="AC492" s="189" t="n"/>
      <c r="AD492" s="189" t="n"/>
      <c r="AE492" s="189" t="n"/>
      <c r="AF492" s="189" t="n"/>
      <c r="AG492" s="189" t="n"/>
      <c r="AH492" s="189" t="n"/>
      <c r="AI492" s="189" t="n"/>
      <c r="AJ492" s="189" t="n"/>
      <c r="AK492" s="189" t="n"/>
      <c r="AL492" s="189" t="n"/>
      <c r="AM492" s="51" t="inlineStr">
        <is>
          <t>U2Y</t>
        </is>
      </c>
    </row>
    <row r="493">
      <c r="C493" s="189" t="n"/>
      <c r="D493" s="189" t="n"/>
      <c r="E493" s="189" t="n"/>
      <c r="F493" s="189" t="n"/>
      <c r="G493" s="189" t="n"/>
      <c r="H493" s="189" t="n"/>
      <c r="I493" s="189" t="n"/>
      <c r="J493" s="189" t="n"/>
      <c r="K493" s="189" t="n"/>
      <c r="L493" s="189" t="n"/>
      <c r="M493" s="189" t="n"/>
      <c r="N493" s="189" t="n"/>
      <c r="O493" s="189" t="n"/>
      <c r="P493" s="189" t="n"/>
      <c r="Q493" s="189" t="n"/>
      <c r="R493" s="189" t="n"/>
      <c r="S493" s="189" t="n"/>
      <c r="T493" s="189" t="n"/>
      <c r="U493" s="189" t="n"/>
      <c r="V493" s="189" t="n"/>
      <c r="W493" s="189" t="n"/>
      <c r="X493" s="189" t="n"/>
      <c r="Y493" s="189" t="n"/>
      <c r="Z493" s="189" t="n"/>
      <c r="AA493" s="189" t="n"/>
      <c r="AB493" s="189" t="n"/>
      <c r="AC493" s="189" t="n"/>
      <c r="AD493" s="189" t="n"/>
      <c r="AE493" s="189" t="n"/>
      <c r="AF493" s="189" t="n"/>
      <c r="AG493" s="189" t="n"/>
      <c r="AH493" s="189" t="n"/>
      <c r="AI493" s="189" t="n"/>
      <c r="AJ493" s="189" t="n"/>
      <c r="AK493" s="189" t="n"/>
      <c r="AL493" s="189" t="n"/>
      <c r="AM493" s="51" t="inlineStr">
        <is>
          <t>U2θ</t>
        </is>
      </c>
    </row>
    <row r="494">
      <c r="C494" s="189" t="n"/>
      <c r="D494" s="189" t="n"/>
      <c r="E494" s="189" t="n"/>
      <c r="F494" s="189" t="n"/>
      <c r="G494" s="189" t="n"/>
      <c r="H494" s="189" t="n"/>
      <c r="I494" s="189" t="n"/>
      <c r="J494" s="189" t="n"/>
      <c r="K494" s="189" t="n"/>
      <c r="L494" s="189" t="n"/>
      <c r="M494" s="189" t="n"/>
      <c r="N494" s="189" t="n"/>
      <c r="O494" s="189" t="n"/>
      <c r="P494" s="189" t="n"/>
      <c r="Q494" s="189" t="n"/>
      <c r="R494" s="189" t="n"/>
      <c r="S494" s="189" t="n"/>
      <c r="T494" s="189" t="n"/>
      <c r="U494" s="189" t="n"/>
      <c r="V494" s="189" t="n"/>
      <c r="W494" s="189" t="n"/>
      <c r="X494" s="189" t="n"/>
      <c r="Y494" s="189" t="n"/>
      <c r="Z494" s="189" t="n"/>
      <c r="AA494" s="189" t="n"/>
      <c r="AB494" s="189" t="n"/>
      <c r="AC494" s="189" t="n"/>
      <c r="AD494" s="189" t="n"/>
      <c r="AE494" s="189" t="n"/>
      <c r="AF494" s="189" t="n"/>
      <c r="AG494" s="189" t="n"/>
      <c r="AH494" s="189" t="n"/>
      <c r="AI494" s="189" t="n"/>
      <c r="AJ494" s="189" t="n"/>
      <c r="AK494" s="189" t="n"/>
      <c r="AL494" s="189" t="n"/>
      <c r="AM494" s="51" t="inlineStr">
        <is>
          <t>U3X</t>
        </is>
      </c>
    </row>
    <row r="495">
      <c r="C495" s="189" t="n"/>
      <c r="D495" s="189" t="n"/>
      <c r="E495" s="189" t="n"/>
      <c r="F495" s="189" t="n"/>
      <c r="G495" s="189" t="n"/>
      <c r="H495" s="189" t="n"/>
      <c r="I495" s="189" t="n"/>
      <c r="J495" s="189" t="n"/>
      <c r="K495" s="189" t="n"/>
      <c r="L495" s="189" t="n"/>
      <c r="M495" s="189" t="n"/>
      <c r="N495" s="189" t="n"/>
      <c r="O495" s="189" t="n"/>
      <c r="P495" s="189" t="n"/>
      <c r="Q495" s="189" t="n"/>
      <c r="R495" s="189" t="n"/>
      <c r="S495" s="189" t="n"/>
      <c r="T495" s="189" t="n"/>
      <c r="U495" s="189" t="n"/>
      <c r="V495" s="189" t="n"/>
      <c r="W495" s="189" t="n"/>
      <c r="X495" s="189" t="n"/>
      <c r="Y495" s="189" t="n"/>
      <c r="Z495" s="189" t="n"/>
      <c r="AA495" s="189" t="n"/>
      <c r="AB495" s="189" t="n"/>
      <c r="AC495" s="189" t="n"/>
      <c r="AD495" s="189" t="n"/>
      <c r="AE495" s="189" t="n"/>
      <c r="AF495" s="189" t="n"/>
      <c r="AG495" s="189" t="n"/>
      <c r="AH495" s="189" t="n"/>
      <c r="AI495" s="189" t="n"/>
      <c r="AJ495" s="189" t="n"/>
      <c r="AK495" s="189" t="n"/>
      <c r="AL495" s="189" t="n"/>
      <c r="AM495" s="51" t="inlineStr">
        <is>
          <t>U3Y</t>
        </is>
      </c>
    </row>
    <row r="496">
      <c r="C496" s="189" t="n"/>
      <c r="D496" s="189" t="n"/>
      <c r="E496" s="189" t="n"/>
      <c r="F496" s="189" t="n"/>
      <c r="G496" s="189" t="n"/>
      <c r="H496" s="189" t="n"/>
      <c r="I496" s="189" t="n"/>
      <c r="J496" s="189" t="n"/>
      <c r="K496" s="189" t="n"/>
      <c r="L496" s="189" t="n"/>
      <c r="M496" s="189" t="n"/>
      <c r="N496" s="189" t="n"/>
      <c r="O496" s="189" t="n"/>
      <c r="P496" s="189" t="n"/>
      <c r="Q496" s="189" t="n"/>
      <c r="R496" s="189" t="n"/>
      <c r="S496" s="189" t="n"/>
      <c r="T496" s="189" t="n"/>
      <c r="U496" s="189" t="n"/>
      <c r="V496" s="189" t="n"/>
      <c r="W496" s="189" t="n"/>
      <c r="X496" s="189" t="n"/>
      <c r="Y496" s="189" t="n"/>
      <c r="Z496" s="189" t="n"/>
      <c r="AA496" s="189" t="n"/>
      <c r="AB496" s="189" t="n"/>
      <c r="AC496" s="189" t="n"/>
      <c r="AD496" s="189" t="n"/>
      <c r="AE496" s="189" t="n"/>
      <c r="AF496" s="189" t="n"/>
      <c r="AG496" s="189" t="n"/>
      <c r="AH496" s="189" t="n"/>
      <c r="AI496" s="189" t="n"/>
      <c r="AJ496" s="189" t="n"/>
      <c r="AK496" s="189" t="n"/>
      <c r="AL496" s="189" t="n"/>
      <c r="AM496" s="51" t="inlineStr">
        <is>
          <t>U3θ</t>
        </is>
      </c>
    </row>
    <row r="497">
      <c r="C497" s="189" t="n"/>
      <c r="D497" s="189" t="n"/>
      <c r="E497" s="189" t="n"/>
      <c r="F497" s="189" t="n"/>
      <c r="G497" s="189" t="n"/>
      <c r="H497" s="189" t="n"/>
      <c r="I497" s="189" t="n"/>
      <c r="J497" s="189" t="n"/>
      <c r="K497" s="189" t="n"/>
      <c r="L497" s="189" t="n"/>
      <c r="M497" s="189" t="n"/>
      <c r="N497" s="189" t="n"/>
      <c r="O497" s="189" t="n"/>
      <c r="P497" s="189" t="n"/>
      <c r="Q497" s="189" t="n"/>
      <c r="R497" s="189" t="n"/>
      <c r="S497" s="189" t="n"/>
      <c r="T497" s="189" t="n"/>
      <c r="U497" s="189" t="n"/>
      <c r="V497" s="189" t="n"/>
      <c r="W497" s="189" t="n"/>
      <c r="X497" s="189" t="n"/>
      <c r="Y497" s="189" t="n"/>
      <c r="Z497" s="189" t="n"/>
      <c r="AA497" s="189" t="n"/>
      <c r="AB497" s="189" t="n"/>
      <c r="AC497" s="189" t="n"/>
      <c r="AD497" s="189" t="n"/>
      <c r="AE497" s="189" t="n"/>
      <c r="AF497" s="189" t="n"/>
      <c r="AG497" s="189" t="n"/>
      <c r="AH497" s="189" t="n"/>
      <c r="AI497" s="189" t="n"/>
      <c r="AJ497" s="189" t="n"/>
      <c r="AK497" s="189" t="n"/>
      <c r="AL497" s="189" t="n"/>
      <c r="AM497" s="51" t="inlineStr">
        <is>
          <t>U4X</t>
        </is>
      </c>
    </row>
    <row r="498">
      <c r="C498" s="189" t="n"/>
      <c r="D498" s="189" t="n"/>
      <c r="E498" s="189" t="n"/>
      <c r="F498" s="189" t="n"/>
      <c r="G498" s="189" t="n"/>
      <c r="H498" s="189" t="n"/>
      <c r="I498" s="189" t="n"/>
      <c r="J498" s="189" t="n"/>
      <c r="K498" s="189" t="n"/>
      <c r="L498" s="189" t="n"/>
      <c r="M498" s="189" t="n"/>
      <c r="N498" s="189" t="n"/>
      <c r="O498" s="189" t="n"/>
      <c r="P498" s="189" t="n"/>
      <c r="Q498" s="189" t="n"/>
      <c r="R498" s="189" t="n"/>
      <c r="S498" s="189" t="n"/>
      <c r="T498" s="189" t="n"/>
      <c r="U498" s="189" t="n"/>
      <c r="V498" s="189" t="n"/>
      <c r="W498" s="189" t="n"/>
      <c r="X498" s="189" t="n"/>
      <c r="Y498" s="189" t="n"/>
      <c r="Z498" s="189" t="n"/>
      <c r="AA498" s="189" t="n"/>
      <c r="AB498" s="189" t="n"/>
      <c r="AC498" s="189" t="n"/>
      <c r="AD498" s="189" t="n"/>
      <c r="AE498" s="189" t="n"/>
      <c r="AF498" s="189" t="n"/>
      <c r="AG498" s="189" t="n"/>
      <c r="AH498" s="189" t="n"/>
      <c r="AI498" s="189" t="n"/>
      <c r="AJ498" s="189" t="n"/>
      <c r="AK498" s="189" t="n"/>
      <c r="AL498" s="189" t="n"/>
      <c r="AM498" s="51" t="inlineStr">
        <is>
          <t>U4Y</t>
        </is>
      </c>
    </row>
    <row r="499">
      <c r="C499" s="189" t="n"/>
      <c r="D499" s="189" t="n"/>
      <c r="E499" s="189" t="n"/>
      <c r="F499" s="189" t="n"/>
      <c r="G499" s="189" t="n"/>
      <c r="H499" s="189" t="n"/>
      <c r="I499" s="189" t="n"/>
      <c r="J499" s="189" t="n"/>
      <c r="K499" s="189" t="n"/>
      <c r="L499" s="189" t="n"/>
      <c r="M499" s="189" t="n"/>
      <c r="N499" s="189" t="n"/>
      <c r="O499" s="189" t="n"/>
      <c r="P499" s="189" t="n"/>
      <c r="Q499" s="189" t="n"/>
      <c r="R499" s="189" t="n"/>
      <c r="S499" s="189" t="n"/>
      <c r="T499" s="189" t="n"/>
      <c r="U499" s="189" t="n"/>
      <c r="V499" s="189" t="n"/>
      <c r="W499" s="189" t="n"/>
      <c r="X499" s="189" t="n"/>
      <c r="Y499" s="189" t="n"/>
      <c r="Z499" s="189" t="n"/>
      <c r="AA499" s="189" t="n"/>
      <c r="AB499" s="189" t="n"/>
      <c r="AC499" s="189" t="n"/>
      <c r="AD499" s="189" t="n"/>
      <c r="AE499" s="189" t="n"/>
      <c r="AF499" s="189" t="n"/>
      <c r="AG499" s="189" t="n"/>
      <c r="AH499" s="189" t="n"/>
      <c r="AI499" s="189" t="n"/>
      <c r="AJ499" s="189" t="n"/>
      <c r="AK499" s="189" t="n"/>
      <c r="AL499" s="189" t="n"/>
      <c r="AM499" s="51" t="inlineStr">
        <is>
          <t>U4θ</t>
        </is>
      </c>
    </row>
    <row r="500">
      <c r="C500" s="189" t="n"/>
      <c r="D500" s="189" t="n"/>
      <c r="E500" s="189" t="n"/>
      <c r="F500" s="189" t="n"/>
      <c r="G500" s="189" t="n"/>
      <c r="H500" s="189" t="n"/>
      <c r="I500" s="189" t="n"/>
      <c r="J500" s="189" t="n"/>
      <c r="K500" s="189" t="n"/>
      <c r="L500" s="189" t="n"/>
      <c r="M500" s="189" t="n"/>
      <c r="N500" s="189" t="n"/>
      <c r="O500" s="189" t="n"/>
      <c r="P500" s="189" t="n"/>
      <c r="Q500" s="189" t="n"/>
      <c r="R500" s="189" t="n"/>
      <c r="S500" s="189" t="n"/>
      <c r="T500" s="189" t="n"/>
      <c r="U500" s="189" t="n"/>
      <c r="V500" s="189" t="n"/>
      <c r="W500" s="189" t="n"/>
      <c r="X500" s="189" t="n"/>
      <c r="Y500" s="189" t="n"/>
      <c r="Z500" s="189" t="n"/>
      <c r="AA500" s="189" t="n"/>
      <c r="AB500" s="189" t="n"/>
      <c r="AC500" s="189" t="n"/>
      <c r="AD500" s="189" t="n"/>
      <c r="AE500" s="189" t="n"/>
      <c r="AF500" s="189" t="n"/>
      <c r="AG500" s="189" t="n"/>
      <c r="AH500" s="189" t="n"/>
      <c r="AI500" s="189" t="n"/>
      <c r="AJ500" s="189" t="n"/>
      <c r="AK500" s="189" t="n"/>
      <c r="AL500" s="189" t="n"/>
      <c r="AM500" s="51" t="inlineStr">
        <is>
          <t>U5X</t>
        </is>
      </c>
    </row>
    <row r="501">
      <c r="C501" s="189" t="n"/>
      <c r="D501" s="189" t="n"/>
      <c r="E501" s="189" t="n"/>
      <c r="F501" s="189" t="n"/>
      <c r="G501" s="189" t="n"/>
      <c r="H501" s="189" t="n"/>
      <c r="I501" s="189" t="n"/>
      <c r="J501" s="189" t="n"/>
      <c r="K501" s="189" t="n"/>
      <c r="L501" s="189" t="n"/>
      <c r="M501" s="189" t="n"/>
      <c r="N501" s="189" t="n"/>
      <c r="O501" s="189" t="n"/>
      <c r="P501" s="189" t="n"/>
      <c r="Q501" s="189" t="n"/>
      <c r="R501" s="189" t="n"/>
      <c r="S501" s="189" t="n"/>
      <c r="T501" s="189" t="n"/>
      <c r="U501" s="189" t="n"/>
      <c r="V501" s="189" t="n"/>
      <c r="W501" s="189" t="n"/>
      <c r="X501" s="189" t="n"/>
      <c r="Y501" s="189" t="n"/>
      <c r="Z501" s="189" t="n"/>
      <c r="AA501" s="189" t="n"/>
      <c r="AB501" s="189" t="n"/>
      <c r="AC501" s="189" t="n"/>
      <c r="AD501" s="189" t="n"/>
      <c r="AE501" s="189" t="n"/>
      <c r="AF501" s="189" t="n"/>
      <c r="AG501" s="189" t="n"/>
      <c r="AH501" s="189" t="n"/>
      <c r="AI501" s="189" t="n"/>
      <c r="AJ501" s="189" t="n"/>
      <c r="AK501" s="189" t="n"/>
      <c r="AL501" s="189" t="n"/>
      <c r="AM501" s="51" t="inlineStr">
        <is>
          <t>U5Y</t>
        </is>
      </c>
    </row>
    <row r="502">
      <c r="C502" s="189" t="n"/>
      <c r="D502" s="189" t="n"/>
      <c r="E502" s="189" t="n"/>
      <c r="F502" s="189" t="n"/>
      <c r="G502" s="189" t="n"/>
      <c r="H502" s="189" t="n"/>
      <c r="I502" s="189" t="n"/>
      <c r="J502" s="189" t="n"/>
      <c r="K502" s="189" t="n"/>
      <c r="L502" s="189" t="n"/>
      <c r="M502" s="189" t="n"/>
      <c r="N502" s="189" t="n"/>
      <c r="O502" s="189" t="n"/>
      <c r="P502" s="189" t="n"/>
      <c r="Q502" s="189" t="n"/>
      <c r="R502" s="189" t="n"/>
      <c r="S502" s="189" t="n"/>
      <c r="T502" s="189" t="n"/>
      <c r="U502" s="189" t="n"/>
      <c r="V502" s="189" t="n"/>
      <c r="W502" s="189" t="n"/>
      <c r="X502" s="189" t="n"/>
      <c r="Y502" s="189" t="n"/>
      <c r="Z502" s="189" t="n"/>
      <c r="AA502" s="189" t="n"/>
      <c r="AB502" s="189" t="n"/>
      <c r="AC502" s="189" t="n"/>
      <c r="AD502" s="189" t="n"/>
      <c r="AE502" s="189" t="n"/>
      <c r="AF502" s="189" t="n"/>
      <c r="AG502" s="189" t="n"/>
      <c r="AH502" s="189" t="n"/>
      <c r="AI502" s="189" t="n"/>
      <c r="AJ502" s="189" t="n"/>
      <c r="AK502" s="189" t="n"/>
      <c r="AL502" s="189" t="n"/>
      <c r="AM502" s="51" t="inlineStr">
        <is>
          <t>U5θ</t>
        </is>
      </c>
    </row>
    <row r="503">
      <c r="C503" s="189" t="n"/>
      <c r="D503" s="189" t="n"/>
      <c r="E503" s="189" t="n"/>
      <c r="F503" s="189" t="n"/>
      <c r="G503" s="189" t="n"/>
      <c r="H503" s="189" t="n"/>
      <c r="I503" s="189" t="n"/>
      <c r="J503" s="189" t="n"/>
      <c r="K503" s="189" t="n"/>
      <c r="L503" s="189" t="n"/>
      <c r="M503" s="189" t="n"/>
      <c r="N503" s="189" t="n"/>
      <c r="O503" s="189" t="n"/>
      <c r="P503" s="189" t="n"/>
      <c r="Q503" s="189" t="n"/>
      <c r="R503" s="189" t="n"/>
      <c r="S503" s="189" t="n"/>
      <c r="T503" s="189" t="n"/>
      <c r="U503" s="189" t="n"/>
      <c r="V503" s="189" t="n"/>
      <c r="W503" s="189" t="n"/>
      <c r="X503" s="189" t="n"/>
      <c r="Y503" s="189" t="n"/>
      <c r="Z503" s="189" t="n"/>
      <c r="AA503" s="189" t="n"/>
      <c r="AB503" s="189" t="n"/>
      <c r="AC503" s="189" t="n"/>
      <c r="AD503" s="189" t="n"/>
      <c r="AE503" s="189" t="n"/>
      <c r="AF503" s="189" t="n"/>
      <c r="AG503" s="189" t="n"/>
      <c r="AH503" s="189" t="n"/>
      <c r="AI503" s="189" t="n"/>
      <c r="AJ503" s="189" t="n"/>
      <c r="AK503" s="189" t="n"/>
      <c r="AL503" s="189" t="n"/>
      <c r="AM503" s="51" t="inlineStr">
        <is>
          <t>U6X</t>
        </is>
      </c>
    </row>
    <row r="504">
      <c r="C504" s="189" t="n"/>
      <c r="D504" s="189" t="n"/>
      <c r="E504" s="189" t="n"/>
      <c r="F504" s="189" t="n"/>
      <c r="G504" s="189" t="n"/>
      <c r="H504" s="189" t="n"/>
      <c r="I504" s="189" t="n"/>
      <c r="J504" s="189" t="n"/>
      <c r="K504" s="189" t="n"/>
      <c r="L504" s="189" t="n"/>
      <c r="M504" s="189" t="n"/>
      <c r="N504" s="189" t="n"/>
      <c r="O504" s="189" t="n"/>
      <c r="P504" s="189" t="n"/>
      <c r="Q504" s="189" t="n"/>
      <c r="R504" s="189" t="n"/>
      <c r="S504" s="189" t="n"/>
      <c r="T504" s="189" t="n"/>
      <c r="U504" s="189" t="n"/>
      <c r="V504" s="189" t="n"/>
      <c r="W504" s="189" t="n"/>
      <c r="X504" s="189" t="n"/>
      <c r="Y504" s="189" t="n"/>
      <c r="Z504" s="189" t="n"/>
      <c r="AA504" s="189" t="n"/>
      <c r="AB504" s="189" t="n"/>
      <c r="AC504" s="189" t="n"/>
      <c r="AD504" s="189" t="n"/>
      <c r="AE504" s="189" t="n"/>
      <c r="AF504" s="189" t="n"/>
      <c r="AG504" s="189" t="n"/>
      <c r="AH504" s="189" t="n"/>
      <c r="AI504" s="189" t="n"/>
      <c r="AJ504" s="189" t="n"/>
      <c r="AK504" s="189" t="n"/>
      <c r="AL504" s="189" t="n"/>
      <c r="AM504" s="51" t="inlineStr">
        <is>
          <t>U6Y</t>
        </is>
      </c>
    </row>
    <row r="505">
      <c r="B505" s="118" t="inlineStr">
        <is>
          <t>K10 =</t>
        </is>
      </c>
      <c r="C505" s="189" t="n"/>
      <c r="D505" s="189" t="n"/>
      <c r="E505" s="189" t="n"/>
      <c r="F505" s="189" t="n"/>
      <c r="G505" s="189" t="n"/>
      <c r="H505" s="189" t="n"/>
      <c r="I505" s="189" t="n"/>
      <c r="J505" s="189" t="n"/>
      <c r="K505" s="189" t="n"/>
      <c r="L505" s="189" t="n"/>
      <c r="M505" s="189" t="n"/>
      <c r="N505" s="189" t="n"/>
      <c r="O505" s="189" t="n"/>
      <c r="P505" s="189" t="n"/>
      <c r="Q505" s="189" t="n"/>
      <c r="R505" s="189" t="n"/>
      <c r="S505" s="189" t="n"/>
      <c r="T505" s="189" t="n"/>
      <c r="U505" s="189" t="n"/>
      <c r="V505" s="189" t="n"/>
      <c r="W505" s="189" t="n"/>
      <c r="X505" s="189" t="n"/>
      <c r="Y505" s="189" t="n"/>
      <c r="Z505" s="189" t="n"/>
      <c r="AA505" s="189" t="n"/>
      <c r="AB505" s="189" t="n"/>
      <c r="AC505" s="189" t="n"/>
      <c r="AD505" s="189" t="n"/>
      <c r="AE505" s="189" t="n"/>
      <c r="AF505" s="189" t="n"/>
      <c r="AG505" s="189" t="n"/>
      <c r="AH505" s="189" t="n"/>
      <c r="AI505" s="189" t="n"/>
      <c r="AJ505" s="189" t="n"/>
      <c r="AK505" s="189" t="n"/>
      <c r="AL505" s="189" t="n"/>
      <c r="AM505" s="51" t="inlineStr">
        <is>
          <t>U6θ</t>
        </is>
      </c>
    </row>
    <row r="506">
      <c r="C506" s="189" t="n"/>
      <c r="D506" s="189" t="n"/>
      <c r="E506" s="189" t="n"/>
      <c r="F506" s="189" t="n"/>
      <c r="G506" s="189" t="n"/>
      <c r="H506" s="189" t="n"/>
      <c r="I506" s="189" t="n"/>
      <c r="J506" s="189" t="n"/>
      <c r="K506" s="189" t="n"/>
      <c r="L506" s="189" t="n"/>
      <c r="M506" s="189" t="n"/>
      <c r="N506" s="189" t="n"/>
      <c r="O506" s="189" t="n"/>
      <c r="P506" s="189" t="n"/>
      <c r="Q506" s="189" t="n"/>
      <c r="R506" s="189" t="n"/>
      <c r="S506" s="189" t="n"/>
      <c r="T506" s="189" t="n"/>
      <c r="U506" s="189" t="n"/>
      <c r="V506" s="189" t="n"/>
      <c r="W506" s="189" t="n"/>
      <c r="X506" s="189" t="n"/>
      <c r="Y506" s="189" t="n"/>
      <c r="Z506" s="189" t="n"/>
      <c r="AA506" s="189" t="n"/>
      <c r="AB506" s="189" t="n"/>
      <c r="AC506" s="189" t="n"/>
      <c r="AD506" s="189" t="n"/>
      <c r="AE506" s="189" t="n"/>
      <c r="AF506" s="189" t="n"/>
      <c r="AG506" s="189" t="n"/>
      <c r="AH506" s="189" t="n"/>
      <c r="AI506" s="189" t="n"/>
      <c r="AJ506" s="189" t="n"/>
      <c r="AK506" s="189" t="n"/>
      <c r="AL506" s="189" t="n"/>
      <c r="AM506" s="51" t="inlineStr">
        <is>
          <t>U7X</t>
        </is>
      </c>
    </row>
    <row r="507">
      <c r="C507" s="189" t="n"/>
      <c r="D507" s="189" t="n"/>
      <c r="E507" s="189" t="n"/>
      <c r="F507" s="189" t="n"/>
      <c r="G507" s="189" t="n"/>
      <c r="H507" s="189" t="n"/>
      <c r="I507" s="189" t="n"/>
      <c r="J507" s="189" t="n"/>
      <c r="K507" s="189" t="n"/>
      <c r="L507" s="189" t="n"/>
      <c r="M507" s="189" t="n"/>
      <c r="N507" s="189" t="n"/>
      <c r="O507" s="189" t="n"/>
      <c r="P507" s="189" t="n"/>
      <c r="Q507" s="189" t="n"/>
      <c r="R507" s="189" t="n"/>
      <c r="S507" s="189" t="n"/>
      <c r="T507" s="189" t="n"/>
      <c r="U507" s="189" t="n"/>
      <c r="V507" s="189" t="n"/>
      <c r="W507" s="189" t="n"/>
      <c r="X507" s="189" t="n"/>
      <c r="Y507" s="189" t="n"/>
      <c r="Z507" s="189" t="n"/>
      <c r="AA507" s="189" t="n"/>
      <c r="AB507" s="189" t="n"/>
      <c r="AC507" s="189" t="n"/>
      <c r="AD507" s="189" t="n"/>
      <c r="AE507" s="189" t="n"/>
      <c r="AF507" s="189" t="n"/>
      <c r="AG507" s="189" t="n"/>
      <c r="AH507" s="189" t="n"/>
      <c r="AI507" s="189" t="n"/>
      <c r="AJ507" s="189" t="n"/>
      <c r="AK507" s="189" t="n"/>
      <c r="AL507" s="189" t="n"/>
      <c r="AM507" s="51" t="inlineStr">
        <is>
          <t>U7Y</t>
        </is>
      </c>
    </row>
    <row r="508">
      <c r="C508" s="189" t="n"/>
      <c r="D508" s="189" t="n"/>
      <c r="E508" s="189" t="n"/>
      <c r="F508" s="189" t="n"/>
      <c r="G508" s="189" t="n"/>
      <c r="H508" s="189" t="n"/>
      <c r="I508" s="189" t="n"/>
      <c r="J508" s="189" t="n"/>
      <c r="K508" s="189" t="n"/>
      <c r="L508" s="189" t="n"/>
      <c r="M508" s="189" t="n"/>
      <c r="N508" s="189" t="n"/>
      <c r="O508" s="189" t="n"/>
      <c r="P508" s="189" t="n"/>
      <c r="Q508" s="189" t="n"/>
      <c r="R508" s="189" t="n"/>
      <c r="S508" s="189" t="n"/>
      <c r="T508" s="189" t="n"/>
      <c r="U508" s="189" t="n"/>
      <c r="V508" s="189" t="n"/>
      <c r="W508" s="189" t="n"/>
      <c r="X508" s="189" t="n"/>
      <c r="Y508" s="189" t="n"/>
      <c r="Z508" s="189" t="n"/>
      <c r="AA508" s="189" t="n"/>
      <c r="AB508" s="189" t="n"/>
      <c r="AC508" s="189" t="n"/>
      <c r="AD508" s="189" t="n"/>
      <c r="AE508" s="189" t="n"/>
      <c r="AF508" s="189" t="n"/>
      <c r="AG508" s="189" t="n"/>
      <c r="AH508" s="189" t="n"/>
      <c r="AI508" s="189" t="n"/>
      <c r="AJ508" s="189" t="n"/>
      <c r="AK508" s="189" t="n"/>
      <c r="AL508" s="189" t="n"/>
      <c r="AM508" s="51" t="inlineStr">
        <is>
          <t>U7θ</t>
        </is>
      </c>
    </row>
    <row r="509">
      <c r="C509" s="189" t="n"/>
      <c r="D509" s="189" t="n"/>
      <c r="E509" s="189" t="n"/>
      <c r="F509" s="189" t="n"/>
      <c r="G509" s="189" t="n"/>
      <c r="H509" s="189" t="n"/>
      <c r="I509" s="189" t="n"/>
      <c r="J509" s="189" t="n"/>
      <c r="K509" s="189" t="n"/>
      <c r="L509" s="189" t="n"/>
      <c r="M509" s="189" t="n"/>
      <c r="N509" s="189" t="n"/>
      <c r="O509" s="189" t="n"/>
      <c r="P509" s="189" t="n"/>
      <c r="Q509" s="189" t="n"/>
      <c r="R509" s="189" t="n"/>
      <c r="S509" s="189" t="n"/>
      <c r="T509" s="189" t="n"/>
      <c r="U509" s="189" t="n"/>
      <c r="V509" s="189" t="n"/>
      <c r="W509" s="189" t="n"/>
      <c r="X509" s="189" t="n"/>
      <c r="Y509" s="189" t="n"/>
      <c r="Z509" s="189" t="n"/>
      <c r="AA509" s="189" t="n"/>
      <c r="AB509" s="189" t="n"/>
      <c r="AC509" s="189" t="n"/>
      <c r="AD509" s="189" t="n"/>
      <c r="AE509" s="189" t="n"/>
      <c r="AF509" s="189" t="n"/>
      <c r="AG509" s="189" t="n"/>
      <c r="AH509" s="189" t="n"/>
      <c r="AI509" s="189" t="n"/>
      <c r="AJ509" s="189" t="n"/>
      <c r="AK509" s="189" t="n"/>
      <c r="AL509" s="189" t="n"/>
      <c r="AM509" s="51" t="inlineStr">
        <is>
          <t>U8X</t>
        </is>
      </c>
    </row>
    <row r="510">
      <c r="C510" s="189" t="n"/>
      <c r="D510" s="189" t="n"/>
      <c r="E510" s="189" t="n"/>
      <c r="F510" s="189" t="n"/>
      <c r="G510" s="189" t="n"/>
      <c r="H510" s="189" t="n"/>
      <c r="I510" s="189" t="n"/>
      <c r="J510" s="189" t="n"/>
      <c r="K510" s="189" t="n"/>
      <c r="L510" s="189" t="n"/>
      <c r="M510" s="189" t="n"/>
      <c r="N510" s="189" t="n"/>
      <c r="O510" s="189" t="n"/>
      <c r="P510" s="189" t="n"/>
      <c r="Q510" s="189" t="n"/>
      <c r="R510" s="189" t="n"/>
      <c r="S510" s="189" t="n"/>
      <c r="T510" s="189" t="n"/>
      <c r="U510" s="189" t="n"/>
      <c r="V510" s="189" t="n"/>
      <c r="W510" s="189" t="n"/>
      <c r="X510" s="189" t="n"/>
      <c r="Y510" s="189" t="n"/>
      <c r="Z510" s="189" t="n"/>
      <c r="AA510" s="189" t="n"/>
      <c r="AB510" s="189" t="n"/>
      <c r="AC510" s="189" t="n"/>
      <c r="AD510" s="189" t="n"/>
      <c r="AE510" s="189" t="n"/>
      <c r="AF510" s="189" t="n"/>
      <c r="AG510" s="189" t="n"/>
      <c r="AH510" s="189" t="n"/>
      <c r="AI510" s="189" t="n"/>
      <c r="AJ510" s="189" t="n"/>
      <c r="AK510" s="189" t="n"/>
      <c r="AL510" s="189" t="n"/>
      <c r="AM510" s="51" t="inlineStr">
        <is>
          <t>U8Y</t>
        </is>
      </c>
    </row>
    <row r="511">
      <c r="C511" s="189" t="n"/>
      <c r="D511" s="189" t="n"/>
      <c r="E511" s="189" t="n"/>
      <c r="F511" s="189" t="n"/>
      <c r="G511" s="189" t="n"/>
      <c r="H511" s="189" t="n"/>
      <c r="I511" s="189" t="n"/>
      <c r="J511" s="189" t="n"/>
      <c r="K511" s="189" t="n"/>
      <c r="L511" s="189" t="n"/>
      <c r="M511" s="189" t="n"/>
      <c r="N511" s="189" t="n"/>
      <c r="O511" s="189" t="n"/>
      <c r="P511" s="189" t="n"/>
      <c r="Q511" s="189" t="n"/>
      <c r="R511" s="189" t="n"/>
      <c r="S511" s="189" t="n"/>
      <c r="T511" s="189" t="n"/>
      <c r="U511" s="189" t="n"/>
      <c r="V511" s="189" t="n"/>
      <c r="W511" s="189" t="n"/>
      <c r="X511" s="189" t="n"/>
      <c r="Y511" s="189" t="n"/>
      <c r="Z511" s="189" t="n"/>
      <c r="AA511" s="189" t="n"/>
      <c r="AB511" s="189" t="n"/>
      <c r="AC511" s="189" t="n"/>
      <c r="AD511" s="189" t="n"/>
      <c r="AE511" s="189" t="n"/>
      <c r="AF511" s="189" t="n"/>
      <c r="AG511" s="189" t="n"/>
      <c r="AH511" s="189" t="n"/>
      <c r="AI511" s="189" t="n"/>
      <c r="AJ511" s="189" t="n"/>
      <c r="AK511" s="189" t="n"/>
      <c r="AL511" s="189" t="n"/>
      <c r="AM511" s="51" t="inlineStr">
        <is>
          <t>U8θ</t>
        </is>
      </c>
    </row>
    <row r="512">
      <c r="C512" s="189" t="n"/>
      <c r="D512" s="189" t="n"/>
      <c r="E512" s="189" t="n"/>
      <c r="F512" s="189" t="n"/>
      <c r="G512" s="189" t="n"/>
      <c r="H512" s="189" t="n"/>
      <c r="I512" s="189" t="n"/>
      <c r="J512" s="189" t="n"/>
      <c r="K512" s="189" t="n"/>
      <c r="L512" s="189" t="n"/>
      <c r="M512" s="189" t="n"/>
      <c r="N512" s="189" t="n"/>
      <c r="O512" s="189" t="n"/>
      <c r="P512" s="189" t="n"/>
      <c r="Q512" s="189" t="n"/>
      <c r="R512" s="189" t="n"/>
      <c r="S512" s="189" t="n"/>
      <c r="T512" s="189" t="n"/>
      <c r="U512" s="189" t="n"/>
      <c r="V512" s="189" t="n"/>
      <c r="W512" s="189" t="n"/>
      <c r="X512" s="189" t="n"/>
      <c r="Y512" s="189" t="n"/>
      <c r="Z512" s="189" t="n"/>
      <c r="AA512" s="189" t="n"/>
      <c r="AB512" s="189" t="n"/>
      <c r="AC512" s="189" t="n"/>
      <c r="AD512" s="189" t="n"/>
      <c r="AE512" s="189" t="n"/>
      <c r="AF512" s="189" t="n"/>
      <c r="AG512" s="189" t="n"/>
      <c r="AH512" s="189" t="n"/>
      <c r="AI512" s="189" t="n"/>
      <c r="AJ512" s="189" t="n"/>
      <c r="AK512" s="189" t="n"/>
      <c r="AL512" s="189" t="n"/>
      <c r="AM512" s="51" t="inlineStr">
        <is>
          <t>U9X</t>
        </is>
      </c>
    </row>
    <row r="513">
      <c r="C513" s="189" t="n"/>
      <c r="D513" s="189" t="n"/>
      <c r="E513" s="189" t="n"/>
      <c r="F513" s="189" t="n"/>
      <c r="G513" s="189" t="n"/>
      <c r="H513" s="189" t="n"/>
      <c r="I513" s="189" t="n"/>
      <c r="J513" s="189" t="n"/>
      <c r="K513" s="189" t="n"/>
      <c r="L513" s="189" t="n"/>
      <c r="M513" s="189" t="n"/>
      <c r="N513" s="189" t="n"/>
      <c r="O513" s="189" t="n"/>
      <c r="P513" s="189" t="n"/>
      <c r="Q513" s="189" t="n"/>
      <c r="R513" s="189" t="n"/>
      <c r="S513" s="189" t="n"/>
      <c r="T513" s="189" t="n"/>
      <c r="U513" s="189" t="n"/>
      <c r="V513" s="189" t="n"/>
      <c r="W513" s="189" t="n"/>
      <c r="X513" s="189" t="n"/>
      <c r="Y513" s="189" t="n"/>
      <c r="Z513" s="189" t="n"/>
      <c r="AA513" s="189" t="n"/>
      <c r="AB513" s="189" t="n"/>
      <c r="AC513" s="189" t="n"/>
      <c r="AD513" s="189" t="n"/>
      <c r="AE513" s="189" t="n"/>
      <c r="AF513" s="189" t="n"/>
      <c r="AG513" s="189" t="n"/>
      <c r="AH513" s="189" t="n"/>
      <c r="AI513" s="189" t="n"/>
      <c r="AJ513" s="189" t="n"/>
      <c r="AK513" s="189" t="n"/>
      <c r="AL513" s="189" t="n"/>
      <c r="AM513" s="51" t="inlineStr">
        <is>
          <t>U9Y</t>
        </is>
      </c>
    </row>
    <row r="514">
      <c r="C514" s="189" t="n"/>
      <c r="D514" s="189" t="n"/>
      <c r="E514" s="189" t="n"/>
      <c r="F514" s="189" t="n"/>
      <c r="G514" s="189" t="n"/>
      <c r="H514" s="189" t="n"/>
      <c r="I514" s="189" t="n"/>
      <c r="J514" s="189" t="n"/>
      <c r="K514" s="189" t="n"/>
      <c r="L514" s="189" t="n"/>
      <c r="M514" s="189" t="n"/>
      <c r="N514" s="189" t="n"/>
      <c r="O514" s="189" t="n"/>
      <c r="P514" s="189" t="n"/>
      <c r="Q514" s="189" t="n"/>
      <c r="R514" s="189" t="n"/>
      <c r="S514" s="189" t="n"/>
      <c r="T514" s="189" t="n"/>
      <c r="U514" s="189" t="n"/>
      <c r="V514" s="189" t="n"/>
      <c r="W514" s="189" t="n"/>
      <c r="X514" s="189" t="n"/>
      <c r="Y514" s="189" t="n"/>
      <c r="Z514" s="189" t="n"/>
      <c r="AA514" s="189" t="n"/>
      <c r="AB514" s="189" t="n"/>
      <c r="AC514" s="189" t="n"/>
      <c r="AD514" s="189" t="n"/>
      <c r="AE514" s="189" t="n"/>
      <c r="AF514" s="189" t="n"/>
      <c r="AG514" s="189" t="n"/>
      <c r="AH514" s="189" t="n"/>
      <c r="AI514" s="189" t="n"/>
      <c r="AJ514" s="189" t="n"/>
      <c r="AK514" s="189" t="n"/>
      <c r="AL514" s="189" t="n"/>
      <c r="AM514" s="51" t="inlineStr">
        <is>
          <t>U9θ</t>
        </is>
      </c>
    </row>
    <row r="515">
      <c r="C515" s="189" t="n"/>
      <c r="D515" s="189" t="n"/>
      <c r="E515" s="189" t="n"/>
      <c r="F515" s="189" t="n"/>
      <c r="G515" s="189" t="n"/>
      <c r="H515" s="189" t="n"/>
      <c r="I515" s="189" t="n"/>
      <c r="J515" s="189" t="n"/>
      <c r="K515" s="189" t="n"/>
      <c r="L515" s="189" t="n"/>
      <c r="M515" s="189" t="n"/>
      <c r="N515" s="189" t="n"/>
      <c r="O515" s="189" t="n"/>
      <c r="P515" s="189" t="n"/>
      <c r="Q515" s="189" t="n"/>
      <c r="R515" s="189" t="n"/>
      <c r="S515" s="189" t="n"/>
      <c r="T515" s="189" t="n"/>
      <c r="U515" s="189" t="n"/>
      <c r="V515" s="189" t="n"/>
      <c r="W515" s="189" t="n"/>
      <c r="X515" s="189" t="n"/>
      <c r="Y515" s="189" t="n"/>
      <c r="Z515" s="189" t="n"/>
      <c r="AA515" s="189" t="n"/>
      <c r="AB515" s="189" t="n"/>
      <c r="AC515" s="189" t="n"/>
      <c r="AD515" s="189">
        <f>C480</f>
        <v/>
      </c>
      <c r="AE515" s="189">
        <f>D480</f>
        <v/>
      </c>
      <c r="AF515" s="189">
        <f>E480</f>
        <v/>
      </c>
      <c r="AG515" s="189">
        <f>F480</f>
        <v/>
      </c>
      <c r="AH515" s="189">
        <f>G480</f>
        <v/>
      </c>
      <c r="AI515" s="189">
        <f>H480</f>
        <v/>
      </c>
      <c r="AJ515" s="189" t="n"/>
      <c r="AK515" s="189" t="n"/>
      <c r="AL515" s="189" t="n"/>
      <c r="AM515" s="51" t="inlineStr">
        <is>
          <t>U10X</t>
        </is>
      </c>
    </row>
    <row r="516">
      <c r="C516" s="189" t="n"/>
      <c r="D516" s="189" t="n"/>
      <c r="E516" s="189" t="n"/>
      <c r="F516" s="189" t="n"/>
      <c r="G516" s="189" t="n"/>
      <c r="H516" s="189" t="n"/>
      <c r="I516" s="189" t="n"/>
      <c r="J516" s="189" t="n"/>
      <c r="K516" s="189" t="n"/>
      <c r="L516" s="189" t="n"/>
      <c r="M516" s="189" t="n"/>
      <c r="N516" s="189" t="n"/>
      <c r="O516" s="189" t="n"/>
      <c r="P516" s="189" t="n"/>
      <c r="Q516" s="189" t="n"/>
      <c r="R516" s="189" t="n"/>
      <c r="S516" s="189" t="n"/>
      <c r="T516" s="189" t="n"/>
      <c r="U516" s="189" t="n"/>
      <c r="V516" s="189" t="n"/>
      <c r="W516" s="189" t="n"/>
      <c r="X516" s="189" t="n"/>
      <c r="Y516" s="189" t="n"/>
      <c r="Z516" s="189" t="n"/>
      <c r="AA516" s="189" t="n"/>
      <c r="AB516" s="189" t="n"/>
      <c r="AC516" s="189" t="n"/>
      <c r="AD516" s="189">
        <f>C481</f>
        <v/>
      </c>
      <c r="AE516" s="189">
        <f>D481</f>
        <v/>
      </c>
      <c r="AF516" s="189">
        <f>E481</f>
        <v/>
      </c>
      <c r="AG516" s="189">
        <f>F481</f>
        <v/>
      </c>
      <c r="AH516" s="189">
        <f>G481</f>
        <v/>
      </c>
      <c r="AI516" s="189">
        <f>H481</f>
        <v/>
      </c>
      <c r="AJ516" s="189" t="n"/>
      <c r="AK516" s="189" t="n"/>
      <c r="AL516" s="189" t="n"/>
      <c r="AM516" s="51" t="inlineStr">
        <is>
          <t>U10Y</t>
        </is>
      </c>
    </row>
    <row r="517">
      <c r="C517" s="189" t="n"/>
      <c r="D517" s="189" t="n"/>
      <c r="E517" s="189" t="n"/>
      <c r="F517" s="189" t="n"/>
      <c r="G517" s="189" t="n"/>
      <c r="H517" s="189" t="n"/>
      <c r="I517" s="189" t="n"/>
      <c r="J517" s="189" t="n"/>
      <c r="K517" s="189" t="n"/>
      <c r="L517" s="189" t="n"/>
      <c r="M517" s="189" t="n"/>
      <c r="N517" s="189" t="n"/>
      <c r="O517" s="189" t="n"/>
      <c r="P517" s="189" t="n"/>
      <c r="Q517" s="189" t="n"/>
      <c r="R517" s="189" t="n"/>
      <c r="S517" s="189" t="n"/>
      <c r="T517" s="189" t="n"/>
      <c r="U517" s="189" t="n"/>
      <c r="V517" s="189" t="n"/>
      <c r="W517" s="189" t="n"/>
      <c r="X517" s="189" t="n"/>
      <c r="Y517" s="189" t="n"/>
      <c r="Z517" s="189" t="n"/>
      <c r="AA517" s="189" t="n"/>
      <c r="AB517" s="189" t="n"/>
      <c r="AC517" s="189" t="n"/>
      <c r="AD517" s="189">
        <f>C482</f>
        <v/>
      </c>
      <c r="AE517" s="189">
        <f>D482</f>
        <v/>
      </c>
      <c r="AF517" s="189">
        <f>E482</f>
        <v/>
      </c>
      <c r="AG517" s="189">
        <f>F482</f>
        <v/>
      </c>
      <c r="AH517" s="189">
        <f>G482</f>
        <v/>
      </c>
      <c r="AI517" s="189">
        <f>H482</f>
        <v/>
      </c>
      <c r="AJ517" s="189" t="n"/>
      <c r="AK517" s="189" t="n"/>
      <c r="AL517" s="189" t="n"/>
      <c r="AM517" s="51" t="inlineStr">
        <is>
          <t>U10θ</t>
        </is>
      </c>
    </row>
    <row r="518">
      <c r="C518" s="189" t="n"/>
      <c r="D518" s="189" t="n"/>
      <c r="E518" s="189" t="n"/>
      <c r="F518" s="189" t="n"/>
      <c r="G518" s="189" t="n"/>
      <c r="H518" s="189" t="n"/>
      <c r="I518" s="189" t="n"/>
      <c r="J518" s="189" t="n"/>
      <c r="K518" s="189" t="n"/>
      <c r="L518" s="189" t="n"/>
      <c r="M518" s="189" t="n"/>
      <c r="N518" s="189" t="n"/>
      <c r="O518" s="189" t="n"/>
      <c r="P518" s="189" t="n"/>
      <c r="Q518" s="189" t="n"/>
      <c r="R518" s="189" t="n"/>
      <c r="S518" s="189" t="n"/>
      <c r="T518" s="189" t="n"/>
      <c r="U518" s="189" t="n"/>
      <c r="V518" s="189" t="n"/>
      <c r="W518" s="189" t="n"/>
      <c r="X518" s="189" t="n"/>
      <c r="Y518" s="189" t="n"/>
      <c r="Z518" s="189" t="n"/>
      <c r="AA518" s="189" t="n"/>
      <c r="AB518" s="189" t="n"/>
      <c r="AC518" s="189" t="n"/>
      <c r="AD518" s="189">
        <f>C483</f>
        <v/>
      </c>
      <c r="AE518" s="189">
        <f>D483</f>
        <v/>
      </c>
      <c r="AF518" s="189">
        <f>E483</f>
        <v/>
      </c>
      <c r="AG518" s="189">
        <f>F483</f>
        <v/>
      </c>
      <c r="AH518" s="189">
        <f>G483</f>
        <v/>
      </c>
      <c r="AI518" s="189">
        <f>H483</f>
        <v/>
      </c>
      <c r="AJ518" s="189" t="n"/>
      <c r="AK518" s="189" t="n"/>
      <c r="AL518" s="189" t="n"/>
      <c r="AM518" s="51" t="inlineStr">
        <is>
          <t>U11X</t>
        </is>
      </c>
    </row>
    <row r="519">
      <c r="C519" s="189" t="n"/>
      <c r="D519" s="189" t="n"/>
      <c r="E519" s="189" t="n"/>
      <c r="F519" s="189" t="n"/>
      <c r="G519" s="189" t="n"/>
      <c r="H519" s="189" t="n"/>
      <c r="I519" s="189" t="n"/>
      <c r="J519" s="189" t="n"/>
      <c r="K519" s="189" t="n"/>
      <c r="L519" s="189" t="n"/>
      <c r="M519" s="189" t="n"/>
      <c r="N519" s="189" t="n"/>
      <c r="O519" s="189" t="n"/>
      <c r="P519" s="189" t="n"/>
      <c r="Q519" s="189" t="n"/>
      <c r="R519" s="189" t="n"/>
      <c r="S519" s="189" t="n"/>
      <c r="T519" s="189" t="n"/>
      <c r="U519" s="189" t="n"/>
      <c r="V519" s="189" t="n"/>
      <c r="W519" s="189" t="n"/>
      <c r="X519" s="189" t="n"/>
      <c r="Y519" s="189" t="n"/>
      <c r="Z519" s="189" t="n"/>
      <c r="AA519" s="189" t="n"/>
      <c r="AB519" s="189" t="n"/>
      <c r="AC519" s="189" t="n"/>
      <c r="AD519" s="189">
        <f>C484</f>
        <v/>
      </c>
      <c r="AE519" s="189">
        <f>D484</f>
        <v/>
      </c>
      <c r="AF519" s="189">
        <f>E484</f>
        <v/>
      </c>
      <c r="AG519" s="189">
        <f>F484</f>
        <v/>
      </c>
      <c r="AH519" s="189">
        <f>G484</f>
        <v/>
      </c>
      <c r="AI519" s="189">
        <f>H484</f>
        <v/>
      </c>
      <c r="AJ519" s="189" t="n"/>
      <c r="AK519" s="189" t="n"/>
      <c r="AL519" s="189" t="n"/>
      <c r="AM519" s="51" t="inlineStr">
        <is>
          <t>U11Y</t>
        </is>
      </c>
    </row>
    <row r="520">
      <c r="C520" s="189" t="n"/>
      <c r="D520" s="189" t="n"/>
      <c r="E520" s="189" t="n"/>
      <c r="F520" s="189" t="n"/>
      <c r="G520" s="189" t="n"/>
      <c r="H520" s="189" t="n"/>
      <c r="I520" s="189" t="n"/>
      <c r="J520" s="189" t="n"/>
      <c r="K520" s="189" t="n"/>
      <c r="L520" s="189" t="n"/>
      <c r="M520" s="189" t="n"/>
      <c r="N520" s="189" t="n"/>
      <c r="O520" s="189" t="n"/>
      <c r="P520" s="189" t="n"/>
      <c r="Q520" s="189" t="n"/>
      <c r="R520" s="189" t="n"/>
      <c r="S520" s="189" t="n"/>
      <c r="T520" s="189" t="n"/>
      <c r="U520" s="189" t="n"/>
      <c r="V520" s="189" t="n"/>
      <c r="W520" s="189" t="n"/>
      <c r="X520" s="189" t="n"/>
      <c r="Y520" s="189" t="n"/>
      <c r="Z520" s="189" t="n"/>
      <c r="AA520" s="189" t="n"/>
      <c r="AB520" s="189" t="n"/>
      <c r="AC520" s="189" t="n"/>
      <c r="AD520" s="189">
        <f>C485</f>
        <v/>
      </c>
      <c r="AE520" s="189">
        <f>D485</f>
        <v/>
      </c>
      <c r="AF520" s="189">
        <f>E485</f>
        <v/>
      </c>
      <c r="AG520" s="189">
        <f>F485</f>
        <v/>
      </c>
      <c r="AH520" s="189">
        <f>G485</f>
        <v/>
      </c>
      <c r="AI520" s="189">
        <f>H485</f>
        <v/>
      </c>
      <c r="AJ520" s="189" t="n"/>
      <c r="AK520" s="189" t="n"/>
      <c r="AL520" s="189" t="n"/>
      <c r="AM520" s="51" t="inlineStr">
        <is>
          <t>U11θ</t>
        </is>
      </c>
    </row>
    <row r="521">
      <c r="C521" s="189" t="n"/>
      <c r="D521" s="189" t="n"/>
      <c r="E521" s="189" t="n"/>
      <c r="F521" s="189" t="n"/>
      <c r="G521" s="189" t="n"/>
      <c r="H521" s="189" t="n"/>
      <c r="I521" s="189" t="n"/>
      <c r="J521" s="189" t="n"/>
      <c r="K521" s="189" t="n"/>
      <c r="L521" s="189" t="n"/>
      <c r="M521" s="189" t="n"/>
      <c r="N521" s="189" t="n"/>
      <c r="O521" s="189" t="n"/>
      <c r="P521" s="189" t="n"/>
      <c r="Q521" s="189" t="n"/>
      <c r="R521" s="189" t="n"/>
      <c r="S521" s="189" t="n"/>
      <c r="T521" s="189" t="n"/>
      <c r="U521" s="189" t="n"/>
      <c r="V521" s="189" t="n"/>
      <c r="W521" s="189" t="n"/>
      <c r="X521" s="189" t="n"/>
      <c r="Y521" s="189" t="n"/>
      <c r="Z521" s="189" t="n"/>
      <c r="AA521" s="189" t="n"/>
      <c r="AB521" s="189" t="n"/>
      <c r="AC521" s="189" t="n"/>
      <c r="AD521" s="189" t="n"/>
      <c r="AE521" s="189" t="n"/>
      <c r="AF521" s="189" t="n"/>
      <c r="AG521" s="189" t="n"/>
      <c r="AH521" s="189" t="n"/>
      <c r="AI521" s="189" t="n"/>
      <c r="AJ521" s="189" t="n"/>
      <c r="AK521" s="189" t="n"/>
      <c r="AL521" s="189" t="n"/>
      <c r="AM521" s="51" t="inlineStr">
        <is>
          <t>U12X</t>
        </is>
      </c>
    </row>
    <row r="522">
      <c r="C522" s="189" t="n"/>
      <c r="D522" s="189" t="n"/>
      <c r="E522" s="189" t="n"/>
      <c r="F522" s="189" t="n"/>
      <c r="G522" s="189" t="n"/>
      <c r="H522" s="189" t="n"/>
      <c r="I522" s="189" t="n"/>
      <c r="J522" s="189" t="n"/>
      <c r="K522" s="189" t="n"/>
      <c r="L522" s="189" t="n"/>
      <c r="M522" s="189" t="n"/>
      <c r="N522" s="189" t="n"/>
      <c r="O522" s="189" t="n"/>
      <c r="P522" s="189" t="n"/>
      <c r="Q522" s="189" t="n"/>
      <c r="R522" s="189" t="n"/>
      <c r="S522" s="189" t="n"/>
      <c r="T522" s="189" t="n"/>
      <c r="U522" s="189" t="n"/>
      <c r="V522" s="189" t="n"/>
      <c r="W522" s="189" t="n"/>
      <c r="X522" s="189" t="n"/>
      <c r="Y522" s="189" t="n"/>
      <c r="Z522" s="189" t="n"/>
      <c r="AA522" s="189" t="n"/>
      <c r="AB522" s="189" t="n"/>
      <c r="AC522" s="189" t="n"/>
      <c r="AD522" s="189" t="n"/>
      <c r="AE522" s="189" t="n"/>
      <c r="AF522" s="189" t="n"/>
      <c r="AG522" s="189" t="n"/>
      <c r="AH522" s="189" t="n"/>
      <c r="AI522" s="189" t="n"/>
      <c r="AJ522" s="189" t="n"/>
      <c r="AK522" s="189" t="n"/>
      <c r="AL522" s="189" t="n"/>
      <c r="AM522" s="51" t="inlineStr">
        <is>
          <t>U12Y</t>
        </is>
      </c>
    </row>
    <row r="523">
      <c r="C523" s="189" t="n"/>
      <c r="D523" s="189" t="n"/>
      <c r="E523" s="189" t="n"/>
      <c r="F523" s="189" t="n"/>
      <c r="G523" s="189" t="n"/>
      <c r="H523" s="189" t="n"/>
      <c r="I523" s="189" t="n"/>
      <c r="J523" s="189" t="n"/>
      <c r="K523" s="189" t="n"/>
      <c r="L523" s="189" t="n"/>
      <c r="M523" s="189" t="n"/>
      <c r="N523" s="189" t="n"/>
      <c r="O523" s="189" t="n"/>
      <c r="P523" s="189" t="n"/>
      <c r="Q523" s="189" t="n"/>
      <c r="R523" s="189" t="n"/>
      <c r="S523" s="189" t="n"/>
      <c r="T523" s="189" t="n"/>
      <c r="U523" s="189" t="n"/>
      <c r="V523" s="189" t="n"/>
      <c r="W523" s="189" t="n"/>
      <c r="X523" s="189" t="n"/>
      <c r="Y523" s="189" t="n"/>
      <c r="Z523" s="189" t="n"/>
      <c r="AA523" s="189" t="n"/>
      <c r="AB523" s="189" t="n"/>
      <c r="AC523" s="189" t="n"/>
      <c r="AD523" s="189" t="n"/>
      <c r="AE523" s="189" t="n"/>
      <c r="AF523" s="189" t="n"/>
      <c r="AG523" s="189" t="n"/>
      <c r="AH523" s="189" t="n"/>
      <c r="AI523" s="189" t="n"/>
      <c r="AJ523" s="189" t="n"/>
      <c r="AK523" s="189" t="n"/>
      <c r="AL523" s="189" t="n"/>
      <c r="AM523" s="51" t="inlineStr">
        <is>
          <t>U12θ</t>
        </is>
      </c>
    </row>
    <row r="526">
      <c r="C526" s="51">
        <f>IF(C38="","", CONCATENATE("U",C38,C$27))</f>
        <v/>
      </c>
      <c r="D526" s="51">
        <f>IF(D38="","", CONCATENATE("U",D38,D$27))</f>
        <v/>
      </c>
      <c r="E526" s="51">
        <f>IF(E38="","", CONCATENATE("U",E38,E$27))</f>
        <v/>
      </c>
      <c r="F526" s="51">
        <f>IF(F38="","", CONCATENATE("U",F38,F$27))</f>
        <v/>
      </c>
      <c r="G526" s="51">
        <f>IF(G38="","", CONCATENATE("U",G38,G$27))</f>
        <v/>
      </c>
      <c r="H526" s="51">
        <f>IF(H38="","", CONCATENATE("U",H38,H$27))</f>
        <v/>
      </c>
    </row>
    <row r="527">
      <c r="C527" s="8">
        <f>IF(I24="", 0, (S24*(J24^2))+(O24*(K24^2)))</f>
        <v/>
      </c>
      <c r="D527" s="189">
        <f>IF(I24="", 0, (S24-O24)*J24*K24)</f>
        <v/>
      </c>
      <c r="E527" s="189">
        <f>IF(I24="", 0, -P24*K24)</f>
        <v/>
      </c>
      <c r="F527" s="189">
        <f>-1*C527</f>
        <v/>
      </c>
      <c r="G527" s="189">
        <f>-1*D527</f>
        <v/>
      </c>
      <c r="H527" s="189">
        <f>E527</f>
        <v/>
      </c>
      <c r="I527" s="51">
        <f>C526</f>
        <v/>
      </c>
    </row>
    <row r="528">
      <c r="C528" s="189">
        <f>D527</f>
        <v/>
      </c>
      <c r="D528" s="8">
        <f>IF(I24="", 0, (S24*(K24^2))+(O24*(J24^2)))</f>
        <v/>
      </c>
      <c r="E528" s="189">
        <f>IF(I24="", 0, P24*J24)</f>
        <v/>
      </c>
      <c r="F528" s="189">
        <f>-1*D527</f>
        <v/>
      </c>
      <c r="G528" s="189">
        <f>-1*D528</f>
        <v/>
      </c>
      <c r="H528" s="189">
        <f>E528</f>
        <v/>
      </c>
      <c r="I528" s="51">
        <f>D526</f>
        <v/>
      </c>
    </row>
    <row r="529">
      <c r="B529" s="118" t="inlineStr">
        <is>
          <t>K11 =</t>
        </is>
      </c>
      <c r="C529" s="189">
        <f>E527</f>
        <v/>
      </c>
      <c r="D529" s="189">
        <f>E528</f>
        <v/>
      </c>
      <c r="E529" s="8">
        <f>IF(I24="", 0, Q24)</f>
        <v/>
      </c>
      <c r="F529" s="189">
        <f>-1*E527</f>
        <v/>
      </c>
      <c r="G529" s="189">
        <f>-1*E528</f>
        <v/>
      </c>
      <c r="H529" s="189">
        <f>IF(I24="", 0, R24)</f>
        <v/>
      </c>
      <c r="I529" s="51">
        <f>E526</f>
        <v/>
      </c>
    </row>
    <row r="530">
      <c r="C530" s="189">
        <f>F527</f>
        <v/>
      </c>
      <c r="D530" s="189">
        <f>F528</f>
        <v/>
      </c>
      <c r="E530" s="189">
        <f>F529</f>
        <v/>
      </c>
      <c r="F530" s="8">
        <f>C527</f>
        <v/>
      </c>
      <c r="G530" s="189">
        <f>D527</f>
        <v/>
      </c>
      <c r="H530" s="189">
        <f>-1*E527</f>
        <v/>
      </c>
      <c r="I530" s="51">
        <f>F526</f>
        <v/>
      </c>
    </row>
    <row r="531">
      <c r="C531" s="189">
        <f>G527</f>
        <v/>
      </c>
      <c r="D531" s="189">
        <f>G528</f>
        <v/>
      </c>
      <c r="E531" s="189">
        <f>G529</f>
        <v/>
      </c>
      <c r="F531" s="189">
        <f>G530</f>
        <v/>
      </c>
      <c r="G531" s="8">
        <f>D528</f>
        <v/>
      </c>
      <c r="H531" s="189">
        <f>-1*E528</f>
        <v/>
      </c>
      <c r="I531" s="51">
        <f>G526</f>
        <v/>
      </c>
    </row>
    <row r="532">
      <c r="C532" s="189">
        <f>H527</f>
        <v/>
      </c>
      <c r="D532" s="189">
        <f>H528</f>
        <v/>
      </c>
      <c r="E532" s="189">
        <f>H529</f>
        <v/>
      </c>
      <c r="F532" s="189">
        <f>H530</f>
        <v/>
      </c>
      <c r="G532" s="189">
        <f>H531</f>
        <v/>
      </c>
      <c r="H532" s="8">
        <f>E529</f>
        <v/>
      </c>
      <c r="I532" s="51">
        <f>H526</f>
        <v/>
      </c>
    </row>
    <row r="534">
      <c r="C534" s="51" t="inlineStr">
        <is>
          <t>U1X</t>
        </is>
      </c>
      <c r="D534" s="51" t="inlineStr">
        <is>
          <t>U1Y</t>
        </is>
      </c>
      <c r="E534" s="51" t="inlineStr">
        <is>
          <t>U1θ</t>
        </is>
      </c>
      <c r="F534" s="51" t="inlineStr">
        <is>
          <t>U2X</t>
        </is>
      </c>
      <c r="G534" s="51" t="inlineStr">
        <is>
          <t>U2Y</t>
        </is>
      </c>
      <c r="H534" s="51" t="inlineStr">
        <is>
          <t>U2θ</t>
        </is>
      </c>
      <c r="I534" s="51" t="inlineStr">
        <is>
          <t>U3X</t>
        </is>
      </c>
      <c r="J534" s="51" t="inlineStr">
        <is>
          <t>U3Y</t>
        </is>
      </c>
      <c r="K534" s="51" t="inlineStr">
        <is>
          <t>U3θ</t>
        </is>
      </c>
      <c r="L534" s="51" t="inlineStr">
        <is>
          <t>U4X</t>
        </is>
      </c>
      <c r="M534" s="51" t="inlineStr">
        <is>
          <t>U4Y</t>
        </is>
      </c>
      <c r="N534" s="51" t="inlineStr">
        <is>
          <t>U4θ</t>
        </is>
      </c>
      <c r="O534" s="51" t="inlineStr">
        <is>
          <t>U5X</t>
        </is>
      </c>
      <c r="P534" s="51" t="inlineStr">
        <is>
          <t>U5Y</t>
        </is>
      </c>
      <c r="Q534" s="51" t="inlineStr">
        <is>
          <t>U5θ</t>
        </is>
      </c>
      <c r="R534" s="51" t="inlineStr">
        <is>
          <t>U6X</t>
        </is>
      </c>
      <c r="S534" s="51" t="inlineStr">
        <is>
          <t>U6Y</t>
        </is>
      </c>
      <c r="T534" s="51" t="inlineStr">
        <is>
          <t>U6θ</t>
        </is>
      </c>
      <c r="U534" s="51" t="inlineStr">
        <is>
          <t>U7X</t>
        </is>
      </c>
      <c r="V534" s="51" t="inlineStr">
        <is>
          <t>U7Y</t>
        </is>
      </c>
      <c r="W534" s="51" t="inlineStr">
        <is>
          <t>U7θ</t>
        </is>
      </c>
      <c r="X534" s="51" t="inlineStr">
        <is>
          <t>U8X</t>
        </is>
      </c>
      <c r="Y534" s="51" t="inlineStr">
        <is>
          <t>U8Y</t>
        </is>
      </c>
      <c r="Z534" s="51" t="inlineStr">
        <is>
          <t>U8θ</t>
        </is>
      </c>
      <c r="AA534" s="51" t="inlineStr">
        <is>
          <t>U9X</t>
        </is>
      </c>
      <c r="AB534" s="51" t="inlineStr">
        <is>
          <t>U9Y</t>
        </is>
      </c>
      <c r="AC534" s="51" t="inlineStr">
        <is>
          <t>U9θ</t>
        </is>
      </c>
      <c r="AD534" s="51" t="inlineStr">
        <is>
          <t>U10X</t>
        </is>
      </c>
      <c r="AE534" s="51" t="inlineStr">
        <is>
          <t>U10Y</t>
        </is>
      </c>
      <c r="AF534" s="51" t="inlineStr">
        <is>
          <t>U10θ</t>
        </is>
      </c>
      <c r="AG534" s="51" t="inlineStr">
        <is>
          <t>U11X</t>
        </is>
      </c>
      <c r="AH534" s="51" t="inlineStr">
        <is>
          <t>U11Y</t>
        </is>
      </c>
      <c r="AI534" s="51" t="inlineStr">
        <is>
          <t>U11θ</t>
        </is>
      </c>
      <c r="AJ534" s="51" t="inlineStr">
        <is>
          <t>U12X</t>
        </is>
      </c>
      <c r="AK534" s="51" t="inlineStr">
        <is>
          <t>U12Y</t>
        </is>
      </c>
      <c r="AL534" s="51" t="inlineStr">
        <is>
          <t>U12θ</t>
        </is>
      </c>
    </row>
    <row r="535">
      <c r="C535" s="189" t="n"/>
      <c r="D535" s="189" t="n"/>
      <c r="E535" s="189" t="n"/>
      <c r="F535" s="189" t="n"/>
      <c r="G535" s="189" t="n"/>
      <c r="H535" s="189" t="n"/>
      <c r="I535" s="189" t="n"/>
      <c r="J535" s="189" t="n"/>
      <c r="K535" s="189" t="n"/>
      <c r="L535" s="189" t="n"/>
      <c r="M535" s="189" t="n"/>
      <c r="N535" s="189" t="n"/>
      <c r="O535" s="189" t="n"/>
      <c r="P535" s="189" t="n"/>
      <c r="Q535" s="189" t="n"/>
      <c r="R535" s="189" t="n"/>
      <c r="S535" s="189" t="n"/>
      <c r="T535" s="189" t="n"/>
      <c r="U535" s="189" t="n"/>
      <c r="V535" s="189" t="n"/>
      <c r="W535" s="189" t="n"/>
      <c r="X535" s="189" t="n"/>
      <c r="Y535" s="189" t="n"/>
      <c r="Z535" s="189" t="n"/>
      <c r="AA535" s="189" t="n"/>
      <c r="AB535" s="189" t="n"/>
      <c r="AC535" s="189" t="n"/>
      <c r="AD535" s="189" t="n"/>
      <c r="AE535" s="189" t="n"/>
      <c r="AF535" s="189" t="n"/>
      <c r="AG535" s="189" t="n"/>
      <c r="AH535" s="189" t="n"/>
      <c r="AI535" s="189" t="n"/>
      <c r="AJ535" s="189" t="n"/>
      <c r="AK535" s="189" t="n"/>
      <c r="AL535" s="189" t="n"/>
      <c r="AM535" s="51" t="inlineStr">
        <is>
          <t>U1X</t>
        </is>
      </c>
    </row>
    <row r="536">
      <c r="C536" s="189" t="n"/>
      <c r="D536" s="189" t="n"/>
      <c r="E536" s="189" t="n"/>
      <c r="F536" s="189" t="n"/>
      <c r="G536" s="189" t="n"/>
      <c r="H536" s="189" t="n"/>
      <c r="I536" s="189" t="n"/>
      <c r="J536" s="189" t="n"/>
      <c r="K536" s="189" t="n"/>
      <c r="L536" s="189" t="n"/>
      <c r="M536" s="189" t="n"/>
      <c r="N536" s="189" t="n"/>
      <c r="O536" s="189" t="n"/>
      <c r="P536" s="189" t="n"/>
      <c r="Q536" s="189" t="n"/>
      <c r="R536" s="189" t="n"/>
      <c r="S536" s="189" t="n"/>
      <c r="T536" s="189" t="n"/>
      <c r="U536" s="189" t="n"/>
      <c r="V536" s="189" t="n"/>
      <c r="W536" s="189" t="n"/>
      <c r="X536" s="189" t="n"/>
      <c r="Y536" s="189" t="n"/>
      <c r="Z536" s="189" t="n"/>
      <c r="AA536" s="189" t="n"/>
      <c r="AB536" s="189" t="n"/>
      <c r="AC536" s="189" t="n"/>
      <c r="AD536" s="189" t="n"/>
      <c r="AE536" s="189" t="n"/>
      <c r="AF536" s="189" t="n"/>
      <c r="AG536" s="189" t="n"/>
      <c r="AH536" s="189" t="n"/>
      <c r="AI536" s="189" t="n"/>
      <c r="AJ536" s="189" t="n"/>
      <c r="AK536" s="189" t="n"/>
      <c r="AL536" s="189" t="n"/>
      <c r="AM536" s="51" t="inlineStr">
        <is>
          <t>U1Y</t>
        </is>
      </c>
    </row>
    <row r="537">
      <c r="C537" s="189" t="n"/>
      <c r="D537" s="189" t="n"/>
      <c r="E537" s="189" t="n"/>
      <c r="F537" s="189" t="n"/>
      <c r="G537" s="189" t="n"/>
      <c r="H537" s="189" t="n"/>
      <c r="I537" s="189" t="n"/>
      <c r="J537" s="189" t="n"/>
      <c r="K537" s="189" t="n"/>
      <c r="L537" s="189" t="n"/>
      <c r="M537" s="189" t="n"/>
      <c r="N537" s="189" t="n"/>
      <c r="O537" s="189" t="n"/>
      <c r="P537" s="189" t="n"/>
      <c r="Q537" s="189" t="n"/>
      <c r="R537" s="189" t="n"/>
      <c r="S537" s="189" t="n"/>
      <c r="T537" s="189" t="n"/>
      <c r="U537" s="189" t="n"/>
      <c r="V537" s="189" t="n"/>
      <c r="W537" s="189" t="n"/>
      <c r="X537" s="189" t="n"/>
      <c r="Y537" s="189" t="n"/>
      <c r="Z537" s="189" t="n"/>
      <c r="AA537" s="189" t="n"/>
      <c r="AB537" s="189" t="n"/>
      <c r="AC537" s="189" t="n"/>
      <c r="AD537" s="189" t="n"/>
      <c r="AE537" s="189" t="n"/>
      <c r="AF537" s="189" t="n"/>
      <c r="AG537" s="189" t="n"/>
      <c r="AH537" s="189" t="n"/>
      <c r="AI537" s="189" t="n"/>
      <c r="AJ537" s="189" t="n"/>
      <c r="AK537" s="189" t="n"/>
      <c r="AL537" s="189" t="n"/>
      <c r="AM537" s="51" t="inlineStr">
        <is>
          <t>U1θ</t>
        </is>
      </c>
    </row>
    <row r="538">
      <c r="C538" s="189" t="n"/>
      <c r="D538" s="189" t="n"/>
      <c r="E538" s="189" t="n"/>
      <c r="F538" s="189" t="n"/>
      <c r="G538" s="189" t="n"/>
      <c r="H538" s="189" t="n"/>
      <c r="I538" s="189" t="n"/>
      <c r="J538" s="189" t="n"/>
      <c r="K538" s="189" t="n"/>
      <c r="L538" s="189" t="n"/>
      <c r="M538" s="189" t="n"/>
      <c r="N538" s="189" t="n"/>
      <c r="O538" s="189" t="n"/>
      <c r="P538" s="189" t="n"/>
      <c r="Q538" s="189" t="n"/>
      <c r="R538" s="189" t="n"/>
      <c r="S538" s="189" t="n"/>
      <c r="T538" s="189" t="n"/>
      <c r="U538" s="189" t="n"/>
      <c r="V538" s="189" t="n"/>
      <c r="W538" s="189" t="n"/>
      <c r="X538" s="189" t="n"/>
      <c r="Y538" s="189" t="n"/>
      <c r="Z538" s="189" t="n"/>
      <c r="AA538" s="189" t="n"/>
      <c r="AB538" s="189" t="n"/>
      <c r="AC538" s="189" t="n"/>
      <c r="AD538" s="189" t="n"/>
      <c r="AE538" s="189" t="n"/>
      <c r="AF538" s="189" t="n"/>
      <c r="AG538" s="189" t="n"/>
      <c r="AH538" s="189" t="n"/>
      <c r="AI538" s="189" t="n"/>
      <c r="AJ538" s="189" t="n"/>
      <c r="AK538" s="189" t="n"/>
      <c r="AL538" s="189" t="n"/>
      <c r="AM538" s="51" t="inlineStr">
        <is>
          <t>U2X</t>
        </is>
      </c>
    </row>
    <row r="539">
      <c r="C539" s="189" t="n"/>
      <c r="D539" s="189" t="n"/>
      <c r="E539" s="189" t="n"/>
      <c r="F539" s="189" t="n"/>
      <c r="G539" s="189" t="n"/>
      <c r="H539" s="189" t="n"/>
      <c r="I539" s="189" t="n"/>
      <c r="J539" s="189" t="n"/>
      <c r="K539" s="189" t="n"/>
      <c r="L539" s="189" t="n"/>
      <c r="M539" s="189" t="n"/>
      <c r="N539" s="189" t="n"/>
      <c r="O539" s="189" t="n"/>
      <c r="P539" s="189" t="n"/>
      <c r="Q539" s="189" t="n"/>
      <c r="R539" s="189" t="n"/>
      <c r="S539" s="189" t="n"/>
      <c r="T539" s="189" t="n"/>
      <c r="U539" s="189" t="n"/>
      <c r="V539" s="189" t="n"/>
      <c r="W539" s="189" t="n"/>
      <c r="X539" s="189" t="n"/>
      <c r="Y539" s="189" t="n"/>
      <c r="Z539" s="189" t="n"/>
      <c r="AA539" s="189" t="n"/>
      <c r="AB539" s="189" t="n"/>
      <c r="AC539" s="189" t="n"/>
      <c r="AD539" s="189" t="n"/>
      <c r="AE539" s="189" t="n"/>
      <c r="AF539" s="189" t="n"/>
      <c r="AG539" s="189" t="n"/>
      <c r="AH539" s="189" t="n"/>
      <c r="AI539" s="189" t="n"/>
      <c r="AJ539" s="189" t="n"/>
      <c r="AK539" s="189" t="n"/>
      <c r="AL539" s="189" t="n"/>
      <c r="AM539" s="51" t="inlineStr">
        <is>
          <t>U2Y</t>
        </is>
      </c>
    </row>
    <row r="540">
      <c r="C540" s="189" t="n"/>
      <c r="D540" s="189" t="n"/>
      <c r="E540" s="189" t="n"/>
      <c r="F540" s="189" t="n"/>
      <c r="G540" s="189" t="n"/>
      <c r="H540" s="189" t="n"/>
      <c r="I540" s="189" t="n"/>
      <c r="J540" s="189" t="n"/>
      <c r="K540" s="189" t="n"/>
      <c r="L540" s="189" t="n"/>
      <c r="M540" s="189" t="n"/>
      <c r="N540" s="189" t="n"/>
      <c r="O540" s="189" t="n"/>
      <c r="P540" s="189" t="n"/>
      <c r="Q540" s="189" t="n"/>
      <c r="R540" s="189" t="n"/>
      <c r="S540" s="189" t="n"/>
      <c r="T540" s="189" t="n"/>
      <c r="U540" s="189" t="n"/>
      <c r="V540" s="189" t="n"/>
      <c r="W540" s="189" t="n"/>
      <c r="X540" s="189" t="n"/>
      <c r="Y540" s="189" t="n"/>
      <c r="Z540" s="189" t="n"/>
      <c r="AA540" s="189" t="n"/>
      <c r="AB540" s="189" t="n"/>
      <c r="AC540" s="189" t="n"/>
      <c r="AD540" s="189" t="n"/>
      <c r="AE540" s="189" t="n"/>
      <c r="AF540" s="189" t="n"/>
      <c r="AG540" s="189" t="n"/>
      <c r="AH540" s="189" t="n"/>
      <c r="AI540" s="189" t="n"/>
      <c r="AJ540" s="189" t="n"/>
      <c r="AK540" s="189" t="n"/>
      <c r="AL540" s="189" t="n"/>
      <c r="AM540" s="51" t="inlineStr">
        <is>
          <t>U2θ</t>
        </is>
      </c>
    </row>
    <row r="541">
      <c r="C541" s="189" t="n"/>
      <c r="D541" s="189" t="n"/>
      <c r="E541" s="189" t="n"/>
      <c r="F541" s="189" t="n"/>
      <c r="G541" s="189" t="n"/>
      <c r="H541" s="189" t="n"/>
      <c r="I541" s="189" t="n"/>
      <c r="J541" s="189" t="n"/>
      <c r="K541" s="189" t="n"/>
      <c r="L541" s="189" t="n"/>
      <c r="M541" s="189" t="n"/>
      <c r="N541" s="189" t="n"/>
      <c r="O541" s="189" t="n"/>
      <c r="P541" s="189" t="n"/>
      <c r="Q541" s="189" t="n"/>
      <c r="R541" s="189" t="n"/>
      <c r="S541" s="189" t="n"/>
      <c r="T541" s="189" t="n"/>
      <c r="U541" s="189" t="n"/>
      <c r="V541" s="189" t="n"/>
      <c r="W541" s="189" t="n"/>
      <c r="X541" s="189" t="n"/>
      <c r="Y541" s="189" t="n"/>
      <c r="Z541" s="189" t="n"/>
      <c r="AA541" s="189" t="n"/>
      <c r="AB541" s="189" t="n"/>
      <c r="AC541" s="189" t="n"/>
      <c r="AD541" s="189" t="n"/>
      <c r="AE541" s="189" t="n"/>
      <c r="AF541" s="189" t="n"/>
      <c r="AG541" s="189" t="n"/>
      <c r="AH541" s="189" t="n"/>
      <c r="AI541" s="189" t="n"/>
      <c r="AJ541" s="189" t="n"/>
      <c r="AK541" s="189" t="n"/>
      <c r="AL541" s="189" t="n"/>
      <c r="AM541" s="51" t="inlineStr">
        <is>
          <t>U3X</t>
        </is>
      </c>
    </row>
    <row r="542">
      <c r="C542" s="189" t="n"/>
      <c r="D542" s="189" t="n"/>
      <c r="E542" s="189" t="n"/>
      <c r="F542" s="189" t="n"/>
      <c r="G542" s="189" t="n"/>
      <c r="H542" s="189" t="n"/>
      <c r="I542" s="189" t="n"/>
      <c r="J542" s="189" t="n"/>
      <c r="K542" s="189" t="n"/>
      <c r="L542" s="189" t="n"/>
      <c r="M542" s="189" t="n"/>
      <c r="N542" s="189" t="n"/>
      <c r="O542" s="189" t="n"/>
      <c r="P542" s="189" t="n"/>
      <c r="Q542" s="189" t="n"/>
      <c r="R542" s="189" t="n"/>
      <c r="S542" s="189" t="n"/>
      <c r="T542" s="189" t="n"/>
      <c r="U542" s="189" t="n"/>
      <c r="V542" s="189" t="n"/>
      <c r="W542" s="189" t="n"/>
      <c r="X542" s="189" t="n"/>
      <c r="Y542" s="189" t="n"/>
      <c r="Z542" s="189" t="n"/>
      <c r="AA542" s="189" t="n"/>
      <c r="AB542" s="189" t="n"/>
      <c r="AC542" s="189" t="n"/>
      <c r="AD542" s="189" t="n"/>
      <c r="AE542" s="189" t="n"/>
      <c r="AF542" s="189" t="n"/>
      <c r="AG542" s="189" t="n"/>
      <c r="AH542" s="189" t="n"/>
      <c r="AI542" s="189" t="n"/>
      <c r="AJ542" s="189" t="n"/>
      <c r="AK542" s="189" t="n"/>
      <c r="AL542" s="189" t="n"/>
      <c r="AM542" s="51" t="inlineStr">
        <is>
          <t>U3Y</t>
        </is>
      </c>
    </row>
    <row r="543">
      <c r="C543" s="189" t="n"/>
      <c r="D543" s="189" t="n"/>
      <c r="E543" s="189" t="n"/>
      <c r="F543" s="189" t="n"/>
      <c r="G543" s="189" t="n"/>
      <c r="H543" s="189" t="n"/>
      <c r="I543" s="189" t="n"/>
      <c r="J543" s="189" t="n"/>
      <c r="K543" s="189" t="n"/>
      <c r="L543" s="189" t="n"/>
      <c r="M543" s="189" t="n"/>
      <c r="N543" s="189" t="n"/>
      <c r="O543" s="189" t="n"/>
      <c r="P543" s="189" t="n"/>
      <c r="Q543" s="189" t="n"/>
      <c r="R543" s="189" t="n"/>
      <c r="S543" s="189" t="n"/>
      <c r="T543" s="189" t="n"/>
      <c r="U543" s="189" t="n"/>
      <c r="V543" s="189" t="n"/>
      <c r="W543" s="189" t="n"/>
      <c r="X543" s="189" t="n"/>
      <c r="Y543" s="189" t="n"/>
      <c r="Z543" s="189" t="n"/>
      <c r="AA543" s="189" t="n"/>
      <c r="AB543" s="189" t="n"/>
      <c r="AC543" s="189" t="n"/>
      <c r="AD543" s="189" t="n"/>
      <c r="AE543" s="189" t="n"/>
      <c r="AF543" s="189" t="n"/>
      <c r="AG543" s="189" t="n"/>
      <c r="AH543" s="189" t="n"/>
      <c r="AI543" s="189" t="n"/>
      <c r="AJ543" s="189" t="n"/>
      <c r="AK543" s="189" t="n"/>
      <c r="AL543" s="189" t="n"/>
      <c r="AM543" s="51" t="inlineStr">
        <is>
          <t>U3θ</t>
        </is>
      </c>
    </row>
    <row r="544">
      <c r="C544" s="189" t="n"/>
      <c r="D544" s="189" t="n"/>
      <c r="E544" s="189" t="n"/>
      <c r="F544" s="189" t="n"/>
      <c r="G544" s="189" t="n"/>
      <c r="H544" s="189" t="n"/>
      <c r="I544" s="189" t="n"/>
      <c r="J544" s="189" t="n"/>
      <c r="K544" s="189" t="n"/>
      <c r="L544" s="189" t="n"/>
      <c r="M544" s="189" t="n"/>
      <c r="N544" s="189" t="n"/>
      <c r="O544" s="189" t="n"/>
      <c r="P544" s="189" t="n"/>
      <c r="Q544" s="189" t="n"/>
      <c r="R544" s="189" t="n"/>
      <c r="S544" s="189" t="n"/>
      <c r="T544" s="189" t="n"/>
      <c r="U544" s="189" t="n"/>
      <c r="V544" s="189" t="n"/>
      <c r="W544" s="189" t="n"/>
      <c r="X544" s="189" t="n"/>
      <c r="Y544" s="189" t="n"/>
      <c r="Z544" s="189" t="n"/>
      <c r="AA544" s="189" t="n"/>
      <c r="AB544" s="189" t="n"/>
      <c r="AC544" s="189" t="n"/>
      <c r="AD544" s="189" t="n"/>
      <c r="AE544" s="189" t="n"/>
      <c r="AF544" s="189" t="n"/>
      <c r="AG544" s="189" t="n"/>
      <c r="AH544" s="189" t="n"/>
      <c r="AI544" s="189" t="n"/>
      <c r="AJ544" s="189" t="n"/>
      <c r="AK544" s="189" t="n"/>
      <c r="AL544" s="189" t="n"/>
      <c r="AM544" s="51" t="inlineStr">
        <is>
          <t>U4X</t>
        </is>
      </c>
    </row>
    <row r="545">
      <c r="C545" s="189" t="n"/>
      <c r="D545" s="189" t="n"/>
      <c r="E545" s="189" t="n"/>
      <c r="F545" s="189" t="n"/>
      <c r="G545" s="189" t="n"/>
      <c r="H545" s="189" t="n"/>
      <c r="I545" s="189" t="n"/>
      <c r="J545" s="189" t="n"/>
      <c r="K545" s="189" t="n"/>
      <c r="L545" s="189" t="n"/>
      <c r="M545" s="189" t="n"/>
      <c r="N545" s="189" t="n"/>
      <c r="O545" s="189" t="n"/>
      <c r="P545" s="189" t="n"/>
      <c r="Q545" s="189" t="n"/>
      <c r="R545" s="189" t="n"/>
      <c r="S545" s="189" t="n"/>
      <c r="T545" s="189" t="n"/>
      <c r="U545" s="189" t="n"/>
      <c r="V545" s="189" t="n"/>
      <c r="W545" s="189" t="n"/>
      <c r="X545" s="189" t="n"/>
      <c r="Y545" s="189" t="n"/>
      <c r="Z545" s="189" t="n"/>
      <c r="AA545" s="189" t="n"/>
      <c r="AB545" s="189" t="n"/>
      <c r="AC545" s="189" t="n"/>
      <c r="AD545" s="189" t="n"/>
      <c r="AE545" s="189" t="n"/>
      <c r="AF545" s="189" t="n"/>
      <c r="AG545" s="189" t="n"/>
      <c r="AH545" s="189" t="n"/>
      <c r="AI545" s="189" t="n"/>
      <c r="AJ545" s="189" t="n"/>
      <c r="AK545" s="189" t="n"/>
      <c r="AL545" s="189" t="n"/>
      <c r="AM545" s="51" t="inlineStr">
        <is>
          <t>U4Y</t>
        </is>
      </c>
    </row>
    <row r="546">
      <c r="C546" s="189" t="n"/>
      <c r="D546" s="189" t="n"/>
      <c r="E546" s="189" t="n"/>
      <c r="F546" s="189" t="n"/>
      <c r="G546" s="189" t="n"/>
      <c r="H546" s="189" t="n"/>
      <c r="I546" s="189" t="n"/>
      <c r="J546" s="189" t="n"/>
      <c r="K546" s="189" t="n"/>
      <c r="L546" s="189" t="n"/>
      <c r="M546" s="189" t="n"/>
      <c r="N546" s="189" t="n"/>
      <c r="O546" s="189" t="n"/>
      <c r="P546" s="189" t="n"/>
      <c r="Q546" s="189" t="n"/>
      <c r="R546" s="189" t="n"/>
      <c r="S546" s="189" t="n"/>
      <c r="T546" s="189" t="n"/>
      <c r="U546" s="189" t="n"/>
      <c r="V546" s="189" t="n"/>
      <c r="W546" s="189" t="n"/>
      <c r="X546" s="189" t="n"/>
      <c r="Y546" s="189" t="n"/>
      <c r="Z546" s="189" t="n"/>
      <c r="AA546" s="189" t="n"/>
      <c r="AB546" s="189" t="n"/>
      <c r="AC546" s="189" t="n"/>
      <c r="AD546" s="189" t="n"/>
      <c r="AE546" s="189" t="n"/>
      <c r="AF546" s="189" t="n"/>
      <c r="AG546" s="189" t="n"/>
      <c r="AH546" s="189" t="n"/>
      <c r="AI546" s="189" t="n"/>
      <c r="AJ546" s="189" t="n"/>
      <c r="AK546" s="189" t="n"/>
      <c r="AL546" s="189" t="n"/>
      <c r="AM546" s="51" t="inlineStr">
        <is>
          <t>U4θ</t>
        </is>
      </c>
    </row>
    <row r="547">
      <c r="C547" s="189" t="n"/>
      <c r="D547" s="189" t="n"/>
      <c r="E547" s="189" t="n"/>
      <c r="F547" s="189" t="n"/>
      <c r="G547" s="189" t="n"/>
      <c r="H547" s="189" t="n"/>
      <c r="I547" s="189" t="n"/>
      <c r="J547" s="189" t="n"/>
      <c r="K547" s="189" t="n"/>
      <c r="L547" s="189" t="n"/>
      <c r="M547" s="189" t="n"/>
      <c r="N547" s="189" t="n"/>
      <c r="O547" s="189" t="n"/>
      <c r="P547" s="189" t="n"/>
      <c r="Q547" s="189" t="n"/>
      <c r="R547" s="189" t="n"/>
      <c r="S547" s="189" t="n"/>
      <c r="T547" s="189" t="n"/>
      <c r="U547" s="189" t="n"/>
      <c r="V547" s="189" t="n"/>
      <c r="W547" s="189" t="n"/>
      <c r="X547" s="189" t="n"/>
      <c r="Y547" s="189" t="n"/>
      <c r="Z547" s="189" t="n"/>
      <c r="AA547" s="189" t="n"/>
      <c r="AB547" s="189" t="n"/>
      <c r="AC547" s="189" t="n"/>
      <c r="AD547" s="189" t="n"/>
      <c r="AE547" s="189" t="n"/>
      <c r="AF547" s="189" t="n"/>
      <c r="AG547" s="189" t="n"/>
      <c r="AH547" s="189" t="n"/>
      <c r="AI547" s="189" t="n"/>
      <c r="AJ547" s="189" t="n"/>
      <c r="AK547" s="189" t="n"/>
      <c r="AL547" s="189" t="n"/>
      <c r="AM547" s="51" t="inlineStr">
        <is>
          <t>U5X</t>
        </is>
      </c>
    </row>
    <row r="548">
      <c r="C548" s="189" t="n"/>
      <c r="D548" s="189" t="n"/>
      <c r="E548" s="189" t="n"/>
      <c r="F548" s="189" t="n"/>
      <c r="G548" s="189" t="n"/>
      <c r="H548" s="189" t="n"/>
      <c r="I548" s="189" t="n"/>
      <c r="J548" s="189" t="n"/>
      <c r="K548" s="189" t="n"/>
      <c r="L548" s="189" t="n"/>
      <c r="M548" s="189" t="n"/>
      <c r="N548" s="189" t="n"/>
      <c r="O548" s="189" t="n"/>
      <c r="P548" s="189" t="n"/>
      <c r="Q548" s="189" t="n"/>
      <c r="R548" s="189" t="n"/>
      <c r="S548" s="189" t="n"/>
      <c r="T548" s="189" t="n"/>
      <c r="U548" s="189" t="n"/>
      <c r="V548" s="189" t="n"/>
      <c r="W548" s="189" t="n"/>
      <c r="X548" s="189" t="n"/>
      <c r="Y548" s="189" t="n"/>
      <c r="Z548" s="189" t="n"/>
      <c r="AA548" s="189" t="n"/>
      <c r="AB548" s="189" t="n"/>
      <c r="AC548" s="189" t="n"/>
      <c r="AD548" s="189" t="n"/>
      <c r="AE548" s="189" t="n"/>
      <c r="AF548" s="189" t="n"/>
      <c r="AG548" s="189" t="n"/>
      <c r="AH548" s="189" t="n"/>
      <c r="AI548" s="189" t="n"/>
      <c r="AJ548" s="189" t="n"/>
      <c r="AK548" s="189" t="n"/>
      <c r="AL548" s="189" t="n"/>
      <c r="AM548" s="51" t="inlineStr">
        <is>
          <t>U5Y</t>
        </is>
      </c>
    </row>
    <row r="549">
      <c r="C549" s="189" t="n"/>
      <c r="D549" s="189" t="n"/>
      <c r="E549" s="189" t="n"/>
      <c r="F549" s="189" t="n"/>
      <c r="G549" s="189" t="n"/>
      <c r="H549" s="189" t="n"/>
      <c r="I549" s="189" t="n"/>
      <c r="J549" s="189" t="n"/>
      <c r="K549" s="189" t="n"/>
      <c r="L549" s="189" t="n"/>
      <c r="M549" s="189" t="n"/>
      <c r="N549" s="189" t="n"/>
      <c r="O549" s="189" t="n"/>
      <c r="P549" s="189" t="n"/>
      <c r="Q549" s="189" t="n"/>
      <c r="R549" s="189" t="n"/>
      <c r="S549" s="189" t="n"/>
      <c r="T549" s="189" t="n"/>
      <c r="U549" s="189" t="n"/>
      <c r="V549" s="189" t="n"/>
      <c r="W549" s="189" t="n"/>
      <c r="X549" s="189" t="n"/>
      <c r="Y549" s="189" t="n"/>
      <c r="Z549" s="189" t="n"/>
      <c r="AA549" s="189" t="n"/>
      <c r="AB549" s="189" t="n"/>
      <c r="AC549" s="189" t="n"/>
      <c r="AD549" s="189" t="n"/>
      <c r="AE549" s="189" t="n"/>
      <c r="AF549" s="189" t="n"/>
      <c r="AG549" s="189" t="n"/>
      <c r="AH549" s="189" t="n"/>
      <c r="AI549" s="189" t="n"/>
      <c r="AJ549" s="189" t="n"/>
      <c r="AK549" s="189" t="n"/>
      <c r="AL549" s="189" t="n"/>
      <c r="AM549" s="51" t="inlineStr">
        <is>
          <t>U5θ</t>
        </is>
      </c>
    </row>
    <row r="550">
      <c r="C550" s="189" t="n"/>
      <c r="D550" s="189" t="n"/>
      <c r="E550" s="189" t="n"/>
      <c r="F550" s="189" t="n"/>
      <c r="G550" s="189" t="n"/>
      <c r="H550" s="189" t="n"/>
      <c r="I550" s="189" t="n"/>
      <c r="J550" s="189" t="n"/>
      <c r="K550" s="189" t="n"/>
      <c r="L550" s="189" t="n"/>
      <c r="M550" s="189" t="n"/>
      <c r="N550" s="189" t="n"/>
      <c r="O550" s="189" t="n"/>
      <c r="P550" s="189" t="n"/>
      <c r="Q550" s="189" t="n"/>
      <c r="R550" s="189" t="n"/>
      <c r="S550" s="189" t="n"/>
      <c r="T550" s="189" t="n"/>
      <c r="U550" s="189" t="n"/>
      <c r="V550" s="189" t="n"/>
      <c r="W550" s="189" t="n"/>
      <c r="X550" s="189" t="n"/>
      <c r="Y550" s="189" t="n"/>
      <c r="Z550" s="189" t="n"/>
      <c r="AA550" s="189" t="n"/>
      <c r="AB550" s="189" t="n"/>
      <c r="AC550" s="189" t="n"/>
      <c r="AD550" s="189" t="n"/>
      <c r="AE550" s="189" t="n"/>
      <c r="AF550" s="189" t="n"/>
      <c r="AG550" s="189" t="n"/>
      <c r="AH550" s="189" t="n"/>
      <c r="AI550" s="189" t="n"/>
      <c r="AJ550" s="189" t="n"/>
      <c r="AK550" s="189" t="n"/>
      <c r="AL550" s="189" t="n"/>
      <c r="AM550" s="51" t="inlineStr">
        <is>
          <t>U6X</t>
        </is>
      </c>
    </row>
    <row r="551">
      <c r="C551" s="189" t="n"/>
      <c r="D551" s="189" t="n"/>
      <c r="E551" s="189" t="n"/>
      <c r="F551" s="189" t="n"/>
      <c r="G551" s="189" t="n"/>
      <c r="H551" s="189" t="n"/>
      <c r="I551" s="189" t="n"/>
      <c r="J551" s="189" t="n"/>
      <c r="K551" s="189" t="n"/>
      <c r="L551" s="189" t="n"/>
      <c r="M551" s="189" t="n"/>
      <c r="N551" s="189" t="n"/>
      <c r="O551" s="189" t="n"/>
      <c r="P551" s="189" t="n"/>
      <c r="Q551" s="189" t="n"/>
      <c r="R551" s="189" t="n"/>
      <c r="S551" s="189" t="n"/>
      <c r="T551" s="189" t="n"/>
      <c r="U551" s="189" t="n"/>
      <c r="V551" s="189" t="n"/>
      <c r="W551" s="189" t="n"/>
      <c r="X551" s="189" t="n"/>
      <c r="Y551" s="189" t="n"/>
      <c r="Z551" s="189" t="n"/>
      <c r="AA551" s="189" t="n"/>
      <c r="AB551" s="189" t="n"/>
      <c r="AC551" s="189" t="n"/>
      <c r="AD551" s="189" t="n"/>
      <c r="AE551" s="189" t="n"/>
      <c r="AF551" s="189" t="n"/>
      <c r="AG551" s="189" t="n"/>
      <c r="AH551" s="189" t="n"/>
      <c r="AI551" s="189" t="n"/>
      <c r="AJ551" s="189" t="n"/>
      <c r="AK551" s="189" t="n"/>
      <c r="AL551" s="189" t="n"/>
      <c r="AM551" s="51" t="inlineStr">
        <is>
          <t>U6Y</t>
        </is>
      </c>
    </row>
    <row r="552">
      <c r="B552" s="118" t="inlineStr">
        <is>
          <t>K11 =</t>
        </is>
      </c>
      <c r="C552" s="189" t="n"/>
      <c r="D552" s="189" t="n"/>
      <c r="E552" s="189" t="n"/>
      <c r="F552" s="189" t="n"/>
      <c r="G552" s="189" t="n"/>
      <c r="H552" s="189" t="n"/>
      <c r="I552" s="189" t="n"/>
      <c r="J552" s="189" t="n"/>
      <c r="K552" s="189" t="n"/>
      <c r="L552" s="189" t="n"/>
      <c r="M552" s="189" t="n"/>
      <c r="N552" s="189" t="n"/>
      <c r="O552" s="189" t="n"/>
      <c r="P552" s="189" t="n"/>
      <c r="Q552" s="189" t="n"/>
      <c r="R552" s="189" t="n"/>
      <c r="S552" s="189" t="n"/>
      <c r="T552" s="189" t="n"/>
      <c r="U552" s="189" t="n"/>
      <c r="V552" s="189" t="n"/>
      <c r="W552" s="189" t="n"/>
      <c r="X552" s="189" t="n"/>
      <c r="Y552" s="189" t="n"/>
      <c r="Z552" s="189" t="n"/>
      <c r="AA552" s="189" t="n"/>
      <c r="AB552" s="189" t="n"/>
      <c r="AC552" s="189" t="n"/>
      <c r="AD552" s="189" t="n"/>
      <c r="AE552" s="189" t="n"/>
      <c r="AF552" s="189" t="n"/>
      <c r="AG552" s="189" t="n"/>
      <c r="AH552" s="189" t="n"/>
      <c r="AI552" s="189" t="n"/>
      <c r="AJ552" s="189" t="n"/>
      <c r="AK552" s="189" t="n"/>
      <c r="AL552" s="189" t="n"/>
      <c r="AM552" s="51" t="inlineStr">
        <is>
          <t>U6θ</t>
        </is>
      </c>
    </row>
    <row r="553">
      <c r="C553" s="189" t="n"/>
      <c r="D553" s="189" t="n"/>
      <c r="E553" s="189" t="n"/>
      <c r="F553" s="189" t="n"/>
      <c r="G553" s="189" t="n"/>
      <c r="H553" s="189" t="n"/>
      <c r="I553" s="189" t="n"/>
      <c r="J553" s="189" t="n"/>
      <c r="K553" s="189" t="n"/>
      <c r="L553" s="189" t="n"/>
      <c r="M553" s="189" t="n"/>
      <c r="N553" s="189" t="n"/>
      <c r="O553" s="189" t="n"/>
      <c r="P553" s="189" t="n"/>
      <c r="Q553" s="189" t="n"/>
      <c r="R553" s="189" t="n"/>
      <c r="S553" s="189" t="n"/>
      <c r="T553" s="189" t="n"/>
      <c r="U553" s="189" t="n"/>
      <c r="V553" s="189" t="n"/>
      <c r="W553" s="189" t="n"/>
      <c r="X553" s="189" t="n"/>
      <c r="Y553" s="189" t="n"/>
      <c r="Z553" s="189" t="n"/>
      <c r="AA553" s="189" t="n"/>
      <c r="AB553" s="189" t="n"/>
      <c r="AC553" s="189" t="n"/>
      <c r="AD553" s="189" t="n"/>
      <c r="AE553" s="189" t="n"/>
      <c r="AF553" s="189" t="n"/>
      <c r="AG553" s="189" t="n"/>
      <c r="AH553" s="189" t="n"/>
      <c r="AI553" s="189" t="n"/>
      <c r="AJ553" s="189" t="n"/>
      <c r="AK553" s="189" t="n"/>
      <c r="AL553" s="189" t="n"/>
      <c r="AM553" s="51" t="inlineStr">
        <is>
          <t>U7X</t>
        </is>
      </c>
    </row>
    <row r="554">
      <c r="C554" s="189" t="n"/>
      <c r="D554" s="189" t="n"/>
      <c r="E554" s="189" t="n"/>
      <c r="F554" s="189" t="n"/>
      <c r="G554" s="189" t="n"/>
      <c r="H554" s="189" t="n"/>
      <c r="I554" s="189" t="n"/>
      <c r="J554" s="189" t="n"/>
      <c r="K554" s="189" t="n"/>
      <c r="L554" s="189" t="n"/>
      <c r="M554" s="189" t="n"/>
      <c r="N554" s="189" t="n"/>
      <c r="O554" s="189" t="n"/>
      <c r="P554" s="189" t="n"/>
      <c r="Q554" s="189" t="n"/>
      <c r="R554" s="189" t="n"/>
      <c r="S554" s="189" t="n"/>
      <c r="T554" s="189" t="n"/>
      <c r="U554" s="189" t="n"/>
      <c r="V554" s="189" t="n"/>
      <c r="W554" s="189" t="n"/>
      <c r="X554" s="189" t="n"/>
      <c r="Y554" s="189" t="n"/>
      <c r="Z554" s="189" t="n"/>
      <c r="AA554" s="189" t="n"/>
      <c r="AB554" s="189" t="n"/>
      <c r="AC554" s="189" t="n"/>
      <c r="AD554" s="189" t="n"/>
      <c r="AE554" s="189" t="n"/>
      <c r="AF554" s="189" t="n"/>
      <c r="AG554" s="189" t="n"/>
      <c r="AH554" s="189" t="n"/>
      <c r="AI554" s="189" t="n"/>
      <c r="AJ554" s="189" t="n"/>
      <c r="AK554" s="189" t="n"/>
      <c r="AL554" s="189" t="n"/>
      <c r="AM554" s="51" t="inlineStr">
        <is>
          <t>U7Y</t>
        </is>
      </c>
    </row>
    <row r="555">
      <c r="C555" s="189" t="n"/>
      <c r="D555" s="189" t="n"/>
      <c r="E555" s="189" t="n"/>
      <c r="F555" s="189" t="n"/>
      <c r="G555" s="189" t="n"/>
      <c r="H555" s="189" t="n"/>
      <c r="I555" s="189" t="n"/>
      <c r="J555" s="189" t="n"/>
      <c r="K555" s="189" t="n"/>
      <c r="L555" s="189" t="n"/>
      <c r="M555" s="189" t="n"/>
      <c r="N555" s="189" t="n"/>
      <c r="O555" s="189" t="n"/>
      <c r="P555" s="189" t="n"/>
      <c r="Q555" s="189" t="n"/>
      <c r="R555" s="189" t="n"/>
      <c r="S555" s="189" t="n"/>
      <c r="T555" s="189" t="n"/>
      <c r="U555" s="189" t="n"/>
      <c r="V555" s="189" t="n"/>
      <c r="W555" s="189" t="n"/>
      <c r="X555" s="189" t="n"/>
      <c r="Y555" s="189" t="n"/>
      <c r="Z555" s="189" t="n"/>
      <c r="AA555" s="189" t="n"/>
      <c r="AB555" s="189" t="n"/>
      <c r="AC555" s="189" t="n"/>
      <c r="AD555" s="189" t="n"/>
      <c r="AE555" s="189" t="n"/>
      <c r="AF555" s="189" t="n"/>
      <c r="AG555" s="189" t="n"/>
      <c r="AH555" s="189" t="n"/>
      <c r="AI555" s="189" t="n"/>
      <c r="AJ555" s="189" t="n"/>
      <c r="AK555" s="189" t="n"/>
      <c r="AL555" s="189" t="n"/>
      <c r="AM555" s="51" t="inlineStr">
        <is>
          <t>U7θ</t>
        </is>
      </c>
    </row>
    <row r="556">
      <c r="C556" s="189" t="n"/>
      <c r="D556" s="189" t="n"/>
      <c r="E556" s="189" t="n"/>
      <c r="F556" s="189" t="n"/>
      <c r="G556" s="189" t="n"/>
      <c r="H556" s="189" t="n"/>
      <c r="I556" s="189" t="n"/>
      <c r="J556" s="189" t="n"/>
      <c r="K556" s="189" t="n"/>
      <c r="L556" s="189" t="n"/>
      <c r="M556" s="189" t="n"/>
      <c r="N556" s="189" t="n"/>
      <c r="O556" s="189" t="n"/>
      <c r="P556" s="189" t="n"/>
      <c r="Q556" s="189" t="n"/>
      <c r="R556" s="189" t="n"/>
      <c r="S556" s="189" t="n"/>
      <c r="T556" s="189" t="n"/>
      <c r="U556" s="189" t="n"/>
      <c r="V556" s="189" t="n"/>
      <c r="W556" s="189" t="n"/>
      <c r="X556" s="189" t="n"/>
      <c r="Y556" s="189" t="n"/>
      <c r="Z556" s="189" t="n"/>
      <c r="AA556" s="189" t="n"/>
      <c r="AB556" s="189" t="n"/>
      <c r="AC556" s="189" t="n"/>
      <c r="AD556" s="189" t="n"/>
      <c r="AE556" s="189" t="n"/>
      <c r="AF556" s="189" t="n"/>
      <c r="AG556" s="189" t="n"/>
      <c r="AH556" s="189" t="n"/>
      <c r="AI556" s="189" t="n"/>
      <c r="AJ556" s="189" t="n"/>
      <c r="AK556" s="189" t="n"/>
      <c r="AL556" s="189" t="n"/>
      <c r="AM556" s="51" t="inlineStr">
        <is>
          <t>U8X</t>
        </is>
      </c>
    </row>
    <row r="557">
      <c r="C557" s="189" t="n"/>
      <c r="D557" s="189" t="n"/>
      <c r="E557" s="189" t="n"/>
      <c r="F557" s="189" t="n"/>
      <c r="G557" s="189" t="n"/>
      <c r="H557" s="189" t="n"/>
      <c r="I557" s="189" t="n"/>
      <c r="J557" s="189" t="n"/>
      <c r="K557" s="189" t="n"/>
      <c r="L557" s="189" t="n"/>
      <c r="M557" s="189" t="n"/>
      <c r="N557" s="189" t="n"/>
      <c r="O557" s="189" t="n"/>
      <c r="P557" s="189" t="n"/>
      <c r="Q557" s="189" t="n"/>
      <c r="R557" s="189" t="n"/>
      <c r="S557" s="189" t="n"/>
      <c r="T557" s="189" t="n"/>
      <c r="U557" s="189" t="n"/>
      <c r="V557" s="189" t="n"/>
      <c r="W557" s="189" t="n"/>
      <c r="X557" s="189" t="n"/>
      <c r="Y557" s="189" t="n"/>
      <c r="Z557" s="189" t="n"/>
      <c r="AA557" s="189" t="n"/>
      <c r="AB557" s="189" t="n"/>
      <c r="AC557" s="189" t="n"/>
      <c r="AD557" s="189" t="n"/>
      <c r="AE557" s="189" t="n"/>
      <c r="AF557" s="189" t="n"/>
      <c r="AG557" s="189" t="n"/>
      <c r="AH557" s="189" t="n"/>
      <c r="AI557" s="189" t="n"/>
      <c r="AJ557" s="189" t="n"/>
      <c r="AK557" s="189" t="n"/>
      <c r="AL557" s="189" t="n"/>
      <c r="AM557" s="51" t="inlineStr">
        <is>
          <t>U8Y</t>
        </is>
      </c>
    </row>
    <row r="558">
      <c r="C558" s="189" t="n"/>
      <c r="D558" s="189" t="n"/>
      <c r="E558" s="189" t="n"/>
      <c r="F558" s="189" t="n"/>
      <c r="G558" s="189" t="n"/>
      <c r="H558" s="189" t="n"/>
      <c r="I558" s="189" t="n"/>
      <c r="J558" s="189" t="n"/>
      <c r="K558" s="189" t="n"/>
      <c r="L558" s="189" t="n"/>
      <c r="M558" s="189" t="n"/>
      <c r="N558" s="189" t="n"/>
      <c r="O558" s="189" t="n"/>
      <c r="P558" s="189" t="n"/>
      <c r="Q558" s="189" t="n"/>
      <c r="R558" s="189" t="n"/>
      <c r="S558" s="189" t="n"/>
      <c r="T558" s="189" t="n"/>
      <c r="U558" s="189" t="n"/>
      <c r="V558" s="189" t="n"/>
      <c r="W558" s="189" t="n"/>
      <c r="X558" s="189" t="n"/>
      <c r="Y558" s="189" t="n"/>
      <c r="Z558" s="189" t="n"/>
      <c r="AA558" s="189" t="n"/>
      <c r="AB558" s="189" t="n"/>
      <c r="AC558" s="189" t="n"/>
      <c r="AD558" s="189" t="n"/>
      <c r="AE558" s="189" t="n"/>
      <c r="AF558" s="189" t="n"/>
      <c r="AG558" s="189" t="n"/>
      <c r="AH558" s="189" t="n"/>
      <c r="AI558" s="189" t="n"/>
      <c r="AJ558" s="189" t="n"/>
      <c r="AK558" s="189" t="n"/>
      <c r="AL558" s="189" t="n"/>
      <c r="AM558" s="51" t="inlineStr">
        <is>
          <t>U8θ</t>
        </is>
      </c>
    </row>
    <row r="559">
      <c r="C559" s="189" t="n"/>
      <c r="D559" s="189" t="n"/>
      <c r="E559" s="189" t="n"/>
      <c r="F559" s="189" t="n"/>
      <c r="G559" s="189" t="n"/>
      <c r="H559" s="189" t="n"/>
      <c r="I559" s="189" t="n"/>
      <c r="J559" s="189" t="n"/>
      <c r="K559" s="189" t="n"/>
      <c r="L559" s="189" t="n"/>
      <c r="M559" s="189" t="n"/>
      <c r="N559" s="189" t="n"/>
      <c r="O559" s="189" t="n"/>
      <c r="P559" s="189" t="n"/>
      <c r="Q559" s="189" t="n"/>
      <c r="R559" s="189" t="n"/>
      <c r="S559" s="189" t="n"/>
      <c r="T559" s="189" t="n"/>
      <c r="U559" s="189" t="n"/>
      <c r="V559" s="189" t="n"/>
      <c r="W559" s="189" t="n"/>
      <c r="X559" s="189" t="n"/>
      <c r="Y559" s="189" t="n"/>
      <c r="Z559" s="189" t="n"/>
      <c r="AA559" s="189" t="n"/>
      <c r="AB559" s="189" t="n"/>
      <c r="AC559" s="189" t="n"/>
      <c r="AD559" s="189" t="n"/>
      <c r="AE559" s="189" t="n"/>
      <c r="AF559" s="189" t="n"/>
      <c r="AG559" s="189" t="n"/>
      <c r="AH559" s="189" t="n"/>
      <c r="AI559" s="189" t="n"/>
      <c r="AJ559" s="189" t="n"/>
      <c r="AK559" s="189" t="n"/>
      <c r="AL559" s="189" t="n"/>
      <c r="AM559" s="51" t="inlineStr">
        <is>
          <t>U9X</t>
        </is>
      </c>
    </row>
    <row r="560">
      <c r="C560" s="189" t="n"/>
      <c r="D560" s="189" t="n"/>
      <c r="E560" s="189" t="n"/>
      <c r="F560" s="189" t="n"/>
      <c r="G560" s="189" t="n"/>
      <c r="H560" s="189" t="n"/>
      <c r="I560" s="189" t="n"/>
      <c r="J560" s="189" t="n"/>
      <c r="K560" s="189" t="n"/>
      <c r="L560" s="189" t="n"/>
      <c r="M560" s="189" t="n"/>
      <c r="N560" s="189" t="n"/>
      <c r="O560" s="189" t="n"/>
      <c r="P560" s="189" t="n"/>
      <c r="Q560" s="189" t="n"/>
      <c r="R560" s="189" t="n"/>
      <c r="S560" s="189" t="n"/>
      <c r="T560" s="189" t="n"/>
      <c r="U560" s="189" t="n"/>
      <c r="V560" s="189" t="n"/>
      <c r="W560" s="189" t="n"/>
      <c r="X560" s="189" t="n"/>
      <c r="Y560" s="189" t="n"/>
      <c r="Z560" s="189" t="n"/>
      <c r="AA560" s="189" t="n"/>
      <c r="AB560" s="189" t="n"/>
      <c r="AC560" s="189" t="n"/>
      <c r="AD560" s="189" t="n"/>
      <c r="AE560" s="189" t="n"/>
      <c r="AF560" s="189" t="n"/>
      <c r="AG560" s="189" t="n"/>
      <c r="AH560" s="189" t="n"/>
      <c r="AI560" s="189" t="n"/>
      <c r="AJ560" s="189" t="n"/>
      <c r="AK560" s="189" t="n"/>
      <c r="AL560" s="189" t="n"/>
      <c r="AM560" s="51" t="inlineStr">
        <is>
          <t>U9Y</t>
        </is>
      </c>
    </row>
    <row r="561">
      <c r="C561" s="189" t="n"/>
      <c r="D561" s="189" t="n"/>
      <c r="E561" s="189" t="n"/>
      <c r="F561" s="189" t="n"/>
      <c r="G561" s="189" t="n"/>
      <c r="H561" s="189" t="n"/>
      <c r="I561" s="189" t="n"/>
      <c r="J561" s="189" t="n"/>
      <c r="K561" s="189" t="n"/>
      <c r="L561" s="189" t="n"/>
      <c r="M561" s="189" t="n"/>
      <c r="N561" s="189" t="n"/>
      <c r="O561" s="189" t="n"/>
      <c r="P561" s="189" t="n"/>
      <c r="Q561" s="189" t="n"/>
      <c r="R561" s="189" t="n"/>
      <c r="S561" s="189" t="n"/>
      <c r="T561" s="189" t="n"/>
      <c r="U561" s="189" t="n"/>
      <c r="V561" s="189" t="n"/>
      <c r="W561" s="189" t="n"/>
      <c r="X561" s="189" t="n"/>
      <c r="Y561" s="189" t="n"/>
      <c r="Z561" s="189" t="n"/>
      <c r="AA561" s="189" t="n"/>
      <c r="AB561" s="189" t="n"/>
      <c r="AC561" s="189" t="n"/>
      <c r="AD561" s="189" t="n"/>
      <c r="AE561" s="189" t="n"/>
      <c r="AF561" s="189" t="n"/>
      <c r="AG561" s="189" t="n"/>
      <c r="AH561" s="189" t="n"/>
      <c r="AI561" s="189" t="n"/>
      <c r="AJ561" s="189" t="n"/>
      <c r="AK561" s="189" t="n"/>
      <c r="AL561" s="189" t="n"/>
      <c r="AM561" s="51" t="inlineStr">
        <is>
          <t>U9θ</t>
        </is>
      </c>
    </row>
    <row r="562">
      <c r="C562" s="189" t="n"/>
      <c r="D562" s="189" t="n"/>
      <c r="E562" s="189" t="n"/>
      <c r="F562" s="189" t="n"/>
      <c r="G562" s="189" t="n"/>
      <c r="H562" s="189" t="n"/>
      <c r="I562" s="189" t="n"/>
      <c r="J562" s="189" t="n"/>
      <c r="K562" s="189" t="n"/>
      <c r="L562" s="189" t="n"/>
      <c r="M562" s="189" t="n"/>
      <c r="N562" s="189" t="n"/>
      <c r="O562" s="189" t="n"/>
      <c r="P562" s="189" t="n"/>
      <c r="Q562" s="189" t="n"/>
      <c r="R562" s="189" t="n"/>
      <c r="S562" s="189" t="n"/>
      <c r="T562" s="189" t="n"/>
      <c r="U562" s="189" t="n"/>
      <c r="V562" s="189" t="n"/>
      <c r="W562" s="189" t="n"/>
      <c r="X562" s="189" t="n"/>
      <c r="Y562" s="189" t="n"/>
      <c r="Z562" s="189" t="n"/>
      <c r="AA562" s="189" t="n"/>
      <c r="AB562" s="189" t="n"/>
      <c r="AC562" s="189" t="n"/>
      <c r="AD562" s="189" t="n"/>
      <c r="AE562" s="189" t="n"/>
      <c r="AF562" s="189" t="n"/>
      <c r="AG562" s="189" t="n"/>
      <c r="AH562" s="189" t="n"/>
      <c r="AI562" s="189" t="n"/>
      <c r="AJ562" s="189" t="n"/>
      <c r="AK562" s="189" t="n"/>
      <c r="AL562" s="189" t="n"/>
      <c r="AM562" s="51" t="inlineStr">
        <is>
          <t>U10X</t>
        </is>
      </c>
    </row>
    <row r="563">
      <c r="C563" s="189" t="n"/>
      <c r="D563" s="189" t="n"/>
      <c r="E563" s="189" t="n"/>
      <c r="F563" s="189" t="n"/>
      <c r="G563" s="189" t="n"/>
      <c r="H563" s="189" t="n"/>
      <c r="I563" s="189" t="n"/>
      <c r="J563" s="189" t="n"/>
      <c r="K563" s="189" t="n"/>
      <c r="L563" s="189" t="n"/>
      <c r="M563" s="189" t="n"/>
      <c r="N563" s="189" t="n"/>
      <c r="O563" s="189" t="n"/>
      <c r="P563" s="189" t="n"/>
      <c r="Q563" s="189" t="n"/>
      <c r="R563" s="189" t="n"/>
      <c r="S563" s="189" t="n"/>
      <c r="T563" s="189" t="n"/>
      <c r="U563" s="189" t="n"/>
      <c r="V563" s="189" t="n"/>
      <c r="W563" s="189" t="n"/>
      <c r="X563" s="189" t="n"/>
      <c r="Y563" s="189" t="n"/>
      <c r="Z563" s="189" t="n"/>
      <c r="AA563" s="189" t="n"/>
      <c r="AB563" s="189" t="n"/>
      <c r="AC563" s="189" t="n"/>
      <c r="AD563" s="189" t="n"/>
      <c r="AE563" s="189" t="n"/>
      <c r="AF563" s="189" t="n"/>
      <c r="AG563" s="189" t="n"/>
      <c r="AH563" s="189" t="n"/>
      <c r="AI563" s="189" t="n"/>
      <c r="AJ563" s="189" t="n"/>
      <c r="AK563" s="189" t="n"/>
      <c r="AL563" s="189" t="n"/>
      <c r="AM563" s="51" t="inlineStr">
        <is>
          <t>U10Y</t>
        </is>
      </c>
    </row>
    <row r="564">
      <c r="C564" s="189" t="n"/>
      <c r="D564" s="189" t="n"/>
      <c r="E564" s="189" t="n"/>
      <c r="F564" s="189" t="n"/>
      <c r="G564" s="189" t="n"/>
      <c r="H564" s="189" t="n"/>
      <c r="I564" s="189" t="n"/>
      <c r="J564" s="189" t="n"/>
      <c r="K564" s="189" t="n"/>
      <c r="L564" s="189" t="n"/>
      <c r="M564" s="189" t="n"/>
      <c r="N564" s="189" t="n"/>
      <c r="O564" s="189" t="n"/>
      <c r="P564" s="189" t="n"/>
      <c r="Q564" s="189" t="n"/>
      <c r="R564" s="189" t="n"/>
      <c r="S564" s="189" t="n"/>
      <c r="T564" s="189" t="n"/>
      <c r="U564" s="189" t="n"/>
      <c r="V564" s="189" t="n"/>
      <c r="W564" s="189" t="n"/>
      <c r="X564" s="189" t="n"/>
      <c r="Y564" s="189" t="n"/>
      <c r="Z564" s="189" t="n"/>
      <c r="AA564" s="189" t="n"/>
      <c r="AB564" s="189" t="n"/>
      <c r="AC564" s="189" t="n"/>
      <c r="AD564" s="189" t="n"/>
      <c r="AE564" s="189" t="n"/>
      <c r="AF564" s="189" t="n"/>
      <c r="AG564" s="189" t="n"/>
      <c r="AH564" s="189" t="n"/>
      <c r="AI564" s="189" t="n"/>
      <c r="AJ564" s="189" t="n"/>
      <c r="AK564" s="189" t="n"/>
      <c r="AL564" s="189" t="n"/>
      <c r="AM564" s="51" t="inlineStr">
        <is>
          <t>U10θ</t>
        </is>
      </c>
    </row>
    <row r="565">
      <c r="C565" s="189" t="n"/>
      <c r="D565" s="189" t="n"/>
      <c r="E565" s="189" t="n"/>
      <c r="F565" s="189" t="n"/>
      <c r="G565" s="189" t="n"/>
      <c r="H565" s="189" t="n"/>
      <c r="I565" s="189" t="n"/>
      <c r="J565" s="189" t="n"/>
      <c r="K565" s="189" t="n"/>
      <c r="L565" s="189" t="n"/>
      <c r="M565" s="189" t="n"/>
      <c r="N565" s="189" t="n"/>
      <c r="O565" s="189" t="n"/>
      <c r="P565" s="189" t="n"/>
      <c r="Q565" s="189" t="n"/>
      <c r="R565" s="189" t="n"/>
      <c r="S565" s="189" t="n"/>
      <c r="T565" s="189" t="n"/>
      <c r="U565" s="189" t="n"/>
      <c r="V565" s="189" t="n"/>
      <c r="W565" s="189" t="n"/>
      <c r="X565" s="189" t="n"/>
      <c r="Y565" s="189" t="n"/>
      <c r="Z565" s="189" t="n"/>
      <c r="AA565" s="189" t="n"/>
      <c r="AB565" s="189" t="n"/>
      <c r="AC565" s="189" t="n"/>
      <c r="AD565" s="189" t="n"/>
      <c r="AE565" s="189" t="n"/>
      <c r="AF565" s="189" t="n"/>
      <c r="AG565" s="189">
        <f>C527</f>
        <v/>
      </c>
      <c r="AH565" s="189">
        <f>D527</f>
        <v/>
      </c>
      <c r="AI565" s="189">
        <f>E527</f>
        <v/>
      </c>
      <c r="AJ565" s="189">
        <f>F527</f>
        <v/>
      </c>
      <c r="AK565" s="189">
        <f>G527</f>
        <v/>
      </c>
      <c r="AL565" s="189">
        <f>H527</f>
        <v/>
      </c>
      <c r="AM565" s="51" t="inlineStr">
        <is>
          <t>U11X</t>
        </is>
      </c>
    </row>
    <row r="566">
      <c r="C566" s="189" t="n"/>
      <c r="D566" s="189" t="n"/>
      <c r="E566" s="189" t="n"/>
      <c r="F566" s="189" t="n"/>
      <c r="G566" s="189" t="n"/>
      <c r="H566" s="189" t="n"/>
      <c r="I566" s="189" t="n"/>
      <c r="J566" s="189" t="n"/>
      <c r="K566" s="189" t="n"/>
      <c r="L566" s="189" t="n"/>
      <c r="M566" s="189" t="n"/>
      <c r="N566" s="189" t="n"/>
      <c r="O566" s="189" t="n"/>
      <c r="P566" s="189" t="n"/>
      <c r="Q566" s="189" t="n"/>
      <c r="R566" s="189" t="n"/>
      <c r="S566" s="189" t="n"/>
      <c r="T566" s="189" t="n"/>
      <c r="U566" s="189" t="n"/>
      <c r="V566" s="189" t="n"/>
      <c r="W566" s="189" t="n"/>
      <c r="X566" s="189" t="n"/>
      <c r="Y566" s="189" t="n"/>
      <c r="Z566" s="189" t="n"/>
      <c r="AA566" s="189" t="n"/>
      <c r="AB566" s="189" t="n"/>
      <c r="AC566" s="189" t="n"/>
      <c r="AD566" s="189" t="n"/>
      <c r="AE566" s="189" t="n"/>
      <c r="AF566" s="189" t="n"/>
      <c r="AG566" s="189">
        <f>C528</f>
        <v/>
      </c>
      <c r="AH566" s="189">
        <f>D528</f>
        <v/>
      </c>
      <c r="AI566" s="189">
        <f>E528</f>
        <v/>
      </c>
      <c r="AJ566" s="189">
        <f>F528</f>
        <v/>
      </c>
      <c r="AK566" s="189">
        <f>G528</f>
        <v/>
      </c>
      <c r="AL566" s="189">
        <f>H528</f>
        <v/>
      </c>
      <c r="AM566" s="51" t="inlineStr">
        <is>
          <t>U11Y</t>
        </is>
      </c>
    </row>
    <row r="567">
      <c r="C567" s="189" t="n"/>
      <c r="D567" s="189" t="n"/>
      <c r="E567" s="189" t="n"/>
      <c r="F567" s="189" t="n"/>
      <c r="G567" s="189" t="n"/>
      <c r="H567" s="189" t="n"/>
      <c r="I567" s="189" t="n"/>
      <c r="J567" s="189" t="n"/>
      <c r="K567" s="189" t="n"/>
      <c r="L567" s="189" t="n"/>
      <c r="M567" s="189" t="n"/>
      <c r="N567" s="189" t="n"/>
      <c r="O567" s="189" t="n"/>
      <c r="P567" s="189" t="n"/>
      <c r="Q567" s="189" t="n"/>
      <c r="R567" s="189" t="n"/>
      <c r="S567" s="189" t="n"/>
      <c r="T567" s="189" t="n"/>
      <c r="U567" s="189" t="n"/>
      <c r="V567" s="189" t="n"/>
      <c r="W567" s="189" t="n"/>
      <c r="X567" s="189" t="n"/>
      <c r="Y567" s="189" t="n"/>
      <c r="Z567" s="189" t="n"/>
      <c r="AA567" s="189" t="n"/>
      <c r="AB567" s="189" t="n"/>
      <c r="AC567" s="189" t="n"/>
      <c r="AD567" s="189" t="n"/>
      <c r="AE567" s="189" t="n"/>
      <c r="AF567" s="189" t="n"/>
      <c r="AG567" s="189">
        <f>C529</f>
        <v/>
      </c>
      <c r="AH567" s="189">
        <f>D529</f>
        <v/>
      </c>
      <c r="AI567" s="189">
        <f>E529</f>
        <v/>
      </c>
      <c r="AJ567" s="189">
        <f>F529</f>
        <v/>
      </c>
      <c r="AK567" s="189">
        <f>G529</f>
        <v/>
      </c>
      <c r="AL567" s="189">
        <f>H529</f>
        <v/>
      </c>
      <c r="AM567" s="51" t="inlineStr">
        <is>
          <t>U11θ</t>
        </is>
      </c>
    </row>
    <row r="568">
      <c r="C568" s="189" t="n"/>
      <c r="D568" s="189" t="n"/>
      <c r="E568" s="189" t="n"/>
      <c r="F568" s="189" t="n"/>
      <c r="G568" s="189" t="n"/>
      <c r="H568" s="189" t="n"/>
      <c r="I568" s="189" t="n"/>
      <c r="J568" s="189" t="n"/>
      <c r="K568" s="189" t="n"/>
      <c r="L568" s="189" t="n"/>
      <c r="M568" s="189" t="n"/>
      <c r="N568" s="189" t="n"/>
      <c r="O568" s="189" t="n"/>
      <c r="P568" s="189" t="n"/>
      <c r="Q568" s="189" t="n"/>
      <c r="R568" s="189" t="n"/>
      <c r="S568" s="189" t="n"/>
      <c r="T568" s="189" t="n"/>
      <c r="U568" s="189" t="n"/>
      <c r="V568" s="189" t="n"/>
      <c r="W568" s="189" t="n"/>
      <c r="X568" s="189" t="n"/>
      <c r="Y568" s="189" t="n"/>
      <c r="Z568" s="189" t="n"/>
      <c r="AA568" s="189" t="n"/>
      <c r="AB568" s="189" t="n"/>
      <c r="AC568" s="189" t="n"/>
      <c r="AD568" s="189" t="n"/>
      <c r="AE568" s="189" t="n"/>
      <c r="AF568" s="189" t="n"/>
      <c r="AG568" s="189">
        <f>C530</f>
        <v/>
      </c>
      <c r="AH568" s="189">
        <f>D530</f>
        <v/>
      </c>
      <c r="AI568" s="189">
        <f>E530</f>
        <v/>
      </c>
      <c r="AJ568" s="189">
        <f>F530</f>
        <v/>
      </c>
      <c r="AK568" s="189">
        <f>G530</f>
        <v/>
      </c>
      <c r="AL568" s="189">
        <f>H530</f>
        <v/>
      </c>
      <c r="AM568" s="51" t="inlineStr">
        <is>
          <t>U12X</t>
        </is>
      </c>
    </row>
    <row r="569">
      <c r="C569" s="189" t="n"/>
      <c r="D569" s="189" t="n"/>
      <c r="E569" s="189" t="n"/>
      <c r="F569" s="189" t="n"/>
      <c r="G569" s="189" t="n"/>
      <c r="H569" s="189" t="n"/>
      <c r="I569" s="189" t="n"/>
      <c r="J569" s="189" t="n"/>
      <c r="K569" s="189" t="n"/>
      <c r="L569" s="189" t="n"/>
      <c r="M569" s="189" t="n"/>
      <c r="N569" s="189" t="n"/>
      <c r="O569" s="189" t="n"/>
      <c r="P569" s="189" t="n"/>
      <c r="Q569" s="189" t="n"/>
      <c r="R569" s="189" t="n"/>
      <c r="S569" s="189" t="n"/>
      <c r="T569" s="189" t="n"/>
      <c r="U569" s="189" t="n"/>
      <c r="V569" s="189" t="n"/>
      <c r="W569" s="189" t="n"/>
      <c r="X569" s="189" t="n"/>
      <c r="Y569" s="189" t="n"/>
      <c r="Z569" s="189" t="n"/>
      <c r="AA569" s="189" t="n"/>
      <c r="AB569" s="189" t="n"/>
      <c r="AC569" s="189" t="n"/>
      <c r="AD569" s="189" t="n"/>
      <c r="AE569" s="189" t="n"/>
      <c r="AF569" s="189" t="n"/>
      <c r="AG569" s="189">
        <f>C531</f>
        <v/>
      </c>
      <c r="AH569" s="189">
        <f>D531</f>
        <v/>
      </c>
      <c r="AI569" s="189">
        <f>E531</f>
        <v/>
      </c>
      <c r="AJ569" s="189">
        <f>F531</f>
        <v/>
      </c>
      <c r="AK569" s="189">
        <f>G531</f>
        <v/>
      </c>
      <c r="AL569" s="189">
        <f>H531</f>
        <v/>
      </c>
      <c r="AM569" s="51" t="inlineStr">
        <is>
          <t>U12Y</t>
        </is>
      </c>
    </row>
    <row r="570">
      <c r="C570" s="189" t="n"/>
      <c r="D570" s="189" t="n"/>
      <c r="E570" s="189" t="n"/>
      <c r="F570" s="189" t="n"/>
      <c r="G570" s="189" t="n"/>
      <c r="H570" s="189" t="n"/>
      <c r="I570" s="189" t="n"/>
      <c r="J570" s="189" t="n"/>
      <c r="K570" s="189" t="n"/>
      <c r="L570" s="189" t="n"/>
      <c r="M570" s="189" t="n"/>
      <c r="N570" s="189" t="n"/>
      <c r="O570" s="189" t="n"/>
      <c r="P570" s="189" t="n"/>
      <c r="Q570" s="189" t="n"/>
      <c r="R570" s="189" t="n"/>
      <c r="S570" s="189" t="n"/>
      <c r="T570" s="189" t="n"/>
      <c r="U570" s="189" t="n"/>
      <c r="V570" s="189" t="n"/>
      <c r="W570" s="189" t="n"/>
      <c r="X570" s="189" t="n"/>
      <c r="Y570" s="189" t="n"/>
      <c r="Z570" s="189" t="n"/>
      <c r="AA570" s="189" t="n"/>
      <c r="AB570" s="189" t="n"/>
      <c r="AC570" s="189" t="n"/>
      <c r="AD570" s="189" t="n"/>
      <c r="AE570" s="189" t="n"/>
      <c r="AF570" s="189" t="n"/>
      <c r="AG570" s="189">
        <f>C532</f>
        <v/>
      </c>
      <c r="AH570" s="189">
        <f>D532</f>
        <v/>
      </c>
      <c r="AI570" s="189">
        <f>E532</f>
        <v/>
      </c>
      <c r="AJ570" s="189">
        <f>F532</f>
        <v/>
      </c>
      <c r="AK570" s="189">
        <f>G532</f>
        <v/>
      </c>
      <c r="AL570" s="189">
        <f>H532</f>
        <v/>
      </c>
      <c r="AM570" s="51" t="inlineStr">
        <is>
          <t>U12θ</t>
        </is>
      </c>
    </row>
    <row r="575">
      <c r="C575" s="53" t="inlineStr">
        <is>
          <t>MATRIZ DE RIGIDEZ GLOBAL DE LA VIGA [Kviga] (ENSAMBLE COMPLETO 11 TRAMOS / 12 NODOS / 36 GDL)</t>
        </is>
      </c>
      <c r="D575" s="190" t="n"/>
      <c r="E575" s="190" t="n"/>
      <c r="F575" s="190" t="n"/>
      <c r="G575" s="190" t="n"/>
      <c r="H575" s="190" t="n"/>
      <c r="I575" s="190" t="n"/>
      <c r="J575" s="190" t="n"/>
      <c r="K575" s="190" t="n"/>
      <c r="L575" s="190" t="n"/>
      <c r="M575" s="190" t="n"/>
      <c r="N575" s="190" t="n"/>
      <c r="O575" s="190" t="n"/>
      <c r="P575" s="190" t="n"/>
      <c r="Q575" s="190" t="n"/>
      <c r="R575" s="190" t="n"/>
      <c r="S575" s="190" t="n"/>
      <c r="T575" s="190" t="n"/>
      <c r="U575" s="190" t="n"/>
      <c r="V575" s="190" t="n"/>
      <c r="W575" s="190" t="n"/>
      <c r="X575" s="190" t="n"/>
      <c r="Y575" s="190" t="n"/>
      <c r="Z575" s="190" t="n"/>
      <c r="AA575" s="190" t="n"/>
      <c r="AB575" s="190" t="n"/>
      <c r="AC575" s="190" t="n"/>
      <c r="AD575" s="190" t="n"/>
      <c r="AE575" s="190" t="n"/>
      <c r="AF575" s="190" t="n"/>
      <c r="AG575" s="190" t="n"/>
      <c r="AH575" s="190" t="n"/>
      <c r="AI575" s="190" t="n"/>
      <c r="AJ575" s="190" t="n"/>
      <c r="AK575" s="190" t="n"/>
      <c r="AL575" s="191" t="n"/>
    </row>
    <row r="576">
      <c r="C576" s="51" t="inlineStr">
        <is>
          <t>U1X</t>
        </is>
      </c>
      <c r="D576" s="51" t="inlineStr">
        <is>
          <t>U1Y</t>
        </is>
      </c>
      <c r="E576" s="51" t="inlineStr">
        <is>
          <t>U1θ</t>
        </is>
      </c>
      <c r="F576" s="51" t="inlineStr">
        <is>
          <t>U2X</t>
        </is>
      </c>
      <c r="G576" s="51" t="inlineStr">
        <is>
          <t>U2Y</t>
        </is>
      </c>
      <c r="H576" s="51" t="inlineStr">
        <is>
          <t>U2θ</t>
        </is>
      </c>
      <c r="I576" s="51" t="inlineStr">
        <is>
          <t>U3X</t>
        </is>
      </c>
      <c r="J576" s="51" t="inlineStr">
        <is>
          <t>U3Y</t>
        </is>
      </c>
      <c r="K576" s="51" t="inlineStr">
        <is>
          <t>U3θ</t>
        </is>
      </c>
      <c r="L576" s="51" t="inlineStr">
        <is>
          <t>U4X</t>
        </is>
      </c>
      <c r="M576" s="51" t="inlineStr">
        <is>
          <t>U4Y</t>
        </is>
      </c>
      <c r="N576" s="51" t="inlineStr">
        <is>
          <t>U4θ</t>
        </is>
      </c>
      <c r="O576" s="51" t="inlineStr">
        <is>
          <t>U5X</t>
        </is>
      </c>
      <c r="P576" s="51" t="inlineStr">
        <is>
          <t>U5Y</t>
        </is>
      </c>
      <c r="Q576" s="51" t="inlineStr">
        <is>
          <t>U5θ</t>
        </is>
      </c>
      <c r="R576" s="51" t="inlineStr">
        <is>
          <t>U6X</t>
        </is>
      </c>
      <c r="S576" s="51" t="inlineStr">
        <is>
          <t>U6Y</t>
        </is>
      </c>
      <c r="T576" s="51" t="inlineStr">
        <is>
          <t>U6θ</t>
        </is>
      </c>
      <c r="U576" s="51" t="inlineStr">
        <is>
          <t>U7X</t>
        </is>
      </c>
      <c r="V576" s="51" t="inlineStr">
        <is>
          <t>U7Y</t>
        </is>
      </c>
      <c r="W576" s="51" t="inlineStr">
        <is>
          <t>U7θ</t>
        </is>
      </c>
      <c r="X576" s="51" t="inlineStr">
        <is>
          <t>U8X</t>
        </is>
      </c>
      <c r="Y576" s="51" t="inlineStr">
        <is>
          <t>U8Y</t>
        </is>
      </c>
      <c r="Z576" s="51" t="inlineStr">
        <is>
          <t>U8θ</t>
        </is>
      </c>
      <c r="AA576" s="51" t="inlineStr">
        <is>
          <t>U9X</t>
        </is>
      </c>
      <c r="AB576" s="51" t="inlineStr">
        <is>
          <t>U9Y</t>
        </is>
      </c>
      <c r="AC576" s="51" t="inlineStr">
        <is>
          <t>U9θ</t>
        </is>
      </c>
      <c r="AD576" s="51" t="inlineStr">
        <is>
          <t>U10X</t>
        </is>
      </c>
      <c r="AE576" s="51" t="inlineStr">
        <is>
          <t>U10Y</t>
        </is>
      </c>
      <c r="AF576" s="51" t="inlineStr">
        <is>
          <t>U10θ</t>
        </is>
      </c>
      <c r="AG576" s="51" t="inlineStr">
        <is>
          <t>U11X</t>
        </is>
      </c>
      <c r="AH576" s="51" t="inlineStr">
        <is>
          <t>U11Y</t>
        </is>
      </c>
      <c r="AI576" s="51" t="inlineStr">
        <is>
          <t>U11θ</t>
        </is>
      </c>
      <c r="AJ576" s="51" t="inlineStr">
        <is>
          <t>U12X</t>
        </is>
      </c>
      <c r="AK576" s="51" t="inlineStr">
        <is>
          <t>U12Y</t>
        </is>
      </c>
      <c r="AL576" s="51" t="inlineStr">
        <is>
          <t>U12θ</t>
        </is>
      </c>
    </row>
    <row r="577">
      <c r="C577" s="10">
        <f>C65+C112+C159+C206+C253+C300+C347+C394+C441+C488+C535</f>
        <v/>
      </c>
      <c r="D577" s="189">
        <f>D65+D112+D159+D206+D253+D300+D347+D394+D441+D488+D535</f>
        <v/>
      </c>
      <c r="E577" s="189">
        <f>E65+E112+E159+E206+E253+E300+E347+E394+E441+E488+E535</f>
        <v/>
      </c>
      <c r="F577" s="189">
        <f>F65+F112+F159+F206+F253+F300+F347+F394+F441+F488+F535</f>
        <v/>
      </c>
      <c r="G577" s="189">
        <f>G65+G112+G159+G206+G253+G300+G347+G394+G441+G488+G535</f>
        <v/>
      </c>
      <c r="H577" s="189">
        <f>H65+H112+H159+H206+H253+H300+H347+H394+H441+H488+H535</f>
        <v/>
      </c>
      <c r="I577" s="189">
        <f>I65+I112+I159+I206+I253+I300+I347+I394+I441+I488+I535</f>
        <v/>
      </c>
      <c r="J577" s="189">
        <f>J65+J112+J159+J206+J253+J300+J347+J394+J441+J488+J535</f>
        <v/>
      </c>
      <c r="K577" s="189">
        <f>K65+K112+K159+K206+K253+K300+K347+K394+K441+K488+K535</f>
        <v/>
      </c>
      <c r="L577" s="189">
        <f>L65+L112+L159+L206+L253+L300+L347+L394+L441+L488+L535</f>
        <v/>
      </c>
      <c r="M577" s="189">
        <f>M65+M112+M159+M206+M253+M300+M347+M394+M441+M488+M535</f>
        <v/>
      </c>
      <c r="N577" s="189">
        <f>N65+N112+N159+N206+N253+N300+N347+N394+N441+N488+N535</f>
        <v/>
      </c>
      <c r="O577" s="189">
        <f>O65+O112+O159+O206+O253+O300+O347+O394+O441+O488+O535</f>
        <v/>
      </c>
      <c r="P577" s="189">
        <f>P65+P112+P159+P206+P253+P300+P347+P394+P441+P488+P535</f>
        <v/>
      </c>
      <c r="Q577" s="189">
        <f>Q65+Q112+Q159+Q206+Q253+Q300+Q347+Q394+Q441+Q488+Q535</f>
        <v/>
      </c>
      <c r="R577" s="189">
        <f>R65+R112+R159+R206+R253+R300+R347+R394+R441+R488+R535</f>
        <v/>
      </c>
      <c r="S577" s="189">
        <f>S65+S112+S159+S206+S253+S300+S347+S394+S441+S488+S535</f>
        <v/>
      </c>
      <c r="T577" s="189">
        <f>T65+T112+T159+T206+T253+T300+T347+T394+T441+T488+T535</f>
        <v/>
      </c>
      <c r="U577" s="189">
        <f>U65+U112+U159+U206+U253+U300+U347+U394+U441+U488+U535</f>
        <v/>
      </c>
      <c r="V577" s="189">
        <f>V65+V112+V159+V206+V253+V300+V347+V394+V441+V488+V535</f>
        <v/>
      </c>
      <c r="W577" s="189">
        <f>W65+W112+W159+W206+W253+W300+W347+W394+W441+W488+W535</f>
        <v/>
      </c>
      <c r="X577" s="189">
        <f>X65+X112+X159+X206+X253+X300+X347+X394+X441+X488+X535</f>
        <v/>
      </c>
      <c r="Y577" s="189">
        <f>Y65+Y112+Y159+Y206+Y253+Y300+Y347+Y394+Y441+Y488+Y535</f>
        <v/>
      </c>
      <c r="Z577" s="189">
        <f>Z65+Z112+Z159+Z206+Z253+Z300+Z347+Z394+Z441+Z488+Z535</f>
        <v/>
      </c>
      <c r="AA577" s="189">
        <f>AA65+AA112+AA159+AA206+AA253+AA300+AA347+AA394+AA441+AA488+AA535</f>
        <v/>
      </c>
      <c r="AB577" s="189">
        <f>AB65+AB112+AB159+AB206+AB253+AB300+AB347+AB394+AB441+AB488+AB535</f>
        <v/>
      </c>
      <c r="AC577" s="189">
        <f>AC65+AC112+AC159+AC206+AC253+AC300+AC347+AC394+AC441+AC488+AC535</f>
        <v/>
      </c>
      <c r="AD577" s="189">
        <f>AD65+AD112+AD159+AD206+AD253+AD300+AD347+AD394+AD441+AD488+AD535</f>
        <v/>
      </c>
      <c r="AE577" s="189">
        <f>AE65+AE112+AE159+AE206+AE253+AE300+AE347+AE394+AE441+AE488+AE535</f>
        <v/>
      </c>
      <c r="AF577" s="189">
        <f>AF65+AF112+AF159+AF206+AF253+AF300+AF347+AF394+AF441+AF488+AF535</f>
        <v/>
      </c>
      <c r="AG577" s="189">
        <f>AG65+AG112+AG159+AG206+AG253+AG300+AG347+AG394+AG441+AG488+AG535</f>
        <v/>
      </c>
      <c r="AH577" s="189">
        <f>AH65+AH112+AH159+AH206+AH253+AH300+AH347+AH394+AH441+AH488+AH535</f>
        <v/>
      </c>
      <c r="AI577" s="189">
        <f>AI65+AI112+AI159+AI206+AI253+AI300+AI347+AI394+AI441+AI488+AI535</f>
        <v/>
      </c>
      <c r="AJ577" s="189">
        <f>AJ65+AJ112+AJ159+AJ206+AJ253+AJ300+AJ347+AJ394+AJ441+AJ488+AJ535</f>
        <v/>
      </c>
      <c r="AK577" s="189">
        <f>AK65+AK112+AK159+AK206+AK253+AK300+AK347+AK394+AK441+AK488+AK535</f>
        <v/>
      </c>
      <c r="AL577" s="189">
        <f>AL65+AL112+AL159+AL206+AL253+AL300+AL347+AL394+AL441+AL488+AL535</f>
        <v/>
      </c>
      <c r="AM577" s="51" t="inlineStr">
        <is>
          <t>U1X</t>
        </is>
      </c>
    </row>
    <row r="578">
      <c r="C578" s="189">
        <f>C66+C113+C160+C207+C254+C301+C348+C395+C442+C489+C536</f>
        <v/>
      </c>
      <c r="D578" s="10">
        <f>D66+D113+D160+D207+D254+D301+D348+D395+D442+D489+D536</f>
        <v/>
      </c>
      <c r="E578" s="189">
        <f>E66+E113+E160+E207+E254+E301+E348+E395+E442+E489+E536</f>
        <v/>
      </c>
      <c r="F578" s="189">
        <f>F66+F113+F160+F207+F254+F301+F348+F395+F442+F489+F536</f>
        <v/>
      </c>
      <c r="G578" s="189">
        <f>G66+G113+G160+G207+G254+G301+G348+G395+G442+G489+G536</f>
        <v/>
      </c>
      <c r="H578" s="189">
        <f>H66+H113+H160+H207+H254+H301+H348+H395+H442+H489+H536</f>
        <v/>
      </c>
      <c r="I578" s="189">
        <f>I66+I113+I160+I207+I254+I301+I348+I395+I442+I489+I536</f>
        <v/>
      </c>
      <c r="J578" s="189">
        <f>J66+J113+J160+J207+J254+J301+J348+J395+J442+J489+J536</f>
        <v/>
      </c>
      <c r="K578" s="189">
        <f>K66+K113+K160+K207+K254+K301+K348+K395+K442+K489+K536</f>
        <v/>
      </c>
      <c r="L578" s="189">
        <f>L66+L113+L160+L207+L254+L301+L348+L395+L442+L489+L536</f>
        <v/>
      </c>
      <c r="M578" s="189">
        <f>M66+M113+M160+M207+M254+M301+M348+M395+M442+M489+M536</f>
        <v/>
      </c>
      <c r="N578" s="189">
        <f>N66+N113+N160+N207+N254+N301+N348+N395+N442+N489+N536</f>
        <v/>
      </c>
      <c r="O578" s="189">
        <f>O66+O113+O160+O207+O254+O301+O348+O395+O442+O489+O536</f>
        <v/>
      </c>
      <c r="P578" s="189">
        <f>P66+P113+P160+P207+P254+P301+P348+P395+P442+P489+P536</f>
        <v/>
      </c>
      <c r="Q578" s="189">
        <f>Q66+Q113+Q160+Q207+Q254+Q301+Q348+Q395+Q442+Q489+Q536</f>
        <v/>
      </c>
      <c r="R578" s="189">
        <f>R66+R113+R160+R207+R254+R301+R348+R395+R442+R489+R536</f>
        <v/>
      </c>
      <c r="S578" s="189">
        <f>S66+S113+S160+S207+S254+S301+S348+S395+S442+S489+S536</f>
        <v/>
      </c>
      <c r="T578" s="189">
        <f>T66+T113+T160+T207+T254+T301+T348+T395+T442+T489+T536</f>
        <v/>
      </c>
      <c r="U578" s="189">
        <f>U66+U113+U160+U207+U254+U301+U348+U395+U442+U489+U536</f>
        <v/>
      </c>
      <c r="V578" s="189">
        <f>V66+V113+V160+V207+V254+V301+V348+V395+V442+V489+V536</f>
        <v/>
      </c>
      <c r="W578" s="189">
        <f>W66+W113+W160+W207+W254+W301+W348+W395+W442+W489+W536</f>
        <v/>
      </c>
      <c r="X578" s="189">
        <f>X66+X113+X160+X207+X254+X301+X348+X395+X442+X489+X536</f>
        <v/>
      </c>
      <c r="Y578" s="189">
        <f>Y66+Y113+Y160+Y207+Y254+Y301+Y348+Y395+Y442+Y489+Y536</f>
        <v/>
      </c>
      <c r="Z578" s="189">
        <f>Z66+Z113+Z160+Z207+Z254+Z301+Z348+Z395+Z442+Z489+Z536</f>
        <v/>
      </c>
      <c r="AA578" s="189">
        <f>AA66+AA113+AA160+AA207+AA254+AA301+AA348+AA395+AA442+AA489+AA536</f>
        <v/>
      </c>
      <c r="AB578" s="189">
        <f>AB66+AB113+AB160+AB207+AB254+AB301+AB348+AB395+AB442+AB489+AB536</f>
        <v/>
      </c>
      <c r="AC578" s="189">
        <f>AC66+AC113+AC160+AC207+AC254+AC301+AC348+AC395+AC442+AC489+AC536</f>
        <v/>
      </c>
      <c r="AD578" s="189">
        <f>AD66+AD113+AD160+AD207+AD254+AD301+AD348+AD395+AD442+AD489+AD536</f>
        <v/>
      </c>
      <c r="AE578" s="189">
        <f>AE66+AE113+AE160+AE207+AE254+AE301+AE348+AE395+AE442+AE489+AE536</f>
        <v/>
      </c>
      <c r="AF578" s="189">
        <f>AF66+AF113+AF160+AF207+AF254+AF301+AF348+AF395+AF442+AF489+AF536</f>
        <v/>
      </c>
      <c r="AG578" s="189">
        <f>AG66+AG113+AG160+AG207+AG254+AG301+AG348+AG395+AG442+AG489+AG536</f>
        <v/>
      </c>
      <c r="AH578" s="189">
        <f>AH66+AH113+AH160+AH207+AH254+AH301+AH348+AH395+AH442+AH489+AH536</f>
        <v/>
      </c>
      <c r="AI578" s="189">
        <f>AI66+AI113+AI160+AI207+AI254+AI301+AI348+AI395+AI442+AI489+AI536</f>
        <v/>
      </c>
      <c r="AJ578" s="189">
        <f>AJ66+AJ113+AJ160+AJ207+AJ254+AJ301+AJ348+AJ395+AJ442+AJ489+AJ536</f>
        <v/>
      </c>
      <c r="AK578" s="189">
        <f>AK66+AK113+AK160+AK207+AK254+AK301+AK348+AK395+AK442+AK489+AK536</f>
        <v/>
      </c>
      <c r="AL578" s="189">
        <f>AL66+AL113+AL160+AL207+AL254+AL301+AL348+AL395+AL442+AL489+AL536</f>
        <v/>
      </c>
      <c r="AM578" s="51" t="inlineStr">
        <is>
          <t>U1Y</t>
        </is>
      </c>
    </row>
    <row r="579">
      <c r="C579" s="189">
        <f>C67+C114+C161+C208+C255+C302+C349+C396+C443+C490+C537</f>
        <v/>
      </c>
      <c r="D579" s="189">
        <f>D67+D114+D161+D208+D255+D302+D349+D396+D443+D490+D537</f>
        <v/>
      </c>
      <c r="E579" s="10">
        <f>E67+E114+E161+E208+E255+E302+E349+E396+E443+E490+E537</f>
        <v/>
      </c>
      <c r="F579" s="189">
        <f>F67+F114+F161+F208+F255+F302+F349+F396+F443+F490+F537</f>
        <v/>
      </c>
      <c r="G579" s="189">
        <f>G67+G114+G161+G208+G255+G302+G349+G396+G443+G490+G537</f>
        <v/>
      </c>
      <c r="H579" s="189">
        <f>H67+H114+H161+H208+H255+H302+H349+H396+H443+H490+H537</f>
        <v/>
      </c>
      <c r="I579" s="189">
        <f>I67+I114+I161+I208+I255+I302+I349+I396+I443+I490+I537</f>
        <v/>
      </c>
      <c r="J579" s="189">
        <f>J67+J114+J161+J208+J255+J302+J349+J396+J443+J490+J537</f>
        <v/>
      </c>
      <c r="K579" s="189">
        <f>K67+K114+K161+K208+K255+K302+K349+K396+K443+K490+K537</f>
        <v/>
      </c>
      <c r="L579" s="189">
        <f>L67+L114+L161+L208+L255+L302+L349+L396+L443+L490+L537</f>
        <v/>
      </c>
      <c r="M579" s="189">
        <f>M67+M114+M161+M208+M255+M302+M349+M396+M443+M490+M537</f>
        <v/>
      </c>
      <c r="N579" s="189">
        <f>N67+N114+N161+N208+N255+N302+N349+N396+N443+N490+N537</f>
        <v/>
      </c>
      <c r="O579" s="189">
        <f>O67+O114+O161+O208+O255+O302+O349+O396+O443+O490+O537</f>
        <v/>
      </c>
      <c r="P579" s="189">
        <f>P67+P114+P161+P208+P255+P302+P349+P396+P443+P490+P537</f>
        <v/>
      </c>
      <c r="Q579" s="189">
        <f>Q67+Q114+Q161+Q208+Q255+Q302+Q349+Q396+Q443+Q490+Q537</f>
        <v/>
      </c>
      <c r="R579" s="189">
        <f>R67+R114+R161+R208+R255+R302+R349+R396+R443+R490+R537</f>
        <v/>
      </c>
      <c r="S579" s="189">
        <f>S67+S114+S161+S208+S255+S302+S349+S396+S443+S490+S537</f>
        <v/>
      </c>
      <c r="T579" s="189">
        <f>T67+T114+T161+T208+T255+T302+T349+T396+T443+T490+T537</f>
        <v/>
      </c>
      <c r="U579" s="189">
        <f>U67+U114+U161+U208+U255+U302+U349+U396+U443+U490+U537</f>
        <v/>
      </c>
      <c r="V579" s="189">
        <f>V67+V114+V161+V208+V255+V302+V349+V396+V443+V490+V537</f>
        <v/>
      </c>
      <c r="W579" s="189">
        <f>W67+W114+W161+W208+W255+W302+W349+W396+W443+W490+W537</f>
        <v/>
      </c>
      <c r="X579" s="189">
        <f>X67+X114+X161+X208+X255+X302+X349+X396+X443+X490+X537</f>
        <v/>
      </c>
      <c r="Y579" s="189">
        <f>Y67+Y114+Y161+Y208+Y255+Y302+Y349+Y396+Y443+Y490+Y537</f>
        <v/>
      </c>
      <c r="Z579" s="189">
        <f>Z67+Z114+Z161+Z208+Z255+Z302+Z349+Z396+Z443+Z490+Z537</f>
        <v/>
      </c>
      <c r="AA579" s="189">
        <f>AA67+AA114+AA161+AA208+AA255+AA302+AA349+AA396+AA443+AA490+AA537</f>
        <v/>
      </c>
      <c r="AB579" s="189">
        <f>AB67+AB114+AB161+AB208+AB255+AB302+AB349+AB396+AB443+AB490+AB537</f>
        <v/>
      </c>
      <c r="AC579" s="189">
        <f>AC67+AC114+AC161+AC208+AC255+AC302+AC349+AC396+AC443+AC490+AC537</f>
        <v/>
      </c>
      <c r="AD579" s="189">
        <f>AD67+AD114+AD161+AD208+AD255+AD302+AD349+AD396+AD443+AD490+AD537</f>
        <v/>
      </c>
      <c r="AE579" s="189">
        <f>AE67+AE114+AE161+AE208+AE255+AE302+AE349+AE396+AE443+AE490+AE537</f>
        <v/>
      </c>
      <c r="AF579" s="189">
        <f>AF67+AF114+AF161+AF208+AF255+AF302+AF349+AF396+AF443+AF490+AF537</f>
        <v/>
      </c>
      <c r="AG579" s="189">
        <f>AG67+AG114+AG161+AG208+AG255+AG302+AG349+AG396+AG443+AG490+AG537</f>
        <v/>
      </c>
      <c r="AH579" s="189">
        <f>AH67+AH114+AH161+AH208+AH255+AH302+AH349+AH396+AH443+AH490+AH537</f>
        <v/>
      </c>
      <c r="AI579" s="189">
        <f>AI67+AI114+AI161+AI208+AI255+AI302+AI349+AI396+AI443+AI490+AI537</f>
        <v/>
      </c>
      <c r="AJ579" s="189">
        <f>AJ67+AJ114+AJ161+AJ208+AJ255+AJ302+AJ349+AJ396+AJ443+AJ490+AJ537</f>
        <v/>
      </c>
      <c r="AK579" s="189">
        <f>AK67+AK114+AK161+AK208+AK255+AK302+AK349+AK396+AK443+AK490+AK537</f>
        <v/>
      </c>
      <c r="AL579" s="189">
        <f>AL67+AL114+AL161+AL208+AL255+AL302+AL349+AL396+AL443+AL490+AL537</f>
        <v/>
      </c>
      <c r="AM579" s="51" t="inlineStr">
        <is>
          <t>U1θ</t>
        </is>
      </c>
    </row>
    <row r="580">
      <c r="C580" s="189">
        <f>C68+C115+C162+C209+C256+C303+C350+C397+C444+C491+C538</f>
        <v/>
      </c>
      <c r="D580" s="189">
        <f>D68+D115+D162+D209+D256+D303+D350+D397+D444+D491+D538</f>
        <v/>
      </c>
      <c r="E580" s="189">
        <f>E68+E115+E162+E209+E256+E303+E350+E397+E444+E491+E538</f>
        <v/>
      </c>
      <c r="F580" s="10">
        <f>F68+F115+F162+F209+F256+F303+F350+F397+F444+F491+F538</f>
        <v/>
      </c>
      <c r="G580" s="189">
        <f>G68+G115+G162+G209+G256+G303+G350+G397+G444+G491+G538</f>
        <v/>
      </c>
      <c r="H580" s="189">
        <f>H68+H115+H162+H209+H256+H303+H350+H397+H444+H491+H538</f>
        <v/>
      </c>
      <c r="I580" s="189">
        <f>I68+I115+I162+I209+I256+I303+I350+I397+I444+I491+I538</f>
        <v/>
      </c>
      <c r="J580" s="189">
        <f>J68+J115+J162+J209+J256+J303+J350+J397+J444+J491+J538</f>
        <v/>
      </c>
      <c r="K580" s="189">
        <f>K68+K115+K162+K209+K256+K303+K350+K397+K444+K491+K538</f>
        <v/>
      </c>
      <c r="L580" s="189">
        <f>L68+L115+L162+L209+L256+L303+L350+L397+L444+L491+L538</f>
        <v/>
      </c>
      <c r="M580" s="189">
        <f>M68+M115+M162+M209+M256+M303+M350+M397+M444+M491+M538</f>
        <v/>
      </c>
      <c r="N580" s="189">
        <f>N68+N115+N162+N209+N256+N303+N350+N397+N444+N491+N538</f>
        <v/>
      </c>
      <c r="O580" s="189">
        <f>O68+O115+O162+O209+O256+O303+O350+O397+O444+O491+O538</f>
        <v/>
      </c>
      <c r="P580" s="189">
        <f>P68+P115+P162+P209+P256+P303+P350+P397+P444+P491+P538</f>
        <v/>
      </c>
      <c r="Q580" s="189">
        <f>Q68+Q115+Q162+Q209+Q256+Q303+Q350+Q397+Q444+Q491+Q538</f>
        <v/>
      </c>
      <c r="R580" s="189">
        <f>R68+R115+R162+R209+R256+R303+R350+R397+R444+R491+R538</f>
        <v/>
      </c>
      <c r="S580" s="189">
        <f>S68+S115+S162+S209+S256+S303+S350+S397+S444+S491+S538</f>
        <v/>
      </c>
      <c r="T580" s="189">
        <f>T68+T115+T162+T209+T256+T303+T350+T397+T444+T491+T538</f>
        <v/>
      </c>
      <c r="U580" s="189">
        <f>U68+U115+U162+U209+U256+U303+U350+U397+U444+U491+U538</f>
        <v/>
      </c>
      <c r="V580" s="189">
        <f>V68+V115+V162+V209+V256+V303+V350+V397+V444+V491+V538</f>
        <v/>
      </c>
      <c r="W580" s="189">
        <f>W68+W115+W162+W209+W256+W303+W350+W397+W444+W491+W538</f>
        <v/>
      </c>
      <c r="X580" s="189">
        <f>X68+X115+X162+X209+X256+X303+X350+X397+X444+X491+X538</f>
        <v/>
      </c>
      <c r="Y580" s="189">
        <f>Y68+Y115+Y162+Y209+Y256+Y303+Y350+Y397+Y444+Y491+Y538</f>
        <v/>
      </c>
      <c r="Z580" s="189">
        <f>Z68+Z115+Z162+Z209+Z256+Z303+Z350+Z397+Z444+Z491+Z538</f>
        <v/>
      </c>
      <c r="AA580" s="189">
        <f>AA68+AA115+AA162+AA209+AA256+AA303+AA350+AA397+AA444+AA491+AA538</f>
        <v/>
      </c>
      <c r="AB580" s="189">
        <f>AB68+AB115+AB162+AB209+AB256+AB303+AB350+AB397+AB444+AB491+AB538</f>
        <v/>
      </c>
      <c r="AC580" s="189">
        <f>AC68+AC115+AC162+AC209+AC256+AC303+AC350+AC397+AC444+AC491+AC538</f>
        <v/>
      </c>
      <c r="AD580" s="189">
        <f>AD68+AD115+AD162+AD209+AD256+AD303+AD350+AD397+AD444+AD491+AD538</f>
        <v/>
      </c>
      <c r="AE580" s="189">
        <f>AE68+AE115+AE162+AE209+AE256+AE303+AE350+AE397+AE444+AE491+AE538</f>
        <v/>
      </c>
      <c r="AF580" s="189">
        <f>AF68+AF115+AF162+AF209+AF256+AF303+AF350+AF397+AF444+AF491+AF538</f>
        <v/>
      </c>
      <c r="AG580" s="189">
        <f>AG68+AG115+AG162+AG209+AG256+AG303+AG350+AG397+AG444+AG491+AG538</f>
        <v/>
      </c>
      <c r="AH580" s="189">
        <f>AH68+AH115+AH162+AH209+AH256+AH303+AH350+AH397+AH444+AH491+AH538</f>
        <v/>
      </c>
      <c r="AI580" s="189">
        <f>AI68+AI115+AI162+AI209+AI256+AI303+AI350+AI397+AI444+AI491+AI538</f>
        <v/>
      </c>
      <c r="AJ580" s="189">
        <f>AJ68+AJ115+AJ162+AJ209+AJ256+AJ303+AJ350+AJ397+AJ444+AJ491+AJ538</f>
        <v/>
      </c>
      <c r="AK580" s="189">
        <f>AK68+AK115+AK162+AK209+AK256+AK303+AK350+AK397+AK444+AK491+AK538</f>
        <v/>
      </c>
      <c r="AL580" s="189">
        <f>AL68+AL115+AL162+AL209+AL256+AL303+AL350+AL397+AL444+AL491+AL538</f>
        <v/>
      </c>
      <c r="AM580" s="51" t="inlineStr">
        <is>
          <t>U2X</t>
        </is>
      </c>
    </row>
    <row r="581">
      <c r="C581" s="189">
        <f>C69+C116+C163+C210+C257+C304+C351+C398+C445+C492+C539</f>
        <v/>
      </c>
      <c r="D581" s="189">
        <f>D69+D116+D163+D210+D257+D304+D351+D398+D445+D492+D539</f>
        <v/>
      </c>
      <c r="E581" s="189">
        <f>E69+E116+E163+E210+E257+E304+E351+E398+E445+E492+E539</f>
        <v/>
      </c>
      <c r="F581" s="189">
        <f>F69+F116+F163+F210+F257+F304+F351+F398+F445+F492+F539</f>
        <v/>
      </c>
      <c r="G581" s="10">
        <f>G69+G116+G163+G210+G257+G304+G351+G398+G445+G492+G539</f>
        <v/>
      </c>
      <c r="H581" s="189">
        <f>H69+H116+H163+H210+H257+H304+H351+H398+H445+H492+H539</f>
        <v/>
      </c>
      <c r="I581" s="189">
        <f>I69+I116+I163+I210+I257+I304+I351+I398+I445+I492+I539</f>
        <v/>
      </c>
      <c r="J581" s="189">
        <f>J69+J116+J163+J210+J257+J304+J351+J398+J445+J492+J539</f>
        <v/>
      </c>
      <c r="K581" s="189">
        <f>K69+K116+K163+K210+K257+K304+K351+K398+K445+K492+K539</f>
        <v/>
      </c>
      <c r="L581" s="189">
        <f>L69+L116+L163+L210+L257+L304+L351+L398+L445+L492+L539</f>
        <v/>
      </c>
      <c r="M581" s="189">
        <f>M69+M116+M163+M210+M257+M304+M351+M398+M445+M492+M539</f>
        <v/>
      </c>
      <c r="N581" s="189">
        <f>N69+N116+N163+N210+N257+N304+N351+N398+N445+N492+N539</f>
        <v/>
      </c>
      <c r="O581" s="189">
        <f>O69+O116+O163+O210+O257+O304+O351+O398+O445+O492+O539</f>
        <v/>
      </c>
      <c r="P581" s="189">
        <f>P69+P116+P163+P210+P257+P304+P351+P398+P445+P492+P539</f>
        <v/>
      </c>
      <c r="Q581" s="189">
        <f>Q69+Q116+Q163+Q210+Q257+Q304+Q351+Q398+Q445+Q492+Q539</f>
        <v/>
      </c>
      <c r="R581" s="189">
        <f>R69+R116+R163+R210+R257+R304+R351+R398+R445+R492+R539</f>
        <v/>
      </c>
      <c r="S581" s="189">
        <f>S69+S116+S163+S210+S257+S304+S351+S398+S445+S492+S539</f>
        <v/>
      </c>
      <c r="T581" s="189">
        <f>T69+T116+T163+T210+T257+T304+T351+T398+T445+T492+T539</f>
        <v/>
      </c>
      <c r="U581" s="189">
        <f>U69+U116+U163+U210+U257+U304+U351+U398+U445+U492+U539</f>
        <v/>
      </c>
      <c r="V581" s="189">
        <f>V69+V116+V163+V210+V257+V304+V351+V398+V445+V492+V539</f>
        <v/>
      </c>
      <c r="W581" s="189">
        <f>W69+W116+W163+W210+W257+W304+W351+W398+W445+W492+W539</f>
        <v/>
      </c>
      <c r="X581" s="189">
        <f>X69+X116+X163+X210+X257+X304+X351+X398+X445+X492+X539</f>
        <v/>
      </c>
      <c r="Y581" s="189">
        <f>Y69+Y116+Y163+Y210+Y257+Y304+Y351+Y398+Y445+Y492+Y539</f>
        <v/>
      </c>
      <c r="Z581" s="189">
        <f>Z69+Z116+Z163+Z210+Z257+Z304+Z351+Z398+Z445+Z492+Z539</f>
        <v/>
      </c>
      <c r="AA581" s="189">
        <f>AA69+AA116+AA163+AA210+AA257+AA304+AA351+AA398+AA445+AA492+AA539</f>
        <v/>
      </c>
      <c r="AB581" s="189">
        <f>AB69+AB116+AB163+AB210+AB257+AB304+AB351+AB398+AB445+AB492+AB539</f>
        <v/>
      </c>
      <c r="AC581" s="189">
        <f>AC69+AC116+AC163+AC210+AC257+AC304+AC351+AC398+AC445+AC492+AC539</f>
        <v/>
      </c>
      <c r="AD581" s="189">
        <f>AD69+AD116+AD163+AD210+AD257+AD304+AD351+AD398+AD445+AD492+AD539</f>
        <v/>
      </c>
      <c r="AE581" s="189">
        <f>AE69+AE116+AE163+AE210+AE257+AE304+AE351+AE398+AE445+AE492+AE539</f>
        <v/>
      </c>
      <c r="AF581" s="189">
        <f>AF69+AF116+AF163+AF210+AF257+AF304+AF351+AF398+AF445+AF492+AF539</f>
        <v/>
      </c>
      <c r="AG581" s="189">
        <f>AG69+AG116+AG163+AG210+AG257+AG304+AG351+AG398+AG445+AG492+AG539</f>
        <v/>
      </c>
      <c r="AH581" s="189">
        <f>AH69+AH116+AH163+AH210+AH257+AH304+AH351+AH398+AH445+AH492+AH539</f>
        <v/>
      </c>
      <c r="AI581" s="189">
        <f>AI69+AI116+AI163+AI210+AI257+AI304+AI351+AI398+AI445+AI492+AI539</f>
        <v/>
      </c>
      <c r="AJ581" s="189">
        <f>AJ69+AJ116+AJ163+AJ210+AJ257+AJ304+AJ351+AJ398+AJ445+AJ492+AJ539</f>
        <v/>
      </c>
      <c r="AK581" s="189">
        <f>AK69+AK116+AK163+AK210+AK257+AK304+AK351+AK398+AK445+AK492+AK539</f>
        <v/>
      </c>
      <c r="AL581" s="189">
        <f>AL69+AL116+AL163+AL210+AL257+AL304+AL351+AL398+AL445+AL492+AL539</f>
        <v/>
      </c>
      <c r="AM581" s="51" t="inlineStr">
        <is>
          <t>U2Y</t>
        </is>
      </c>
    </row>
    <row r="582">
      <c r="C582" s="189">
        <f>C70+C117+C164+C211+C258+C305+C352+C399+C446+C493+C540</f>
        <v/>
      </c>
      <c r="D582" s="189">
        <f>D70+D117+D164+D211+D258+D305+D352+D399+D446+D493+D540</f>
        <v/>
      </c>
      <c r="E582" s="189">
        <f>E70+E117+E164+E211+E258+E305+E352+E399+E446+E493+E540</f>
        <v/>
      </c>
      <c r="F582" s="189">
        <f>F70+F117+F164+F211+F258+F305+F352+F399+F446+F493+F540</f>
        <v/>
      </c>
      <c r="G582" s="189">
        <f>G70+G117+G164+G211+G258+G305+G352+G399+G446+G493+G540</f>
        <v/>
      </c>
      <c r="H582" s="10">
        <f>H70+H117+H164+H211+H258+H305+H352+H399+H446+H493+H540</f>
        <v/>
      </c>
      <c r="I582" s="189">
        <f>I70+I117+I164+I211+I258+I305+I352+I399+I446+I493+I540</f>
        <v/>
      </c>
      <c r="J582" s="189">
        <f>J70+J117+J164+J211+J258+J305+J352+J399+J446+J493+J540</f>
        <v/>
      </c>
      <c r="K582" s="189">
        <f>K70+K117+K164+K211+K258+K305+K352+K399+K446+K493+K540</f>
        <v/>
      </c>
      <c r="L582" s="189">
        <f>L70+L117+L164+L211+L258+L305+L352+L399+L446+L493+L540</f>
        <v/>
      </c>
      <c r="M582" s="189">
        <f>M70+M117+M164+M211+M258+M305+M352+M399+M446+M493+M540</f>
        <v/>
      </c>
      <c r="N582" s="189">
        <f>N70+N117+N164+N211+N258+N305+N352+N399+N446+N493+N540</f>
        <v/>
      </c>
      <c r="O582" s="189">
        <f>O70+O117+O164+O211+O258+O305+O352+O399+O446+O493+O540</f>
        <v/>
      </c>
      <c r="P582" s="189">
        <f>P70+P117+P164+P211+P258+P305+P352+P399+P446+P493+P540</f>
        <v/>
      </c>
      <c r="Q582" s="189">
        <f>Q70+Q117+Q164+Q211+Q258+Q305+Q352+Q399+Q446+Q493+Q540</f>
        <v/>
      </c>
      <c r="R582" s="189">
        <f>R70+R117+R164+R211+R258+R305+R352+R399+R446+R493+R540</f>
        <v/>
      </c>
      <c r="S582" s="189">
        <f>S70+S117+S164+S211+S258+S305+S352+S399+S446+S493+S540</f>
        <v/>
      </c>
      <c r="T582" s="189">
        <f>T70+T117+T164+T211+T258+T305+T352+T399+T446+T493+T540</f>
        <v/>
      </c>
      <c r="U582" s="189">
        <f>U70+U117+U164+U211+U258+U305+U352+U399+U446+U493+U540</f>
        <v/>
      </c>
      <c r="V582" s="189">
        <f>V70+V117+V164+V211+V258+V305+V352+V399+V446+V493+V540</f>
        <v/>
      </c>
      <c r="W582" s="189">
        <f>W70+W117+W164+W211+W258+W305+W352+W399+W446+W493+W540</f>
        <v/>
      </c>
      <c r="X582" s="189">
        <f>X70+X117+X164+X211+X258+X305+X352+X399+X446+X493+X540</f>
        <v/>
      </c>
      <c r="Y582" s="189">
        <f>Y70+Y117+Y164+Y211+Y258+Y305+Y352+Y399+Y446+Y493+Y540</f>
        <v/>
      </c>
      <c r="Z582" s="189">
        <f>Z70+Z117+Z164+Z211+Z258+Z305+Z352+Z399+Z446+Z493+Z540</f>
        <v/>
      </c>
      <c r="AA582" s="189">
        <f>AA70+AA117+AA164+AA211+AA258+AA305+AA352+AA399+AA446+AA493+AA540</f>
        <v/>
      </c>
      <c r="AB582" s="189">
        <f>AB70+AB117+AB164+AB211+AB258+AB305+AB352+AB399+AB446+AB493+AB540</f>
        <v/>
      </c>
      <c r="AC582" s="189">
        <f>AC70+AC117+AC164+AC211+AC258+AC305+AC352+AC399+AC446+AC493+AC540</f>
        <v/>
      </c>
      <c r="AD582" s="189">
        <f>AD70+AD117+AD164+AD211+AD258+AD305+AD352+AD399+AD446+AD493+AD540</f>
        <v/>
      </c>
      <c r="AE582" s="189">
        <f>AE70+AE117+AE164+AE211+AE258+AE305+AE352+AE399+AE446+AE493+AE540</f>
        <v/>
      </c>
      <c r="AF582" s="189">
        <f>AF70+AF117+AF164+AF211+AF258+AF305+AF352+AF399+AF446+AF493+AF540</f>
        <v/>
      </c>
      <c r="AG582" s="189">
        <f>AG70+AG117+AG164+AG211+AG258+AG305+AG352+AG399+AG446+AG493+AG540</f>
        <v/>
      </c>
      <c r="AH582" s="189">
        <f>AH70+AH117+AH164+AH211+AH258+AH305+AH352+AH399+AH446+AH493+AH540</f>
        <v/>
      </c>
      <c r="AI582" s="189">
        <f>AI70+AI117+AI164+AI211+AI258+AI305+AI352+AI399+AI446+AI493+AI540</f>
        <v/>
      </c>
      <c r="AJ582" s="189">
        <f>AJ70+AJ117+AJ164+AJ211+AJ258+AJ305+AJ352+AJ399+AJ446+AJ493+AJ540</f>
        <v/>
      </c>
      <c r="AK582" s="189">
        <f>AK70+AK117+AK164+AK211+AK258+AK305+AK352+AK399+AK446+AK493+AK540</f>
        <v/>
      </c>
      <c r="AL582" s="189">
        <f>AL70+AL117+AL164+AL211+AL258+AL305+AL352+AL399+AL446+AL493+AL540</f>
        <v/>
      </c>
      <c r="AM582" s="51" t="inlineStr">
        <is>
          <t>U2θ</t>
        </is>
      </c>
    </row>
    <row r="583">
      <c r="C583" s="189">
        <f>C71+C118+C165+C212+C259+C306+C353+C400+C447+C494+C541</f>
        <v/>
      </c>
      <c r="D583" s="189">
        <f>D71+D118+D165+D212+D259+D306+D353+D400+D447+D494+D541</f>
        <v/>
      </c>
      <c r="E583" s="189">
        <f>E71+E118+E165+E212+E259+E306+E353+E400+E447+E494+E541</f>
        <v/>
      </c>
      <c r="F583" s="189">
        <f>F71+F118+F165+F212+F259+F306+F353+F400+F447+F494+F541</f>
        <v/>
      </c>
      <c r="G583" s="189">
        <f>G71+G118+G165+G212+G259+G306+G353+G400+G447+G494+G541</f>
        <v/>
      </c>
      <c r="H583" s="189">
        <f>H71+H118+H165+H212+H259+H306+H353+H400+H447+H494+H541</f>
        <v/>
      </c>
      <c r="I583" s="10">
        <f>I71+I118+I165+I212+I259+I306+I353+I400+I447+I494+I541</f>
        <v/>
      </c>
      <c r="J583" s="189">
        <f>J71+J118+J165+J212+J259+J306+J353+J400+J447+J494+J541</f>
        <v/>
      </c>
      <c r="K583" s="189">
        <f>K71+K118+K165+K212+K259+K306+K353+K400+K447+K494+K541</f>
        <v/>
      </c>
      <c r="L583" s="189">
        <f>L71+L118+L165+L212+L259+L306+L353+L400+L447+L494+L541</f>
        <v/>
      </c>
      <c r="M583" s="189">
        <f>M71+M118+M165+M212+M259+M306+M353+M400+M447+M494+M541</f>
        <v/>
      </c>
      <c r="N583" s="189">
        <f>N71+N118+N165+N212+N259+N306+N353+N400+N447+N494+N541</f>
        <v/>
      </c>
      <c r="O583" s="189">
        <f>O71+O118+O165+O212+O259+O306+O353+O400+O447+O494+O541</f>
        <v/>
      </c>
      <c r="P583" s="189">
        <f>P71+P118+P165+P212+P259+P306+P353+P400+P447+P494+P541</f>
        <v/>
      </c>
      <c r="Q583" s="189">
        <f>Q71+Q118+Q165+Q212+Q259+Q306+Q353+Q400+Q447+Q494+Q541</f>
        <v/>
      </c>
      <c r="R583" s="189">
        <f>R71+R118+R165+R212+R259+R306+R353+R400+R447+R494+R541</f>
        <v/>
      </c>
      <c r="S583" s="189">
        <f>S71+S118+S165+S212+S259+S306+S353+S400+S447+S494+S541</f>
        <v/>
      </c>
      <c r="T583" s="189">
        <f>T71+T118+T165+T212+T259+T306+T353+T400+T447+T494+T541</f>
        <v/>
      </c>
      <c r="U583" s="189">
        <f>U71+U118+U165+U212+U259+U306+U353+U400+U447+U494+U541</f>
        <v/>
      </c>
      <c r="V583" s="189">
        <f>V71+V118+V165+V212+V259+V306+V353+V400+V447+V494+V541</f>
        <v/>
      </c>
      <c r="W583" s="189">
        <f>W71+W118+W165+W212+W259+W306+W353+W400+W447+W494+W541</f>
        <v/>
      </c>
      <c r="X583" s="189">
        <f>X71+X118+X165+X212+X259+X306+X353+X400+X447+X494+X541</f>
        <v/>
      </c>
      <c r="Y583" s="189">
        <f>Y71+Y118+Y165+Y212+Y259+Y306+Y353+Y400+Y447+Y494+Y541</f>
        <v/>
      </c>
      <c r="Z583" s="189">
        <f>Z71+Z118+Z165+Z212+Z259+Z306+Z353+Z400+Z447+Z494+Z541</f>
        <v/>
      </c>
      <c r="AA583" s="189">
        <f>AA71+AA118+AA165+AA212+AA259+AA306+AA353+AA400+AA447+AA494+AA541</f>
        <v/>
      </c>
      <c r="AB583" s="189">
        <f>AB71+AB118+AB165+AB212+AB259+AB306+AB353+AB400+AB447+AB494+AB541</f>
        <v/>
      </c>
      <c r="AC583" s="189">
        <f>AC71+AC118+AC165+AC212+AC259+AC306+AC353+AC400+AC447+AC494+AC541</f>
        <v/>
      </c>
      <c r="AD583" s="189">
        <f>AD71+AD118+AD165+AD212+AD259+AD306+AD353+AD400+AD447+AD494+AD541</f>
        <v/>
      </c>
      <c r="AE583" s="189">
        <f>AE71+AE118+AE165+AE212+AE259+AE306+AE353+AE400+AE447+AE494+AE541</f>
        <v/>
      </c>
      <c r="AF583" s="189">
        <f>AF71+AF118+AF165+AF212+AF259+AF306+AF353+AF400+AF447+AF494+AF541</f>
        <v/>
      </c>
      <c r="AG583" s="189">
        <f>AG71+AG118+AG165+AG212+AG259+AG306+AG353+AG400+AG447+AG494+AG541</f>
        <v/>
      </c>
      <c r="AH583" s="189">
        <f>AH71+AH118+AH165+AH212+AH259+AH306+AH353+AH400+AH447+AH494+AH541</f>
        <v/>
      </c>
      <c r="AI583" s="189">
        <f>AI71+AI118+AI165+AI212+AI259+AI306+AI353+AI400+AI447+AI494+AI541</f>
        <v/>
      </c>
      <c r="AJ583" s="189">
        <f>AJ71+AJ118+AJ165+AJ212+AJ259+AJ306+AJ353+AJ400+AJ447+AJ494+AJ541</f>
        <v/>
      </c>
      <c r="AK583" s="189">
        <f>AK71+AK118+AK165+AK212+AK259+AK306+AK353+AK400+AK447+AK494+AK541</f>
        <v/>
      </c>
      <c r="AL583" s="189">
        <f>AL71+AL118+AL165+AL212+AL259+AL306+AL353+AL400+AL447+AL494+AL541</f>
        <v/>
      </c>
      <c r="AM583" s="51" t="inlineStr">
        <is>
          <t>U3X</t>
        </is>
      </c>
    </row>
    <row r="584">
      <c r="C584" s="189">
        <f>C72+C119+C166+C213+C260+C307+C354+C401+C448+C495+C542</f>
        <v/>
      </c>
      <c r="D584" s="189">
        <f>D72+D119+D166+D213+D260+D307+D354+D401+D448+D495+D542</f>
        <v/>
      </c>
      <c r="E584" s="189">
        <f>E72+E119+E166+E213+E260+E307+E354+E401+E448+E495+E542</f>
        <v/>
      </c>
      <c r="F584" s="189">
        <f>F72+F119+F166+F213+F260+F307+F354+F401+F448+F495+F542</f>
        <v/>
      </c>
      <c r="G584" s="189">
        <f>G72+G119+G166+G213+G260+G307+G354+G401+G448+G495+G542</f>
        <v/>
      </c>
      <c r="H584" s="189">
        <f>H72+H119+H166+H213+H260+H307+H354+H401+H448+H495+H542</f>
        <v/>
      </c>
      <c r="I584" s="189">
        <f>I72+I119+I166+I213+I260+I307+I354+I401+I448+I495+I542</f>
        <v/>
      </c>
      <c r="J584" s="10">
        <f>J72+J119+J166+J213+J260+J307+J354+J401+J448+J495+J542</f>
        <v/>
      </c>
      <c r="K584" s="189">
        <f>K72+K119+K166+K213+K260+K307+K354+K401+K448+K495+K542</f>
        <v/>
      </c>
      <c r="L584" s="189">
        <f>L72+L119+L166+L213+L260+L307+L354+L401+L448+L495+L542</f>
        <v/>
      </c>
      <c r="M584" s="189">
        <f>M72+M119+M166+M213+M260+M307+M354+M401+M448+M495+M542</f>
        <v/>
      </c>
      <c r="N584" s="189">
        <f>N72+N119+N166+N213+N260+N307+N354+N401+N448+N495+N542</f>
        <v/>
      </c>
      <c r="O584" s="189">
        <f>O72+O119+O166+O213+O260+O307+O354+O401+O448+O495+O542</f>
        <v/>
      </c>
      <c r="P584" s="189">
        <f>P72+P119+P166+P213+P260+P307+P354+P401+P448+P495+P542</f>
        <v/>
      </c>
      <c r="Q584" s="189">
        <f>Q72+Q119+Q166+Q213+Q260+Q307+Q354+Q401+Q448+Q495+Q542</f>
        <v/>
      </c>
      <c r="R584" s="189">
        <f>R72+R119+R166+R213+R260+R307+R354+R401+R448+R495+R542</f>
        <v/>
      </c>
      <c r="S584" s="189">
        <f>S72+S119+S166+S213+S260+S307+S354+S401+S448+S495+S542</f>
        <v/>
      </c>
      <c r="T584" s="189">
        <f>T72+T119+T166+T213+T260+T307+T354+T401+T448+T495+T542</f>
        <v/>
      </c>
      <c r="U584" s="189">
        <f>U72+U119+U166+U213+U260+U307+U354+U401+U448+U495+U542</f>
        <v/>
      </c>
      <c r="V584" s="189">
        <f>V72+V119+V166+V213+V260+V307+V354+V401+V448+V495+V542</f>
        <v/>
      </c>
      <c r="W584" s="189">
        <f>W72+W119+W166+W213+W260+W307+W354+W401+W448+W495+W542</f>
        <v/>
      </c>
      <c r="X584" s="189">
        <f>X72+X119+X166+X213+X260+X307+X354+X401+X448+X495+X542</f>
        <v/>
      </c>
      <c r="Y584" s="189">
        <f>Y72+Y119+Y166+Y213+Y260+Y307+Y354+Y401+Y448+Y495+Y542</f>
        <v/>
      </c>
      <c r="Z584" s="189">
        <f>Z72+Z119+Z166+Z213+Z260+Z307+Z354+Z401+Z448+Z495+Z542</f>
        <v/>
      </c>
      <c r="AA584" s="189">
        <f>AA72+AA119+AA166+AA213+AA260+AA307+AA354+AA401+AA448+AA495+AA542</f>
        <v/>
      </c>
      <c r="AB584" s="189">
        <f>AB72+AB119+AB166+AB213+AB260+AB307+AB354+AB401+AB448+AB495+AB542</f>
        <v/>
      </c>
      <c r="AC584" s="189">
        <f>AC72+AC119+AC166+AC213+AC260+AC307+AC354+AC401+AC448+AC495+AC542</f>
        <v/>
      </c>
      <c r="AD584" s="189">
        <f>AD72+AD119+AD166+AD213+AD260+AD307+AD354+AD401+AD448+AD495+AD542</f>
        <v/>
      </c>
      <c r="AE584" s="189">
        <f>AE72+AE119+AE166+AE213+AE260+AE307+AE354+AE401+AE448+AE495+AE542</f>
        <v/>
      </c>
      <c r="AF584" s="189">
        <f>AF72+AF119+AF166+AF213+AF260+AF307+AF354+AF401+AF448+AF495+AF542</f>
        <v/>
      </c>
      <c r="AG584" s="189">
        <f>AG72+AG119+AG166+AG213+AG260+AG307+AG354+AG401+AG448+AG495+AG542</f>
        <v/>
      </c>
      <c r="AH584" s="189">
        <f>AH72+AH119+AH166+AH213+AH260+AH307+AH354+AH401+AH448+AH495+AH542</f>
        <v/>
      </c>
      <c r="AI584" s="189">
        <f>AI72+AI119+AI166+AI213+AI260+AI307+AI354+AI401+AI448+AI495+AI542</f>
        <v/>
      </c>
      <c r="AJ584" s="189">
        <f>AJ72+AJ119+AJ166+AJ213+AJ260+AJ307+AJ354+AJ401+AJ448+AJ495+AJ542</f>
        <v/>
      </c>
      <c r="AK584" s="189">
        <f>AK72+AK119+AK166+AK213+AK260+AK307+AK354+AK401+AK448+AK495+AK542</f>
        <v/>
      </c>
      <c r="AL584" s="189">
        <f>AL72+AL119+AL166+AL213+AL260+AL307+AL354+AL401+AL448+AL495+AL542</f>
        <v/>
      </c>
      <c r="AM584" s="51" t="inlineStr">
        <is>
          <t>U3Y</t>
        </is>
      </c>
    </row>
    <row r="585">
      <c r="C585" s="189">
        <f>C73+C120+C167+C214+C261+C308+C355+C402+C449+C496+C543</f>
        <v/>
      </c>
      <c r="D585" s="189">
        <f>D73+D120+D167+D214+D261+D308+D355+D402+D449+D496+D543</f>
        <v/>
      </c>
      <c r="E585" s="189">
        <f>E73+E120+E167+E214+E261+E308+E355+E402+E449+E496+E543</f>
        <v/>
      </c>
      <c r="F585" s="189">
        <f>F73+F120+F167+F214+F261+F308+F355+F402+F449+F496+F543</f>
        <v/>
      </c>
      <c r="G585" s="189">
        <f>G73+G120+G167+G214+G261+G308+G355+G402+G449+G496+G543</f>
        <v/>
      </c>
      <c r="H585" s="189">
        <f>H73+H120+H167+H214+H261+H308+H355+H402+H449+H496+H543</f>
        <v/>
      </c>
      <c r="I585" s="189">
        <f>I73+I120+I167+I214+I261+I308+I355+I402+I449+I496+I543</f>
        <v/>
      </c>
      <c r="J585" s="189">
        <f>J73+J120+J167+J214+J261+J308+J355+J402+J449+J496+J543</f>
        <v/>
      </c>
      <c r="K585" s="10">
        <f>K73+K120+K167+K214+K261+K308+K355+K402+K449+K496+K543</f>
        <v/>
      </c>
      <c r="L585" s="189">
        <f>L73+L120+L167+L214+L261+L308+L355+L402+L449+L496+L543</f>
        <v/>
      </c>
      <c r="M585" s="189">
        <f>M73+M120+M167+M214+M261+M308+M355+M402+M449+M496+M543</f>
        <v/>
      </c>
      <c r="N585" s="189">
        <f>N73+N120+N167+N214+N261+N308+N355+N402+N449+N496+N543</f>
        <v/>
      </c>
      <c r="O585" s="189">
        <f>O73+O120+O167+O214+O261+O308+O355+O402+O449+O496+O543</f>
        <v/>
      </c>
      <c r="P585" s="189">
        <f>P73+P120+P167+P214+P261+P308+P355+P402+P449+P496+P543</f>
        <v/>
      </c>
      <c r="Q585" s="189">
        <f>Q73+Q120+Q167+Q214+Q261+Q308+Q355+Q402+Q449+Q496+Q543</f>
        <v/>
      </c>
      <c r="R585" s="189">
        <f>R73+R120+R167+R214+R261+R308+R355+R402+R449+R496+R543</f>
        <v/>
      </c>
      <c r="S585" s="189">
        <f>S73+S120+S167+S214+S261+S308+S355+S402+S449+S496+S543</f>
        <v/>
      </c>
      <c r="T585" s="189">
        <f>T73+T120+T167+T214+T261+T308+T355+T402+T449+T496+T543</f>
        <v/>
      </c>
      <c r="U585" s="189">
        <f>U73+U120+U167+U214+U261+U308+U355+U402+U449+U496+U543</f>
        <v/>
      </c>
      <c r="V585" s="189">
        <f>V73+V120+V167+V214+V261+V308+V355+V402+V449+V496+V543</f>
        <v/>
      </c>
      <c r="W585" s="189">
        <f>W73+W120+W167+W214+W261+W308+W355+W402+W449+W496+W543</f>
        <v/>
      </c>
      <c r="X585" s="189">
        <f>X73+X120+X167+X214+X261+X308+X355+X402+X449+X496+X543</f>
        <v/>
      </c>
      <c r="Y585" s="189">
        <f>Y73+Y120+Y167+Y214+Y261+Y308+Y355+Y402+Y449+Y496+Y543</f>
        <v/>
      </c>
      <c r="Z585" s="189">
        <f>Z73+Z120+Z167+Z214+Z261+Z308+Z355+Z402+Z449+Z496+Z543</f>
        <v/>
      </c>
      <c r="AA585" s="189">
        <f>AA73+AA120+AA167+AA214+AA261+AA308+AA355+AA402+AA449+AA496+AA543</f>
        <v/>
      </c>
      <c r="AB585" s="189">
        <f>AB73+AB120+AB167+AB214+AB261+AB308+AB355+AB402+AB449+AB496+AB543</f>
        <v/>
      </c>
      <c r="AC585" s="189">
        <f>AC73+AC120+AC167+AC214+AC261+AC308+AC355+AC402+AC449+AC496+AC543</f>
        <v/>
      </c>
      <c r="AD585" s="189">
        <f>AD73+AD120+AD167+AD214+AD261+AD308+AD355+AD402+AD449+AD496+AD543</f>
        <v/>
      </c>
      <c r="AE585" s="189">
        <f>AE73+AE120+AE167+AE214+AE261+AE308+AE355+AE402+AE449+AE496+AE543</f>
        <v/>
      </c>
      <c r="AF585" s="189">
        <f>AF73+AF120+AF167+AF214+AF261+AF308+AF355+AF402+AF449+AF496+AF543</f>
        <v/>
      </c>
      <c r="AG585" s="189">
        <f>AG73+AG120+AG167+AG214+AG261+AG308+AG355+AG402+AG449+AG496+AG543</f>
        <v/>
      </c>
      <c r="AH585" s="189">
        <f>AH73+AH120+AH167+AH214+AH261+AH308+AH355+AH402+AH449+AH496+AH543</f>
        <v/>
      </c>
      <c r="AI585" s="189">
        <f>AI73+AI120+AI167+AI214+AI261+AI308+AI355+AI402+AI449+AI496+AI543</f>
        <v/>
      </c>
      <c r="AJ585" s="189">
        <f>AJ73+AJ120+AJ167+AJ214+AJ261+AJ308+AJ355+AJ402+AJ449+AJ496+AJ543</f>
        <v/>
      </c>
      <c r="AK585" s="189">
        <f>AK73+AK120+AK167+AK214+AK261+AK308+AK355+AK402+AK449+AK496+AK543</f>
        <v/>
      </c>
      <c r="AL585" s="189">
        <f>AL73+AL120+AL167+AL214+AL261+AL308+AL355+AL402+AL449+AL496+AL543</f>
        <v/>
      </c>
      <c r="AM585" s="51" t="inlineStr">
        <is>
          <t>U3θ</t>
        </is>
      </c>
    </row>
    <row r="586">
      <c r="C586" s="189">
        <f>C74+C121+C168+C215+C262+C309+C356+C403+C450+C497+C544</f>
        <v/>
      </c>
      <c r="D586" s="189">
        <f>D74+D121+D168+D215+D262+D309+D356+D403+D450+D497+D544</f>
        <v/>
      </c>
      <c r="E586" s="189">
        <f>E74+E121+E168+E215+E262+E309+E356+E403+E450+E497+E544</f>
        <v/>
      </c>
      <c r="F586" s="189">
        <f>F74+F121+F168+F215+F262+F309+F356+F403+F450+F497+F544</f>
        <v/>
      </c>
      <c r="G586" s="189">
        <f>G74+G121+G168+G215+G262+G309+G356+G403+G450+G497+G544</f>
        <v/>
      </c>
      <c r="H586" s="189">
        <f>H74+H121+H168+H215+H262+H309+H356+H403+H450+H497+H544</f>
        <v/>
      </c>
      <c r="I586" s="189">
        <f>I74+I121+I168+I215+I262+I309+I356+I403+I450+I497+I544</f>
        <v/>
      </c>
      <c r="J586" s="189">
        <f>J74+J121+J168+J215+J262+J309+J356+J403+J450+J497+J544</f>
        <v/>
      </c>
      <c r="K586" s="189">
        <f>K74+K121+K168+K215+K262+K309+K356+K403+K450+K497+K544</f>
        <v/>
      </c>
      <c r="L586" s="10">
        <f>L74+L121+L168+L215+L262+L309+L356+L403+L450+L497+L544</f>
        <v/>
      </c>
      <c r="M586" s="189">
        <f>M74+M121+M168+M215+M262+M309+M356+M403+M450+M497+M544</f>
        <v/>
      </c>
      <c r="N586" s="189">
        <f>N74+N121+N168+N215+N262+N309+N356+N403+N450+N497+N544</f>
        <v/>
      </c>
      <c r="O586" s="189">
        <f>O74+O121+O168+O215+O262+O309+O356+O403+O450+O497+O544</f>
        <v/>
      </c>
      <c r="P586" s="189">
        <f>P74+P121+P168+P215+P262+P309+P356+P403+P450+P497+P544</f>
        <v/>
      </c>
      <c r="Q586" s="189">
        <f>Q74+Q121+Q168+Q215+Q262+Q309+Q356+Q403+Q450+Q497+Q544</f>
        <v/>
      </c>
      <c r="R586" s="189">
        <f>R74+R121+R168+R215+R262+R309+R356+R403+R450+R497+R544</f>
        <v/>
      </c>
      <c r="S586" s="189">
        <f>S74+S121+S168+S215+S262+S309+S356+S403+S450+S497+S544</f>
        <v/>
      </c>
      <c r="T586" s="189">
        <f>T74+T121+T168+T215+T262+T309+T356+T403+T450+T497+T544</f>
        <v/>
      </c>
      <c r="U586" s="189">
        <f>U74+U121+U168+U215+U262+U309+U356+U403+U450+U497+U544</f>
        <v/>
      </c>
      <c r="V586" s="189">
        <f>V74+V121+V168+V215+V262+V309+V356+V403+V450+V497+V544</f>
        <v/>
      </c>
      <c r="W586" s="189">
        <f>W74+W121+W168+W215+W262+W309+W356+W403+W450+W497+W544</f>
        <v/>
      </c>
      <c r="X586" s="189">
        <f>X74+X121+X168+X215+X262+X309+X356+X403+X450+X497+X544</f>
        <v/>
      </c>
      <c r="Y586" s="189">
        <f>Y74+Y121+Y168+Y215+Y262+Y309+Y356+Y403+Y450+Y497+Y544</f>
        <v/>
      </c>
      <c r="Z586" s="189">
        <f>Z74+Z121+Z168+Z215+Z262+Z309+Z356+Z403+Z450+Z497+Z544</f>
        <v/>
      </c>
      <c r="AA586" s="189">
        <f>AA74+AA121+AA168+AA215+AA262+AA309+AA356+AA403+AA450+AA497+AA544</f>
        <v/>
      </c>
      <c r="AB586" s="189">
        <f>AB74+AB121+AB168+AB215+AB262+AB309+AB356+AB403+AB450+AB497+AB544</f>
        <v/>
      </c>
      <c r="AC586" s="189">
        <f>AC74+AC121+AC168+AC215+AC262+AC309+AC356+AC403+AC450+AC497+AC544</f>
        <v/>
      </c>
      <c r="AD586" s="189">
        <f>AD74+AD121+AD168+AD215+AD262+AD309+AD356+AD403+AD450+AD497+AD544</f>
        <v/>
      </c>
      <c r="AE586" s="189">
        <f>AE74+AE121+AE168+AE215+AE262+AE309+AE356+AE403+AE450+AE497+AE544</f>
        <v/>
      </c>
      <c r="AF586" s="189">
        <f>AF74+AF121+AF168+AF215+AF262+AF309+AF356+AF403+AF450+AF497+AF544</f>
        <v/>
      </c>
      <c r="AG586" s="189">
        <f>AG74+AG121+AG168+AG215+AG262+AG309+AG356+AG403+AG450+AG497+AG544</f>
        <v/>
      </c>
      <c r="AH586" s="189">
        <f>AH74+AH121+AH168+AH215+AH262+AH309+AH356+AH403+AH450+AH497+AH544</f>
        <v/>
      </c>
      <c r="AI586" s="189">
        <f>AI74+AI121+AI168+AI215+AI262+AI309+AI356+AI403+AI450+AI497+AI544</f>
        <v/>
      </c>
      <c r="AJ586" s="189">
        <f>AJ74+AJ121+AJ168+AJ215+AJ262+AJ309+AJ356+AJ403+AJ450+AJ497+AJ544</f>
        <v/>
      </c>
      <c r="AK586" s="189">
        <f>AK74+AK121+AK168+AK215+AK262+AK309+AK356+AK403+AK450+AK497+AK544</f>
        <v/>
      </c>
      <c r="AL586" s="189">
        <f>AL74+AL121+AL168+AL215+AL262+AL309+AL356+AL403+AL450+AL497+AL544</f>
        <v/>
      </c>
      <c r="AM586" s="51" t="inlineStr">
        <is>
          <t>U4X</t>
        </is>
      </c>
    </row>
    <row r="587">
      <c r="C587" s="189">
        <f>C75+C122+C169+C216+C263+C310+C357+C404+C451+C498+C545</f>
        <v/>
      </c>
      <c r="D587" s="189">
        <f>D75+D122+D169+D216+D263+D310+D357+D404+D451+D498+D545</f>
        <v/>
      </c>
      <c r="E587" s="189">
        <f>E75+E122+E169+E216+E263+E310+E357+E404+E451+E498+E545</f>
        <v/>
      </c>
      <c r="F587" s="189">
        <f>F75+F122+F169+F216+F263+F310+F357+F404+F451+F498+F545</f>
        <v/>
      </c>
      <c r="G587" s="189">
        <f>G75+G122+G169+G216+G263+G310+G357+G404+G451+G498+G545</f>
        <v/>
      </c>
      <c r="H587" s="189">
        <f>H75+H122+H169+H216+H263+H310+H357+H404+H451+H498+H545</f>
        <v/>
      </c>
      <c r="I587" s="189">
        <f>I75+I122+I169+I216+I263+I310+I357+I404+I451+I498+I545</f>
        <v/>
      </c>
      <c r="J587" s="189">
        <f>J75+J122+J169+J216+J263+J310+J357+J404+J451+J498+J545</f>
        <v/>
      </c>
      <c r="K587" s="189">
        <f>K75+K122+K169+K216+K263+K310+K357+K404+K451+K498+K545</f>
        <v/>
      </c>
      <c r="L587" s="189">
        <f>L75+L122+L169+L216+L263+L310+L357+L404+L451+L498+L545</f>
        <v/>
      </c>
      <c r="M587" s="10">
        <f>M75+M122+M169+M216+M263+M310+M357+M404+M451+M498+M545</f>
        <v/>
      </c>
      <c r="N587" s="189">
        <f>N75+N122+N169+N216+N263+N310+N357+N404+N451+N498+N545</f>
        <v/>
      </c>
      <c r="O587" s="189">
        <f>O75+O122+O169+O216+O263+O310+O357+O404+O451+O498+O545</f>
        <v/>
      </c>
      <c r="P587" s="189">
        <f>P75+P122+P169+P216+P263+P310+P357+P404+P451+P498+P545</f>
        <v/>
      </c>
      <c r="Q587" s="189">
        <f>Q75+Q122+Q169+Q216+Q263+Q310+Q357+Q404+Q451+Q498+Q545</f>
        <v/>
      </c>
      <c r="R587" s="189">
        <f>R75+R122+R169+R216+R263+R310+R357+R404+R451+R498+R545</f>
        <v/>
      </c>
      <c r="S587" s="189">
        <f>S75+S122+S169+S216+S263+S310+S357+S404+S451+S498+S545</f>
        <v/>
      </c>
      <c r="T587" s="189">
        <f>T75+T122+T169+T216+T263+T310+T357+T404+T451+T498+T545</f>
        <v/>
      </c>
      <c r="U587" s="189">
        <f>U75+U122+U169+U216+U263+U310+U357+U404+U451+U498+U545</f>
        <v/>
      </c>
      <c r="V587" s="189">
        <f>V75+V122+V169+V216+V263+V310+V357+V404+V451+V498+V545</f>
        <v/>
      </c>
      <c r="W587" s="189">
        <f>W75+W122+W169+W216+W263+W310+W357+W404+W451+W498+W545</f>
        <v/>
      </c>
      <c r="X587" s="189">
        <f>X75+X122+X169+X216+X263+X310+X357+X404+X451+X498+X545</f>
        <v/>
      </c>
      <c r="Y587" s="189">
        <f>Y75+Y122+Y169+Y216+Y263+Y310+Y357+Y404+Y451+Y498+Y545</f>
        <v/>
      </c>
      <c r="Z587" s="189">
        <f>Z75+Z122+Z169+Z216+Z263+Z310+Z357+Z404+Z451+Z498+Z545</f>
        <v/>
      </c>
      <c r="AA587" s="189">
        <f>AA75+AA122+AA169+AA216+AA263+AA310+AA357+AA404+AA451+AA498+AA545</f>
        <v/>
      </c>
      <c r="AB587" s="189">
        <f>AB75+AB122+AB169+AB216+AB263+AB310+AB357+AB404+AB451+AB498+AB545</f>
        <v/>
      </c>
      <c r="AC587" s="189">
        <f>AC75+AC122+AC169+AC216+AC263+AC310+AC357+AC404+AC451+AC498+AC545</f>
        <v/>
      </c>
      <c r="AD587" s="189">
        <f>AD75+AD122+AD169+AD216+AD263+AD310+AD357+AD404+AD451+AD498+AD545</f>
        <v/>
      </c>
      <c r="AE587" s="189">
        <f>AE75+AE122+AE169+AE216+AE263+AE310+AE357+AE404+AE451+AE498+AE545</f>
        <v/>
      </c>
      <c r="AF587" s="189">
        <f>AF75+AF122+AF169+AF216+AF263+AF310+AF357+AF404+AF451+AF498+AF545</f>
        <v/>
      </c>
      <c r="AG587" s="189">
        <f>AG75+AG122+AG169+AG216+AG263+AG310+AG357+AG404+AG451+AG498+AG545</f>
        <v/>
      </c>
      <c r="AH587" s="189">
        <f>AH75+AH122+AH169+AH216+AH263+AH310+AH357+AH404+AH451+AH498+AH545</f>
        <v/>
      </c>
      <c r="AI587" s="189">
        <f>AI75+AI122+AI169+AI216+AI263+AI310+AI357+AI404+AI451+AI498+AI545</f>
        <v/>
      </c>
      <c r="AJ587" s="189">
        <f>AJ75+AJ122+AJ169+AJ216+AJ263+AJ310+AJ357+AJ404+AJ451+AJ498+AJ545</f>
        <v/>
      </c>
      <c r="AK587" s="189">
        <f>AK75+AK122+AK169+AK216+AK263+AK310+AK357+AK404+AK451+AK498+AK545</f>
        <v/>
      </c>
      <c r="AL587" s="189">
        <f>AL75+AL122+AL169+AL216+AL263+AL310+AL357+AL404+AL451+AL498+AL545</f>
        <v/>
      </c>
      <c r="AM587" s="51" t="inlineStr">
        <is>
          <t>U4Y</t>
        </is>
      </c>
    </row>
    <row r="588">
      <c r="C588" s="189">
        <f>C76+C123+C170+C217+C264+C311+C358+C405+C452+C499+C546</f>
        <v/>
      </c>
      <c r="D588" s="189">
        <f>D76+D123+D170+D217+D264+D311+D358+D405+D452+D499+D546</f>
        <v/>
      </c>
      <c r="E588" s="189">
        <f>E76+E123+E170+E217+E264+E311+E358+E405+E452+E499+E546</f>
        <v/>
      </c>
      <c r="F588" s="189">
        <f>F76+F123+F170+F217+F264+F311+F358+F405+F452+F499+F546</f>
        <v/>
      </c>
      <c r="G588" s="189">
        <f>G76+G123+G170+G217+G264+G311+G358+G405+G452+G499+G546</f>
        <v/>
      </c>
      <c r="H588" s="189">
        <f>H76+H123+H170+H217+H264+H311+H358+H405+H452+H499+H546</f>
        <v/>
      </c>
      <c r="I588" s="189">
        <f>I76+I123+I170+I217+I264+I311+I358+I405+I452+I499+I546</f>
        <v/>
      </c>
      <c r="J588" s="189">
        <f>J76+J123+J170+J217+J264+J311+J358+J405+J452+J499+J546</f>
        <v/>
      </c>
      <c r="K588" s="189">
        <f>K76+K123+K170+K217+K264+K311+K358+K405+K452+K499+K546</f>
        <v/>
      </c>
      <c r="L588" s="189">
        <f>L76+L123+L170+L217+L264+L311+L358+L405+L452+L499+L546</f>
        <v/>
      </c>
      <c r="M588" s="189">
        <f>M76+M123+M170+M217+M264+M311+M358+M405+M452+M499+M546</f>
        <v/>
      </c>
      <c r="N588" s="10">
        <f>N76+N123+N170+N217+N264+N311+N358+N405+N452+N499+N546</f>
        <v/>
      </c>
      <c r="O588" s="189">
        <f>O76+O123+O170+O217+O264+O311+O358+O405+O452+O499+O546</f>
        <v/>
      </c>
      <c r="P588" s="189">
        <f>P76+P123+P170+P217+P264+P311+P358+P405+P452+P499+P546</f>
        <v/>
      </c>
      <c r="Q588" s="189">
        <f>Q76+Q123+Q170+Q217+Q264+Q311+Q358+Q405+Q452+Q499+Q546</f>
        <v/>
      </c>
      <c r="R588" s="189">
        <f>R76+R123+R170+R217+R264+R311+R358+R405+R452+R499+R546</f>
        <v/>
      </c>
      <c r="S588" s="189">
        <f>S76+S123+S170+S217+S264+S311+S358+S405+S452+S499+S546</f>
        <v/>
      </c>
      <c r="T588" s="189">
        <f>T76+T123+T170+T217+T264+T311+T358+T405+T452+T499+T546</f>
        <v/>
      </c>
      <c r="U588" s="189">
        <f>U76+U123+U170+U217+U264+U311+U358+U405+U452+U499+U546</f>
        <v/>
      </c>
      <c r="V588" s="189">
        <f>V76+V123+V170+V217+V264+V311+V358+V405+V452+V499+V546</f>
        <v/>
      </c>
      <c r="W588" s="189">
        <f>W76+W123+W170+W217+W264+W311+W358+W405+W452+W499+W546</f>
        <v/>
      </c>
      <c r="X588" s="189">
        <f>X76+X123+X170+X217+X264+X311+X358+X405+X452+X499+X546</f>
        <v/>
      </c>
      <c r="Y588" s="189">
        <f>Y76+Y123+Y170+Y217+Y264+Y311+Y358+Y405+Y452+Y499+Y546</f>
        <v/>
      </c>
      <c r="Z588" s="189">
        <f>Z76+Z123+Z170+Z217+Z264+Z311+Z358+Z405+Z452+Z499+Z546</f>
        <v/>
      </c>
      <c r="AA588" s="189">
        <f>AA76+AA123+AA170+AA217+AA264+AA311+AA358+AA405+AA452+AA499+AA546</f>
        <v/>
      </c>
      <c r="AB588" s="189">
        <f>AB76+AB123+AB170+AB217+AB264+AB311+AB358+AB405+AB452+AB499+AB546</f>
        <v/>
      </c>
      <c r="AC588" s="189">
        <f>AC76+AC123+AC170+AC217+AC264+AC311+AC358+AC405+AC452+AC499+AC546</f>
        <v/>
      </c>
      <c r="AD588" s="189">
        <f>AD76+AD123+AD170+AD217+AD264+AD311+AD358+AD405+AD452+AD499+AD546</f>
        <v/>
      </c>
      <c r="AE588" s="189">
        <f>AE76+AE123+AE170+AE217+AE264+AE311+AE358+AE405+AE452+AE499+AE546</f>
        <v/>
      </c>
      <c r="AF588" s="189">
        <f>AF76+AF123+AF170+AF217+AF264+AF311+AF358+AF405+AF452+AF499+AF546</f>
        <v/>
      </c>
      <c r="AG588" s="189">
        <f>AG76+AG123+AG170+AG217+AG264+AG311+AG358+AG405+AG452+AG499+AG546</f>
        <v/>
      </c>
      <c r="AH588" s="189">
        <f>AH76+AH123+AH170+AH217+AH264+AH311+AH358+AH405+AH452+AH499+AH546</f>
        <v/>
      </c>
      <c r="AI588" s="189">
        <f>AI76+AI123+AI170+AI217+AI264+AI311+AI358+AI405+AI452+AI499+AI546</f>
        <v/>
      </c>
      <c r="AJ588" s="189">
        <f>AJ76+AJ123+AJ170+AJ217+AJ264+AJ311+AJ358+AJ405+AJ452+AJ499+AJ546</f>
        <v/>
      </c>
      <c r="AK588" s="189">
        <f>AK76+AK123+AK170+AK217+AK264+AK311+AK358+AK405+AK452+AK499+AK546</f>
        <v/>
      </c>
      <c r="AL588" s="189">
        <f>AL76+AL123+AL170+AL217+AL264+AL311+AL358+AL405+AL452+AL499+AL546</f>
        <v/>
      </c>
      <c r="AM588" s="51" t="inlineStr">
        <is>
          <t>U4θ</t>
        </is>
      </c>
    </row>
    <row r="589">
      <c r="C589" s="189">
        <f>C77+C124+C171+C218+C265+C312+C359+C406+C453+C500+C547</f>
        <v/>
      </c>
      <c r="D589" s="189">
        <f>D77+D124+D171+D218+D265+D312+D359+D406+D453+D500+D547</f>
        <v/>
      </c>
      <c r="E589" s="189">
        <f>E77+E124+E171+E218+E265+E312+E359+E406+E453+E500+E547</f>
        <v/>
      </c>
      <c r="F589" s="189">
        <f>F77+F124+F171+F218+F265+F312+F359+F406+F453+F500+F547</f>
        <v/>
      </c>
      <c r="G589" s="189">
        <f>G77+G124+G171+G218+G265+G312+G359+G406+G453+G500+G547</f>
        <v/>
      </c>
      <c r="H589" s="189">
        <f>H77+H124+H171+H218+H265+H312+H359+H406+H453+H500+H547</f>
        <v/>
      </c>
      <c r="I589" s="189">
        <f>I77+I124+I171+I218+I265+I312+I359+I406+I453+I500+I547</f>
        <v/>
      </c>
      <c r="J589" s="189">
        <f>J77+J124+J171+J218+J265+J312+J359+J406+J453+J500+J547</f>
        <v/>
      </c>
      <c r="K589" s="189">
        <f>K77+K124+K171+K218+K265+K312+K359+K406+K453+K500+K547</f>
        <v/>
      </c>
      <c r="L589" s="189">
        <f>L77+L124+L171+L218+L265+L312+L359+L406+L453+L500+L547</f>
        <v/>
      </c>
      <c r="M589" s="189">
        <f>M77+M124+M171+M218+M265+M312+M359+M406+M453+M500+M547</f>
        <v/>
      </c>
      <c r="N589" s="189">
        <f>N77+N124+N171+N218+N265+N312+N359+N406+N453+N500+N547</f>
        <v/>
      </c>
      <c r="O589" s="10">
        <f>O77+O124+O171+O218+O265+O312+O359+O406+O453+O500+O547</f>
        <v/>
      </c>
      <c r="P589" s="189">
        <f>P77+P124+P171+P218+P265+P312+P359+P406+P453+P500+P547</f>
        <v/>
      </c>
      <c r="Q589" s="189">
        <f>Q77+Q124+Q171+Q218+Q265+Q312+Q359+Q406+Q453+Q500+Q547</f>
        <v/>
      </c>
      <c r="R589" s="189">
        <f>R77+R124+R171+R218+R265+R312+R359+R406+R453+R500+R547</f>
        <v/>
      </c>
      <c r="S589" s="189">
        <f>S77+S124+S171+S218+S265+S312+S359+S406+S453+S500+S547</f>
        <v/>
      </c>
      <c r="T589" s="189">
        <f>T77+T124+T171+T218+T265+T312+T359+T406+T453+T500+T547</f>
        <v/>
      </c>
      <c r="U589" s="189">
        <f>U77+U124+U171+U218+U265+U312+U359+U406+U453+U500+U547</f>
        <v/>
      </c>
      <c r="V589" s="189">
        <f>V77+V124+V171+V218+V265+V312+V359+V406+V453+V500+V547</f>
        <v/>
      </c>
      <c r="W589" s="189">
        <f>W77+W124+W171+W218+W265+W312+W359+W406+W453+W500+W547</f>
        <v/>
      </c>
      <c r="X589" s="189">
        <f>X77+X124+X171+X218+X265+X312+X359+X406+X453+X500+X547</f>
        <v/>
      </c>
      <c r="Y589" s="189">
        <f>Y77+Y124+Y171+Y218+Y265+Y312+Y359+Y406+Y453+Y500+Y547</f>
        <v/>
      </c>
      <c r="Z589" s="189">
        <f>Z77+Z124+Z171+Z218+Z265+Z312+Z359+Z406+Z453+Z500+Z547</f>
        <v/>
      </c>
      <c r="AA589" s="189">
        <f>AA77+AA124+AA171+AA218+AA265+AA312+AA359+AA406+AA453+AA500+AA547</f>
        <v/>
      </c>
      <c r="AB589" s="189">
        <f>AB77+AB124+AB171+AB218+AB265+AB312+AB359+AB406+AB453+AB500+AB547</f>
        <v/>
      </c>
      <c r="AC589" s="189">
        <f>AC77+AC124+AC171+AC218+AC265+AC312+AC359+AC406+AC453+AC500+AC547</f>
        <v/>
      </c>
      <c r="AD589" s="189">
        <f>AD77+AD124+AD171+AD218+AD265+AD312+AD359+AD406+AD453+AD500+AD547</f>
        <v/>
      </c>
      <c r="AE589" s="189">
        <f>AE77+AE124+AE171+AE218+AE265+AE312+AE359+AE406+AE453+AE500+AE547</f>
        <v/>
      </c>
      <c r="AF589" s="189">
        <f>AF77+AF124+AF171+AF218+AF265+AF312+AF359+AF406+AF453+AF500+AF547</f>
        <v/>
      </c>
      <c r="AG589" s="189">
        <f>AG77+AG124+AG171+AG218+AG265+AG312+AG359+AG406+AG453+AG500+AG547</f>
        <v/>
      </c>
      <c r="AH589" s="189">
        <f>AH77+AH124+AH171+AH218+AH265+AH312+AH359+AH406+AH453+AH500+AH547</f>
        <v/>
      </c>
      <c r="AI589" s="189">
        <f>AI77+AI124+AI171+AI218+AI265+AI312+AI359+AI406+AI453+AI500+AI547</f>
        <v/>
      </c>
      <c r="AJ589" s="189">
        <f>AJ77+AJ124+AJ171+AJ218+AJ265+AJ312+AJ359+AJ406+AJ453+AJ500+AJ547</f>
        <v/>
      </c>
      <c r="AK589" s="189">
        <f>AK77+AK124+AK171+AK218+AK265+AK312+AK359+AK406+AK453+AK500+AK547</f>
        <v/>
      </c>
      <c r="AL589" s="189">
        <f>AL77+AL124+AL171+AL218+AL265+AL312+AL359+AL406+AL453+AL500+AL547</f>
        <v/>
      </c>
      <c r="AM589" s="51" t="inlineStr">
        <is>
          <t>U5X</t>
        </is>
      </c>
    </row>
    <row r="590">
      <c r="C590" s="189">
        <f>C78+C125+C172+C219+C266+C313+C360+C407+C454+C501+C548</f>
        <v/>
      </c>
      <c r="D590" s="189">
        <f>D78+D125+D172+D219+D266+D313+D360+D407+D454+D501+D548</f>
        <v/>
      </c>
      <c r="E590" s="189">
        <f>E78+E125+E172+E219+E266+E313+E360+E407+E454+E501+E548</f>
        <v/>
      </c>
      <c r="F590" s="189">
        <f>F78+F125+F172+F219+F266+F313+F360+F407+F454+F501+F548</f>
        <v/>
      </c>
      <c r="G590" s="189">
        <f>G78+G125+G172+G219+G266+G313+G360+G407+G454+G501+G548</f>
        <v/>
      </c>
      <c r="H590" s="189">
        <f>H78+H125+H172+H219+H266+H313+H360+H407+H454+H501+H548</f>
        <v/>
      </c>
      <c r="I590" s="189">
        <f>I78+I125+I172+I219+I266+I313+I360+I407+I454+I501+I548</f>
        <v/>
      </c>
      <c r="J590" s="189">
        <f>J78+J125+J172+J219+J266+J313+J360+J407+J454+J501+J548</f>
        <v/>
      </c>
      <c r="K590" s="189">
        <f>K78+K125+K172+K219+K266+K313+K360+K407+K454+K501+K548</f>
        <v/>
      </c>
      <c r="L590" s="189">
        <f>L78+L125+L172+L219+L266+L313+L360+L407+L454+L501+L548</f>
        <v/>
      </c>
      <c r="M590" s="189">
        <f>M78+M125+M172+M219+M266+M313+M360+M407+M454+M501+M548</f>
        <v/>
      </c>
      <c r="N590" s="189">
        <f>N78+N125+N172+N219+N266+N313+N360+N407+N454+N501+N548</f>
        <v/>
      </c>
      <c r="O590" s="189">
        <f>O78+O125+O172+O219+O266+O313+O360+O407+O454+O501+O548</f>
        <v/>
      </c>
      <c r="P590" s="10">
        <f>P78+P125+P172+P219+P266+P313+P360+P407+P454+P501+P548</f>
        <v/>
      </c>
      <c r="Q590" s="189">
        <f>Q78+Q125+Q172+Q219+Q266+Q313+Q360+Q407+Q454+Q501+Q548</f>
        <v/>
      </c>
      <c r="R590" s="189">
        <f>R78+R125+R172+R219+R266+R313+R360+R407+R454+R501+R548</f>
        <v/>
      </c>
      <c r="S590" s="189">
        <f>S78+S125+S172+S219+S266+S313+S360+S407+S454+S501+S548</f>
        <v/>
      </c>
      <c r="T590" s="189">
        <f>T78+T125+T172+T219+T266+T313+T360+T407+T454+T501+T548</f>
        <v/>
      </c>
      <c r="U590" s="189">
        <f>U78+U125+U172+U219+U266+U313+U360+U407+U454+U501+U548</f>
        <v/>
      </c>
      <c r="V590" s="189">
        <f>V78+V125+V172+V219+V266+V313+V360+V407+V454+V501+V548</f>
        <v/>
      </c>
      <c r="W590" s="189">
        <f>W78+W125+W172+W219+W266+W313+W360+W407+W454+W501+W548</f>
        <v/>
      </c>
      <c r="X590" s="189">
        <f>X78+X125+X172+X219+X266+X313+X360+X407+X454+X501+X548</f>
        <v/>
      </c>
      <c r="Y590" s="189">
        <f>Y78+Y125+Y172+Y219+Y266+Y313+Y360+Y407+Y454+Y501+Y548</f>
        <v/>
      </c>
      <c r="Z590" s="189">
        <f>Z78+Z125+Z172+Z219+Z266+Z313+Z360+Z407+Z454+Z501+Z548</f>
        <v/>
      </c>
      <c r="AA590" s="189">
        <f>AA78+AA125+AA172+AA219+AA266+AA313+AA360+AA407+AA454+AA501+AA548</f>
        <v/>
      </c>
      <c r="AB590" s="189">
        <f>AB78+AB125+AB172+AB219+AB266+AB313+AB360+AB407+AB454+AB501+AB548</f>
        <v/>
      </c>
      <c r="AC590" s="189">
        <f>AC78+AC125+AC172+AC219+AC266+AC313+AC360+AC407+AC454+AC501+AC548</f>
        <v/>
      </c>
      <c r="AD590" s="189">
        <f>AD78+AD125+AD172+AD219+AD266+AD313+AD360+AD407+AD454+AD501+AD548</f>
        <v/>
      </c>
      <c r="AE590" s="189">
        <f>AE78+AE125+AE172+AE219+AE266+AE313+AE360+AE407+AE454+AE501+AE548</f>
        <v/>
      </c>
      <c r="AF590" s="189">
        <f>AF78+AF125+AF172+AF219+AF266+AF313+AF360+AF407+AF454+AF501+AF548</f>
        <v/>
      </c>
      <c r="AG590" s="189">
        <f>AG78+AG125+AG172+AG219+AG266+AG313+AG360+AG407+AG454+AG501+AG548</f>
        <v/>
      </c>
      <c r="AH590" s="189">
        <f>AH78+AH125+AH172+AH219+AH266+AH313+AH360+AH407+AH454+AH501+AH548</f>
        <v/>
      </c>
      <c r="AI590" s="189">
        <f>AI78+AI125+AI172+AI219+AI266+AI313+AI360+AI407+AI454+AI501+AI548</f>
        <v/>
      </c>
      <c r="AJ590" s="189">
        <f>AJ78+AJ125+AJ172+AJ219+AJ266+AJ313+AJ360+AJ407+AJ454+AJ501+AJ548</f>
        <v/>
      </c>
      <c r="AK590" s="189">
        <f>AK78+AK125+AK172+AK219+AK266+AK313+AK360+AK407+AK454+AK501+AK548</f>
        <v/>
      </c>
      <c r="AL590" s="189">
        <f>AL78+AL125+AL172+AL219+AL266+AL313+AL360+AL407+AL454+AL501+AL548</f>
        <v/>
      </c>
      <c r="AM590" s="51" t="inlineStr">
        <is>
          <t>U5Y</t>
        </is>
      </c>
    </row>
    <row r="591">
      <c r="C591" s="189">
        <f>C79+C126+C173+C220+C267+C314+C361+C408+C455+C502+C549</f>
        <v/>
      </c>
      <c r="D591" s="189">
        <f>D79+D126+D173+D220+D267+D314+D361+D408+D455+D502+D549</f>
        <v/>
      </c>
      <c r="E591" s="189">
        <f>E79+E126+E173+E220+E267+E314+E361+E408+E455+E502+E549</f>
        <v/>
      </c>
      <c r="F591" s="189">
        <f>F79+F126+F173+F220+F267+F314+F361+F408+F455+F502+F549</f>
        <v/>
      </c>
      <c r="G591" s="189">
        <f>G79+G126+G173+G220+G267+G314+G361+G408+G455+G502+G549</f>
        <v/>
      </c>
      <c r="H591" s="189">
        <f>H79+H126+H173+H220+H267+H314+H361+H408+H455+H502+H549</f>
        <v/>
      </c>
      <c r="I591" s="189">
        <f>I79+I126+I173+I220+I267+I314+I361+I408+I455+I502+I549</f>
        <v/>
      </c>
      <c r="J591" s="189">
        <f>J79+J126+J173+J220+J267+J314+J361+J408+J455+J502+J549</f>
        <v/>
      </c>
      <c r="K591" s="189">
        <f>K79+K126+K173+K220+K267+K314+K361+K408+K455+K502+K549</f>
        <v/>
      </c>
      <c r="L591" s="189">
        <f>L79+L126+L173+L220+L267+L314+L361+L408+L455+L502+L549</f>
        <v/>
      </c>
      <c r="M591" s="189">
        <f>M79+M126+M173+M220+M267+M314+M361+M408+M455+M502+M549</f>
        <v/>
      </c>
      <c r="N591" s="189">
        <f>N79+N126+N173+N220+N267+N314+N361+N408+N455+N502+N549</f>
        <v/>
      </c>
      <c r="O591" s="189">
        <f>O79+O126+O173+O220+O267+O314+O361+O408+O455+O502+O549</f>
        <v/>
      </c>
      <c r="P591" s="189">
        <f>P79+P126+P173+P220+P267+P314+P361+P408+P455+P502+P549</f>
        <v/>
      </c>
      <c r="Q591" s="10">
        <f>Q79+Q126+Q173+Q220+Q267+Q314+Q361+Q408+Q455+Q502+Q549</f>
        <v/>
      </c>
      <c r="R591" s="189">
        <f>R79+R126+R173+R220+R267+R314+R361+R408+R455+R502+R549</f>
        <v/>
      </c>
      <c r="S591" s="189">
        <f>S79+S126+S173+S220+S267+S314+S361+S408+S455+S502+S549</f>
        <v/>
      </c>
      <c r="T591" s="189">
        <f>T79+T126+T173+T220+T267+T314+T361+T408+T455+T502+T549</f>
        <v/>
      </c>
      <c r="U591" s="189">
        <f>U79+U126+U173+U220+U267+U314+U361+U408+U455+U502+U549</f>
        <v/>
      </c>
      <c r="V591" s="189">
        <f>V79+V126+V173+V220+V267+V314+V361+V408+V455+V502+V549</f>
        <v/>
      </c>
      <c r="W591" s="189">
        <f>W79+W126+W173+W220+W267+W314+W361+W408+W455+W502+W549</f>
        <v/>
      </c>
      <c r="X591" s="189">
        <f>X79+X126+X173+X220+X267+X314+X361+X408+X455+X502+X549</f>
        <v/>
      </c>
      <c r="Y591" s="189">
        <f>Y79+Y126+Y173+Y220+Y267+Y314+Y361+Y408+Y455+Y502+Y549</f>
        <v/>
      </c>
      <c r="Z591" s="189">
        <f>Z79+Z126+Z173+Z220+Z267+Z314+Z361+Z408+Z455+Z502+Z549</f>
        <v/>
      </c>
      <c r="AA591" s="189">
        <f>AA79+AA126+AA173+AA220+AA267+AA314+AA361+AA408+AA455+AA502+AA549</f>
        <v/>
      </c>
      <c r="AB591" s="189">
        <f>AB79+AB126+AB173+AB220+AB267+AB314+AB361+AB408+AB455+AB502+AB549</f>
        <v/>
      </c>
      <c r="AC591" s="189">
        <f>AC79+AC126+AC173+AC220+AC267+AC314+AC361+AC408+AC455+AC502+AC549</f>
        <v/>
      </c>
      <c r="AD591" s="189">
        <f>AD79+AD126+AD173+AD220+AD267+AD314+AD361+AD408+AD455+AD502+AD549</f>
        <v/>
      </c>
      <c r="AE591" s="189">
        <f>AE79+AE126+AE173+AE220+AE267+AE314+AE361+AE408+AE455+AE502+AE549</f>
        <v/>
      </c>
      <c r="AF591" s="189">
        <f>AF79+AF126+AF173+AF220+AF267+AF314+AF361+AF408+AF455+AF502+AF549</f>
        <v/>
      </c>
      <c r="AG591" s="189">
        <f>AG79+AG126+AG173+AG220+AG267+AG314+AG361+AG408+AG455+AG502+AG549</f>
        <v/>
      </c>
      <c r="AH591" s="189">
        <f>AH79+AH126+AH173+AH220+AH267+AH314+AH361+AH408+AH455+AH502+AH549</f>
        <v/>
      </c>
      <c r="AI591" s="189">
        <f>AI79+AI126+AI173+AI220+AI267+AI314+AI361+AI408+AI455+AI502+AI549</f>
        <v/>
      </c>
      <c r="AJ591" s="189">
        <f>AJ79+AJ126+AJ173+AJ220+AJ267+AJ314+AJ361+AJ408+AJ455+AJ502+AJ549</f>
        <v/>
      </c>
      <c r="AK591" s="189">
        <f>AK79+AK126+AK173+AK220+AK267+AK314+AK361+AK408+AK455+AK502+AK549</f>
        <v/>
      </c>
      <c r="AL591" s="189">
        <f>AL79+AL126+AL173+AL220+AL267+AL314+AL361+AL408+AL455+AL502+AL549</f>
        <v/>
      </c>
      <c r="AM591" s="51" t="inlineStr">
        <is>
          <t>U5θ</t>
        </is>
      </c>
    </row>
    <row r="592">
      <c r="C592" s="189">
        <f>C80+C127+C174+C221+C268+C315+C362+C409+C456+C503+C550</f>
        <v/>
      </c>
      <c r="D592" s="189">
        <f>D80+D127+D174+D221+D268+D315+D362+D409+D456+D503+D550</f>
        <v/>
      </c>
      <c r="E592" s="189">
        <f>E80+E127+E174+E221+E268+E315+E362+E409+E456+E503+E550</f>
        <v/>
      </c>
      <c r="F592" s="189">
        <f>F80+F127+F174+F221+F268+F315+F362+F409+F456+F503+F550</f>
        <v/>
      </c>
      <c r="G592" s="189">
        <f>G80+G127+G174+G221+G268+G315+G362+G409+G456+G503+G550</f>
        <v/>
      </c>
      <c r="H592" s="189">
        <f>H80+H127+H174+H221+H268+H315+H362+H409+H456+H503+H550</f>
        <v/>
      </c>
      <c r="I592" s="189">
        <f>I80+I127+I174+I221+I268+I315+I362+I409+I456+I503+I550</f>
        <v/>
      </c>
      <c r="J592" s="189">
        <f>J80+J127+J174+J221+J268+J315+J362+J409+J456+J503+J550</f>
        <v/>
      </c>
      <c r="K592" s="189">
        <f>K80+K127+K174+K221+K268+K315+K362+K409+K456+K503+K550</f>
        <v/>
      </c>
      <c r="L592" s="189">
        <f>L80+L127+L174+L221+L268+L315+L362+L409+L456+L503+L550</f>
        <v/>
      </c>
      <c r="M592" s="189">
        <f>M80+M127+M174+M221+M268+M315+M362+M409+M456+M503+M550</f>
        <v/>
      </c>
      <c r="N592" s="189">
        <f>N80+N127+N174+N221+N268+N315+N362+N409+N456+N503+N550</f>
        <v/>
      </c>
      <c r="O592" s="189">
        <f>O80+O127+O174+O221+O268+O315+O362+O409+O456+O503+O550</f>
        <v/>
      </c>
      <c r="P592" s="189">
        <f>P80+P127+P174+P221+P268+P315+P362+P409+P456+P503+P550</f>
        <v/>
      </c>
      <c r="Q592" s="189">
        <f>Q80+Q127+Q174+Q221+Q268+Q315+Q362+Q409+Q456+Q503+Q550</f>
        <v/>
      </c>
      <c r="R592" s="10">
        <f>R80+R127+R174+R221+R268+R315+R362+R409+R456+R503+R550</f>
        <v/>
      </c>
      <c r="S592" s="189">
        <f>S80+S127+S174+S221+S268+S315+S362+S409+S456+S503+S550</f>
        <v/>
      </c>
      <c r="T592" s="189">
        <f>T80+T127+T174+T221+T268+T315+T362+T409+T456+T503+T550</f>
        <v/>
      </c>
      <c r="U592" s="189">
        <f>U80+U127+U174+U221+U268+U315+U362+U409+U456+U503+U550</f>
        <v/>
      </c>
      <c r="V592" s="189">
        <f>V80+V127+V174+V221+V268+V315+V362+V409+V456+V503+V550</f>
        <v/>
      </c>
      <c r="W592" s="189">
        <f>W80+W127+W174+W221+W268+W315+W362+W409+W456+W503+W550</f>
        <v/>
      </c>
      <c r="X592" s="189">
        <f>X80+X127+X174+X221+X268+X315+X362+X409+X456+X503+X550</f>
        <v/>
      </c>
      <c r="Y592" s="189">
        <f>Y80+Y127+Y174+Y221+Y268+Y315+Y362+Y409+Y456+Y503+Y550</f>
        <v/>
      </c>
      <c r="Z592" s="189">
        <f>Z80+Z127+Z174+Z221+Z268+Z315+Z362+Z409+Z456+Z503+Z550</f>
        <v/>
      </c>
      <c r="AA592" s="189">
        <f>AA80+AA127+AA174+AA221+AA268+AA315+AA362+AA409+AA456+AA503+AA550</f>
        <v/>
      </c>
      <c r="AB592" s="189">
        <f>AB80+AB127+AB174+AB221+AB268+AB315+AB362+AB409+AB456+AB503+AB550</f>
        <v/>
      </c>
      <c r="AC592" s="189">
        <f>AC80+AC127+AC174+AC221+AC268+AC315+AC362+AC409+AC456+AC503+AC550</f>
        <v/>
      </c>
      <c r="AD592" s="189">
        <f>AD80+AD127+AD174+AD221+AD268+AD315+AD362+AD409+AD456+AD503+AD550</f>
        <v/>
      </c>
      <c r="AE592" s="189">
        <f>AE80+AE127+AE174+AE221+AE268+AE315+AE362+AE409+AE456+AE503+AE550</f>
        <v/>
      </c>
      <c r="AF592" s="189">
        <f>AF80+AF127+AF174+AF221+AF268+AF315+AF362+AF409+AF456+AF503+AF550</f>
        <v/>
      </c>
      <c r="AG592" s="189">
        <f>AG80+AG127+AG174+AG221+AG268+AG315+AG362+AG409+AG456+AG503+AG550</f>
        <v/>
      </c>
      <c r="AH592" s="189">
        <f>AH80+AH127+AH174+AH221+AH268+AH315+AH362+AH409+AH456+AH503+AH550</f>
        <v/>
      </c>
      <c r="AI592" s="189">
        <f>AI80+AI127+AI174+AI221+AI268+AI315+AI362+AI409+AI456+AI503+AI550</f>
        <v/>
      </c>
      <c r="AJ592" s="189">
        <f>AJ80+AJ127+AJ174+AJ221+AJ268+AJ315+AJ362+AJ409+AJ456+AJ503+AJ550</f>
        <v/>
      </c>
      <c r="AK592" s="189">
        <f>AK80+AK127+AK174+AK221+AK268+AK315+AK362+AK409+AK456+AK503+AK550</f>
        <v/>
      </c>
      <c r="AL592" s="189">
        <f>AL80+AL127+AL174+AL221+AL268+AL315+AL362+AL409+AL456+AL503+AL550</f>
        <v/>
      </c>
      <c r="AM592" s="51" t="inlineStr">
        <is>
          <t>U6X</t>
        </is>
      </c>
    </row>
    <row r="593">
      <c r="C593" s="189">
        <f>C81+C128+C175+C222+C269+C316+C363+C410+C457+C504+C551</f>
        <v/>
      </c>
      <c r="D593" s="189">
        <f>D81+D128+D175+D222+D269+D316+D363+D410+D457+D504+D551</f>
        <v/>
      </c>
      <c r="E593" s="189">
        <f>E81+E128+E175+E222+E269+E316+E363+E410+E457+E504+E551</f>
        <v/>
      </c>
      <c r="F593" s="189">
        <f>F81+F128+F175+F222+F269+F316+F363+F410+F457+F504+F551</f>
        <v/>
      </c>
      <c r="G593" s="189">
        <f>G81+G128+G175+G222+G269+G316+G363+G410+G457+G504+G551</f>
        <v/>
      </c>
      <c r="H593" s="189">
        <f>H81+H128+H175+H222+H269+H316+H363+H410+H457+H504+H551</f>
        <v/>
      </c>
      <c r="I593" s="189">
        <f>I81+I128+I175+I222+I269+I316+I363+I410+I457+I504+I551</f>
        <v/>
      </c>
      <c r="J593" s="189">
        <f>J81+J128+J175+J222+J269+J316+J363+J410+J457+J504+J551</f>
        <v/>
      </c>
      <c r="K593" s="189">
        <f>K81+K128+K175+K222+K269+K316+K363+K410+K457+K504+K551</f>
        <v/>
      </c>
      <c r="L593" s="189">
        <f>L81+L128+L175+L222+L269+L316+L363+L410+L457+L504+L551</f>
        <v/>
      </c>
      <c r="M593" s="189">
        <f>M81+M128+M175+M222+M269+M316+M363+M410+M457+M504+M551</f>
        <v/>
      </c>
      <c r="N593" s="189">
        <f>N81+N128+N175+N222+N269+N316+N363+N410+N457+N504+N551</f>
        <v/>
      </c>
      <c r="O593" s="189">
        <f>O81+O128+O175+O222+O269+O316+O363+O410+O457+O504+O551</f>
        <v/>
      </c>
      <c r="P593" s="189">
        <f>P81+P128+P175+P222+P269+P316+P363+P410+P457+P504+P551</f>
        <v/>
      </c>
      <c r="Q593" s="189">
        <f>Q81+Q128+Q175+Q222+Q269+Q316+Q363+Q410+Q457+Q504+Q551</f>
        <v/>
      </c>
      <c r="R593" s="189">
        <f>R81+R128+R175+R222+R269+R316+R363+R410+R457+R504+R551</f>
        <v/>
      </c>
      <c r="S593" s="10">
        <f>S81+S128+S175+S222+S269+S316+S363+S410+S457+S504+S551</f>
        <v/>
      </c>
      <c r="T593" s="189">
        <f>T81+T128+T175+T222+T269+T316+T363+T410+T457+T504+T551</f>
        <v/>
      </c>
      <c r="U593" s="189">
        <f>U81+U128+U175+U222+U269+U316+U363+U410+U457+U504+U551</f>
        <v/>
      </c>
      <c r="V593" s="189">
        <f>V81+V128+V175+V222+V269+V316+V363+V410+V457+V504+V551</f>
        <v/>
      </c>
      <c r="W593" s="189">
        <f>W81+W128+W175+W222+W269+W316+W363+W410+W457+W504+W551</f>
        <v/>
      </c>
      <c r="X593" s="189">
        <f>X81+X128+X175+X222+X269+X316+X363+X410+X457+X504+X551</f>
        <v/>
      </c>
      <c r="Y593" s="189">
        <f>Y81+Y128+Y175+Y222+Y269+Y316+Y363+Y410+Y457+Y504+Y551</f>
        <v/>
      </c>
      <c r="Z593" s="189">
        <f>Z81+Z128+Z175+Z222+Z269+Z316+Z363+Z410+Z457+Z504+Z551</f>
        <v/>
      </c>
      <c r="AA593" s="189">
        <f>AA81+AA128+AA175+AA222+AA269+AA316+AA363+AA410+AA457+AA504+AA551</f>
        <v/>
      </c>
      <c r="AB593" s="189">
        <f>AB81+AB128+AB175+AB222+AB269+AB316+AB363+AB410+AB457+AB504+AB551</f>
        <v/>
      </c>
      <c r="AC593" s="189">
        <f>AC81+AC128+AC175+AC222+AC269+AC316+AC363+AC410+AC457+AC504+AC551</f>
        <v/>
      </c>
      <c r="AD593" s="189">
        <f>AD81+AD128+AD175+AD222+AD269+AD316+AD363+AD410+AD457+AD504+AD551</f>
        <v/>
      </c>
      <c r="AE593" s="189">
        <f>AE81+AE128+AE175+AE222+AE269+AE316+AE363+AE410+AE457+AE504+AE551</f>
        <v/>
      </c>
      <c r="AF593" s="189">
        <f>AF81+AF128+AF175+AF222+AF269+AF316+AF363+AF410+AF457+AF504+AF551</f>
        <v/>
      </c>
      <c r="AG593" s="189">
        <f>AG81+AG128+AG175+AG222+AG269+AG316+AG363+AG410+AG457+AG504+AG551</f>
        <v/>
      </c>
      <c r="AH593" s="189">
        <f>AH81+AH128+AH175+AH222+AH269+AH316+AH363+AH410+AH457+AH504+AH551</f>
        <v/>
      </c>
      <c r="AI593" s="189">
        <f>AI81+AI128+AI175+AI222+AI269+AI316+AI363+AI410+AI457+AI504+AI551</f>
        <v/>
      </c>
      <c r="AJ593" s="189">
        <f>AJ81+AJ128+AJ175+AJ222+AJ269+AJ316+AJ363+AJ410+AJ457+AJ504+AJ551</f>
        <v/>
      </c>
      <c r="AK593" s="189">
        <f>AK81+AK128+AK175+AK222+AK269+AK316+AK363+AK410+AK457+AK504+AK551</f>
        <v/>
      </c>
      <c r="AL593" s="189">
        <f>AL81+AL128+AL175+AL222+AL269+AL316+AL363+AL410+AL457+AL504+AL551</f>
        <v/>
      </c>
      <c r="AM593" s="51" t="inlineStr">
        <is>
          <t>U6Y</t>
        </is>
      </c>
    </row>
    <row r="594">
      <c r="B594" s="118" t="inlineStr">
        <is>
          <t>Kviga =</t>
        </is>
      </c>
      <c r="C594" s="189">
        <f>C82+C129+C176+C223+C270+C317+C364+C411+C458+C505+C552</f>
        <v/>
      </c>
      <c r="D594" s="189">
        <f>D82+D129+D176+D223+D270+D317+D364+D411+D458+D505+D552</f>
        <v/>
      </c>
      <c r="E594" s="189">
        <f>E82+E129+E176+E223+E270+E317+E364+E411+E458+E505+E552</f>
        <v/>
      </c>
      <c r="F594" s="189">
        <f>F82+F129+F176+F223+F270+F317+F364+F411+F458+F505+F552</f>
        <v/>
      </c>
      <c r="G594" s="189">
        <f>G82+G129+G176+G223+G270+G317+G364+G411+G458+G505+G552</f>
        <v/>
      </c>
      <c r="H594" s="189">
        <f>H82+H129+H176+H223+H270+H317+H364+H411+H458+H505+H552</f>
        <v/>
      </c>
      <c r="I594" s="189">
        <f>I82+I129+I176+I223+I270+I317+I364+I411+I458+I505+I552</f>
        <v/>
      </c>
      <c r="J594" s="189">
        <f>J82+J129+J176+J223+J270+J317+J364+J411+J458+J505+J552</f>
        <v/>
      </c>
      <c r="K594" s="189">
        <f>K82+K129+K176+K223+K270+K317+K364+K411+K458+K505+K552</f>
        <v/>
      </c>
      <c r="L594" s="189">
        <f>L82+L129+L176+L223+L270+L317+L364+L411+L458+L505+L552</f>
        <v/>
      </c>
      <c r="M594" s="189">
        <f>M82+M129+M176+M223+M270+M317+M364+M411+M458+M505+M552</f>
        <v/>
      </c>
      <c r="N594" s="189">
        <f>N82+N129+N176+N223+N270+N317+N364+N411+N458+N505+N552</f>
        <v/>
      </c>
      <c r="O594" s="189">
        <f>O82+O129+O176+O223+O270+O317+O364+O411+O458+O505+O552</f>
        <v/>
      </c>
      <c r="P594" s="189">
        <f>P82+P129+P176+P223+P270+P317+P364+P411+P458+P505+P552</f>
        <v/>
      </c>
      <c r="Q594" s="189">
        <f>Q82+Q129+Q176+Q223+Q270+Q317+Q364+Q411+Q458+Q505+Q552</f>
        <v/>
      </c>
      <c r="R594" s="189">
        <f>R82+R129+R176+R223+R270+R317+R364+R411+R458+R505+R552</f>
        <v/>
      </c>
      <c r="S594" s="189">
        <f>S82+S129+S176+S223+S270+S317+S364+S411+S458+S505+S552</f>
        <v/>
      </c>
      <c r="T594" s="10">
        <f>T82+T129+T176+T223+T270+T317+T364+T411+T458+T505+T552</f>
        <v/>
      </c>
      <c r="U594" s="189">
        <f>U82+U129+U176+U223+U270+U317+U364+U411+U458+U505+U552</f>
        <v/>
      </c>
      <c r="V594" s="189">
        <f>V82+V129+V176+V223+V270+V317+V364+V411+V458+V505+V552</f>
        <v/>
      </c>
      <c r="W594" s="189">
        <f>W82+W129+W176+W223+W270+W317+W364+W411+W458+W505+W552</f>
        <v/>
      </c>
      <c r="X594" s="189">
        <f>X82+X129+X176+X223+X270+X317+X364+X411+X458+X505+X552</f>
        <v/>
      </c>
      <c r="Y594" s="189">
        <f>Y82+Y129+Y176+Y223+Y270+Y317+Y364+Y411+Y458+Y505+Y552</f>
        <v/>
      </c>
      <c r="Z594" s="189">
        <f>Z82+Z129+Z176+Z223+Z270+Z317+Z364+Z411+Z458+Z505+Z552</f>
        <v/>
      </c>
      <c r="AA594" s="189">
        <f>AA82+AA129+AA176+AA223+AA270+AA317+AA364+AA411+AA458+AA505+AA552</f>
        <v/>
      </c>
      <c r="AB594" s="189">
        <f>AB82+AB129+AB176+AB223+AB270+AB317+AB364+AB411+AB458+AB505+AB552</f>
        <v/>
      </c>
      <c r="AC594" s="189">
        <f>AC82+AC129+AC176+AC223+AC270+AC317+AC364+AC411+AC458+AC505+AC552</f>
        <v/>
      </c>
      <c r="AD594" s="189">
        <f>AD82+AD129+AD176+AD223+AD270+AD317+AD364+AD411+AD458+AD505+AD552</f>
        <v/>
      </c>
      <c r="AE594" s="189">
        <f>AE82+AE129+AE176+AE223+AE270+AE317+AE364+AE411+AE458+AE505+AE552</f>
        <v/>
      </c>
      <c r="AF594" s="189">
        <f>AF82+AF129+AF176+AF223+AF270+AF317+AF364+AF411+AF458+AF505+AF552</f>
        <v/>
      </c>
      <c r="AG594" s="189">
        <f>AG82+AG129+AG176+AG223+AG270+AG317+AG364+AG411+AG458+AG505+AG552</f>
        <v/>
      </c>
      <c r="AH594" s="189">
        <f>AH82+AH129+AH176+AH223+AH270+AH317+AH364+AH411+AH458+AH505+AH552</f>
        <v/>
      </c>
      <c r="AI594" s="189">
        <f>AI82+AI129+AI176+AI223+AI270+AI317+AI364+AI411+AI458+AI505+AI552</f>
        <v/>
      </c>
      <c r="AJ594" s="189">
        <f>AJ82+AJ129+AJ176+AJ223+AJ270+AJ317+AJ364+AJ411+AJ458+AJ505+AJ552</f>
        <v/>
      </c>
      <c r="AK594" s="189">
        <f>AK82+AK129+AK176+AK223+AK270+AK317+AK364+AK411+AK458+AK505+AK552</f>
        <v/>
      </c>
      <c r="AL594" s="189">
        <f>AL82+AL129+AL176+AL223+AL270+AL317+AL364+AL411+AL458+AL505+AL552</f>
        <v/>
      </c>
      <c r="AM594" s="51" t="inlineStr">
        <is>
          <t>U6θ</t>
        </is>
      </c>
    </row>
    <row r="595">
      <c r="C595" s="189">
        <f>C83+C130+C177+C224+C271+C318+C365+C412+C459+C506+C553</f>
        <v/>
      </c>
      <c r="D595" s="189">
        <f>D83+D130+D177+D224+D271+D318+D365+D412+D459+D506+D553</f>
        <v/>
      </c>
      <c r="E595" s="189">
        <f>E83+E130+E177+E224+E271+E318+E365+E412+E459+E506+E553</f>
        <v/>
      </c>
      <c r="F595" s="189">
        <f>F83+F130+F177+F224+F271+F318+F365+F412+F459+F506+F553</f>
        <v/>
      </c>
      <c r="G595" s="189">
        <f>G83+G130+G177+G224+G271+G318+G365+G412+G459+G506+G553</f>
        <v/>
      </c>
      <c r="H595" s="189">
        <f>H83+H130+H177+H224+H271+H318+H365+H412+H459+H506+H553</f>
        <v/>
      </c>
      <c r="I595" s="189">
        <f>I83+I130+I177+I224+I271+I318+I365+I412+I459+I506+I553</f>
        <v/>
      </c>
      <c r="J595" s="189">
        <f>J83+J130+J177+J224+J271+J318+J365+J412+J459+J506+J553</f>
        <v/>
      </c>
      <c r="K595" s="189">
        <f>K83+K130+K177+K224+K271+K318+K365+K412+K459+K506+K553</f>
        <v/>
      </c>
      <c r="L595" s="189">
        <f>L83+L130+L177+L224+L271+L318+L365+L412+L459+L506+L553</f>
        <v/>
      </c>
      <c r="M595" s="189">
        <f>M83+M130+M177+M224+M271+M318+M365+M412+M459+M506+M553</f>
        <v/>
      </c>
      <c r="N595" s="189">
        <f>N83+N130+N177+N224+N271+N318+N365+N412+N459+N506+N553</f>
        <v/>
      </c>
      <c r="O595" s="189">
        <f>O83+O130+O177+O224+O271+O318+O365+O412+O459+O506+O553</f>
        <v/>
      </c>
      <c r="P595" s="189">
        <f>P83+P130+P177+P224+P271+P318+P365+P412+P459+P506+P553</f>
        <v/>
      </c>
      <c r="Q595" s="189">
        <f>Q83+Q130+Q177+Q224+Q271+Q318+Q365+Q412+Q459+Q506+Q553</f>
        <v/>
      </c>
      <c r="R595" s="189">
        <f>R83+R130+R177+R224+R271+R318+R365+R412+R459+R506+R553</f>
        <v/>
      </c>
      <c r="S595" s="189">
        <f>S83+S130+S177+S224+S271+S318+S365+S412+S459+S506+S553</f>
        <v/>
      </c>
      <c r="T595" s="189">
        <f>T83+T130+T177+T224+T271+T318+T365+T412+T459+T506+T553</f>
        <v/>
      </c>
      <c r="U595" s="10">
        <f>U83+U130+U177+U224+U271+U318+U365+U412+U459+U506+U553</f>
        <v/>
      </c>
      <c r="V595" s="189">
        <f>V83+V130+V177+V224+V271+V318+V365+V412+V459+V506+V553</f>
        <v/>
      </c>
      <c r="W595" s="189">
        <f>W83+W130+W177+W224+W271+W318+W365+W412+W459+W506+W553</f>
        <v/>
      </c>
      <c r="X595" s="189">
        <f>X83+X130+X177+X224+X271+X318+X365+X412+X459+X506+X553</f>
        <v/>
      </c>
      <c r="Y595" s="189">
        <f>Y83+Y130+Y177+Y224+Y271+Y318+Y365+Y412+Y459+Y506+Y553</f>
        <v/>
      </c>
      <c r="Z595" s="189">
        <f>Z83+Z130+Z177+Z224+Z271+Z318+Z365+Z412+Z459+Z506+Z553</f>
        <v/>
      </c>
      <c r="AA595" s="189">
        <f>AA83+AA130+AA177+AA224+AA271+AA318+AA365+AA412+AA459+AA506+AA553</f>
        <v/>
      </c>
      <c r="AB595" s="189">
        <f>AB83+AB130+AB177+AB224+AB271+AB318+AB365+AB412+AB459+AB506+AB553</f>
        <v/>
      </c>
      <c r="AC595" s="189">
        <f>AC83+AC130+AC177+AC224+AC271+AC318+AC365+AC412+AC459+AC506+AC553</f>
        <v/>
      </c>
      <c r="AD595" s="189">
        <f>AD83+AD130+AD177+AD224+AD271+AD318+AD365+AD412+AD459+AD506+AD553</f>
        <v/>
      </c>
      <c r="AE595" s="189">
        <f>AE83+AE130+AE177+AE224+AE271+AE318+AE365+AE412+AE459+AE506+AE553</f>
        <v/>
      </c>
      <c r="AF595" s="189">
        <f>AF83+AF130+AF177+AF224+AF271+AF318+AF365+AF412+AF459+AF506+AF553</f>
        <v/>
      </c>
      <c r="AG595" s="189">
        <f>AG83+AG130+AG177+AG224+AG271+AG318+AG365+AG412+AG459+AG506+AG553</f>
        <v/>
      </c>
      <c r="AH595" s="189">
        <f>AH83+AH130+AH177+AH224+AH271+AH318+AH365+AH412+AH459+AH506+AH553</f>
        <v/>
      </c>
      <c r="AI595" s="189">
        <f>AI83+AI130+AI177+AI224+AI271+AI318+AI365+AI412+AI459+AI506+AI553</f>
        <v/>
      </c>
      <c r="AJ595" s="189">
        <f>AJ83+AJ130+AJ177+AJ224+AJ271+AJ318+AJ365+AJ412+AJ459+AJ506+AJ553</f>
        <v/>
      </c>
      <c r="AK595" s="189">
        <f>AK83+AK130+AK177+AK224+AK271+AK318+AK365+AK412+AK459+AK506+AK553</f>
        <v/>
      </c>
      <c r="AL595" s="189">
        <f>AL83+AL130+AL177+AL224+AL271+AL318+AL365+AL412+AL459+AL506+AL553</f>
        <v/>
      </c>
      <c r="AM595" s="51" t="inlineStr">
        <is>
          <t>U7X</t>
        </is>
      </c>
    </row>
    <row r="596">
      <c r="C596" s="189">
        <f>C84+C131+C178+C225+C272+C319+C366+C413+C460+C507+C554</f>
        <v/>
      </c>
      <c r="D596" s="189">
        <f>D84+D131+D178+D225+D272+D319+D366+D413+D460+D507+D554</f>
        <v/>
      </c>
      <c r="E596" s="189">
        <f>E84+E131+E178+E225+E272+E319+E366+E413+E460+E507+E554</f>
        <v/>
      </c>
      <c r="F596" s="189">
        <f>F84+F131+F178+F225+F272+F319+F366+F413+F460+F507+F554</f>
        <v/>
      </c>
      <c r="G596" s="189">
        <f>G84+G131+G178+G225+G272+G319+G366+G413+G460+G507+G554</f>
        <v/>
      </c>
      <c r="H596" s="189">
        <f>H84+H131+H178+H225+H272+H319+H366+H413+H460+H507+H554</f>
        <v/>
      </c>
      <c r="I596" s="189">
        <f>I84+I131+I178+I225+I272+I319+I366+I413+I460+I507+I554</f>
        <v/>
      </c>
      <c r="J596" s="189">
        <f>J84+J131+J178+J225+J272+J319+J366+J413+J460+J507+J554</f>
        <v/>
      </c>
      <c r="K596" s="189">
        <f>K84+K131+K178+K225+K272+K319+K366+K413+K460+K507+K554</f>
        <v/>
      </c>
      <c r="L596" s="189">
        <f>L84+L131+L178+L225+L272+L319+L366+L413+L460+L507+L554</f>
        <v/>
      </c>
      <c r="M596" s="189">
        <f>M84+M131+M178+M225+M272+M319+M366+M413+M460+M507+M554</f>
        <v/>
      </c>
      <c r="N596" s="189">
        <f>N84+N131+N178+N225+N272+N319+N366+N413+N460+N507+N554</f>
        <v/>
      </c>
      <c r="O596" s="189">
        <f>O84+O131+O178+O225+O272+O319+O366+O413+O460+O507+O554</f>
        <v/>
      </c>
      <c r="P596" s="189">
        <f>P84+P131+P178+P225+P272+P319+P366+P413+P460+P507+P554</f>
        <v/>
      </c>
      <c r="Q596" s="189">
        <f>Q84+Q131+Q178+Q225+Q272+Q319+Q366+Q413+Q460+Q507+Q554</f>
        <v/>
      </c>
      <c r="R596" s="189">
        <f>R84+R131+R178+R225+R272+R319+R366+R413+R460+R507+R554</f>
        <v/>
      </c>
      <c r="S596" s="189">
        <f>S84+S131+S178+S225+S272+S319+S366+S413+S460+S507+S554</f>
        <v/>
      </c>
      <c r="T596" s="189">
        <f>T84+T131+T178+T225+T272+T319+T366+T413+T460+T507+T554</f>
        <v/>
      </c>
      <c r="U596" s="189">
        <f>U84+U131+U178+U225+U272+U319+U366+U413+U460+U507+U554</f>
        <v/>
      </c>
      <c r="V596" s="10">
        <f>V84+V131+V178+V225+V272+V319+V366+V413+V460+V507+V554</f>
        <v/>
      </c>
      <c r="W596" s="189">
        <f>W84+W131+W178+W225+W272+W319+W366+W413+W460+W507+W554</f>
        <v/>
      </c>
      <c r="X596" s="189">
        <f>X84+X131+X178+X225+X272+X319+X366+X413+X460+X507+X554</f>
        <v/>
      </c>
      <c r="Y596" s="189">
        <f>Y84+Y131+Y178+Y225+Y272+Y319+Y366+Y413+Y460+Y507+Y554</f>
        <v/>
      </c>
      <c r="Z596" s="189">
        <f>Z84+Z131+Z178+Z225+Z272+Z319+Z366+Z413+Z460+Z507+Z554</f>
        <v/>
      </c>
      <c r="AA596" s="189">
        <f>AA84+AA131+AA178+AA225+AA272+AA319+AA366+AA413+AA460+AA507+AA554</f>
        <v/>
      </c>
      <c r="AB596" s="189">
        <f>AB84+AB131+AB178+AB225+AB272+AB319+AB366+AB413+AB460+AB507+AB554</f>
        <v/>
      </c>
      <c r="AC596" s="189">
        <f>AC84+AC131+AC178+AC225+AC272+AC319+AC366+AC413+AC460+AC507+AC554</f>
        <v/>
      </c>
      <c r="AD596" s="189">
        <f>AD84+AD131+AD178+AD225+AD272+AD319+AD366+AD413+AD460+AD507+AD554</f>
        <v/>
      </c>
      <c r="AE596" s="189">
        <f>AE84+AE131+AE178+AE225+AE272+AE319+AE366+AE413+AE460+AE507+AE554</f>
        <v/>
      </c>
      <c r="AF596" s="189">
        <f>AF84+AF131+AF178+AF225+AF272+AF319+AF366+AF413+AF460+AF507+AF554</f>
        <v/>
      </c>
      <c r="AG596" s="189">
        <f>AG84+AG131+AG178+AG225+AG272+AG319+AG366+AG413+AG460+AG507+AG554</f>
        <v/>
      </c>
      <c r="AH596" s="189">
        <f>AH84+AH131+AH178+AH225+AH272+AH319+AH366+AH413+AH460+AH507+AH554</f>
        <v/>
      </c>
      <c r="AI596" s="189">
        <f>AI84+AI131+AI178+AI225+AI272+AI319+AI366+AI413+AI460+AI507+AI554</f>
        <v/>
      </c>
      <c r="AJ596" s="189">
        <f>AJ84+AJ131+AJ178+AJ225+AJ272+AJ319+AJ366+AJ413+AJ460+AJ507+AJ554</f>
        <v/>
      </c>
      <c r="AK596" s="189">
        <f>AK84+AK131+AK178+AK225+AK272+AK319+AK366+AK413+AK460+AK507+AK554</f>
        <v/>
      </c>
      <c r="AL596" s="189">
        <f>AL84+AL131+AL178+AL225+AL272+AL319+AL366+AL413+AL460+AL507+AL554</f>
        <v/>
      </c>
      <c r="AM596" s="51" t="inlineStr">
        <is>
          <t>U7Y</t>
        </is>
      </c>
    </row>
    <row r="597">
      <c r="C597" s="189">
        <f>C85+C132+C179+C226+C273+C320+C367+C414+C461+C508+C555</f>
        <v/>
      </c>
      <c r="D597" s="189">
        <f>D85+D132+D179+D226+D273+D320+D367+D414+D461+D508+D555</f>
        <v/>
      </c>
      <c r="E597" s="189">
        <f>E85+E132+E179+E226+E273+E320+E367+E414+E461+E508+E555</f>
        <v/>
      </c>
      <c r="F597" s="189">
        <f>F85+F132+F179+F226+F273+F320+F367+F414+F461+F508+F555</f>
        <v/>
      </c>
      <c r="G597" s="189">
        <f>G85+G132+G179+G226+G273+G320+G367+G414+G461+G508+G555</f>
        <v/>
      </c>
      <c r="H597" s="189">
        <f>H85+H132+H179+H226+H273+H320+H367+H414+H461+H508+H555</f>
        <v/>
      </c>
      <c r="I597" s="189">
        <f>I85+I132+I179+I226+I273+I320+I367+I414+I461+I508+I555</f>
        <v/>
      </c>
      <c r="J597" s="189">
        <f>J85+J132+J179+J226+J273+J320+J367+J414+J461+J508+J555</f>
        <v/>
      </c>
      <c r="K597" s="189">
        <f>K85+K132+K179+K226+K273+K320+K367+K414+K461+K508+K555</f>
        <v/>
      </c>
      <c r="L597" s="189">
        <f>L85+L132+L179+L226+L273+L320+L367+L414+L461+L508+L555</f>
        <v/>
      </c>
      <c r="M597" s="189">
        <f>M85+M132+M179+M226+M273+M320+M367+M414+M461+M508+M555</f>
        <v/>
      </c>
      <c r="N597" s="189">
        <f>N85+N132+N179+N226+N273+N320+N367+N414+N461+N508+N555</f>
        <v/>
      </c>
      <c r="O597" s="189">
        <f>O85+O132+O179+O226+O273+O320+O367+O414+O461+O508+O555</f>
        <v/>
      </c>
      <c r="P597" s="189">
        <f>P85+P132+P179+P226+P273+P320+P367+P414+P461+P508+P555</f>
        <v/>
      </c>
      <c r="Q597" s="189">
        <f>Q85+Q132+Q179+Q226+Q273+Q320+Q367+Q414+Q461+Q508+Q555</f>
        <v/>
      </c>
      <c r="R597" s="189">
        <f>R85+R132+R179+R226+R273+R320+R367+R414+R461+R508+R555</f>
        <v/>
      </c>
      <c r="S597" s="189">
        <f>S85+S132+S179+S226+S273+S320+S367+S414+S461+S508+S555</f>
        <v/>
      </c>
      <c r="T597" s="189">
        <f>T85+T132+T179+T226+T273+T320+T367+T414+T461+T508+T555</f>
        <v/>
      </c>
      <c r="U597" s="189">
        <f>U85+U132+U179+U226+U273+U320+U367+U414+U461+U508+U555</f>
        <v/>
      </c>
      <c r="V597" s="189">
        <f>V85+V132+V179+V226+V273+V320+V367+V414+V461+V508+V555</f>
        <v/>
      </c>
      <c r="W597" s="10">
        <f>W85+W132+W179+W226+W273+W320+W367+W414+W461+W508+W555</f>
        <v/>
      </c>
      <c r="X597" s="189">
        <f>X85+X132+X179+X226+X273+X320+X367+X414+X461+X508+X555</f>
        <v/>
      </c>
      <c r="Y597" s="189">
        <f>Y85+Y132+Y179+Y226+Y273+Y320+Y367+Y414+Y461+Y508+Y555</f>
        <v/>
      </c>
      <c r="Z597" s="189">
        <f>Z85+Z132+Z179+Z226+Z273+Z320+Z367+Z414+Z461+Z508+Z555</f>
        <v/>
      </c>
      <c r="AA597" s="189">
        <f>AA85+AA132+AA179+AA226+AA273+AA320+AA367+AA414+AA461+AA508+AA555</f>
        <v/>
      </c>
      <c r="AB597" s="189">
        <f>AB85+AB132+AB179+AB226+AB273+AB320+AB367+AB414+AB461+AB508+AB555</f>
        <v/>
      </c>
      <c r="AC597" s="189">
        <f>AC85+AC132+AC179+AC226+AC273+AC320+AC367+AC414+AC461+AC508+AC555</f>
        <v/>
      </c>
      <c r="AD597" s="189">
        <f>AD85+AD132+AD179+AD226+AD273+AD320+AD367+AD414+AD461+AD508+AD555</f>
        <v/>
      </c>
      <c r="AE597" s="189">
        <f>AE85+AE132+AE179+AE226+AE273+AE320+AE367+AE414+AE461+AE508+AE555</f>
        <v/>
      </c>
      <c r="AF597" s="189">
        <f>AF85+AF132+AF179+AF226+AF273+AF320+AF367+AF414+AF461+AF508+AF555</f>
        <v/>
      </c>
      <c r="AG597" s="189">
        <f>AG85+AG132+AG179+AG226+AG273+AG320+AG367+AG414+AG461+AG508+AG555</f>
        <v/>
      </c>
      <c r="AH597" s="189">
        <f>AH85+AH132+AH179+AH226+AH273+AH320+AH367+AH414+AH461+AH508+AH555</f>
        <v/>
      </c>
      <c r="AI597" s="189">
        <f>AI85+AI132+AI179+AI226+AI273+AI320+AI367+AI414+AI461+AI508+AI555</f>
        <v/>
      </c>
      <c r="AJ597" s="189">
        <f>AJ85+AJ132+AJ179+AJ226+AJ273+AJ320+AJ367+AJ414+AJ461+AJ508+AJ555</f>
        <v/>
      </c>
      <c r="AK597" s="189">
        <f>AK85+AK132+AK179+AK226+AK273+AK320+AK367+AK414+AK461+AK508+AK555</f>
        <v/>
      </c>
      <c r="AL597" s="189">
        <f>AL85+AL132+AL179+AL226+AL273+AL320+AL367+AL414+AL461+AL508+AL555</f>
        <v/>
      </c>
      <c r="AM597" s="51" t="inlineStr">
        <is>
          <t>U7θ</t>
        </is>
      </c>
    </row>
    <row r="598">
      <c r="C598" s="189">
        <f>C86+C133+C180+C227+C274+C321+C368+C415+C462+C509+C556</f>
        <v/>
      </c>
      <c r="D598" s="189">
        <f>D86+D133+D180+D227+D274+D321+D368+D415+D462+D509+D556</f>
        <v/>
      </c>
      <c r="E598" s="189">
        <f>E86+E133+E180+E227+E274+E321+E368+E415+E462+E509+E556</f>
        <v/>
      </c>
      <c r="F598" s="189">
        <f>F86+F133+F180+F227+F274+F321+F368+F415+F462+F509+F556</f>
        <v/>
      </c>
      <c r="G598" s="189">
        <f>G86+G133+G180+G227+G274+G321+G368+G415+G462+G509+G556</f>
        <v/>
      </c>
      <c r="H598" s="189">
        <f>H86+H133+H180+H227+H274+H321+H368+H415+H462+H509+H556</f>
        <v/>
      </c>
      <c r="I598" s="189">
        <f>I86+I133+I180+I227+I274+I321+I368+I415+I462+I509+I556</f>
        <v/>
      </c>
      <c r="J598" s="189">
        <f>J86+J133+J180+J227+J274+J321+J368+J415+J462+J509+J556</f>
        <v/>
      </c>
      <c r="K598" s="189">
        <f>K86+K133+K180+K227+K274+K321+K368+K415+K462+K509+K556</f>
        <v/>
      </c>
      <c r="L598" s="189">
        <f>L86+L133+L180+L227+L274+L321+L368+L415+L462+L509+L556</f>
        <v/>
      </c>
      <c r="M598" s="189">
        <f>M86+M133+M180+M227+M274+M321+M368+M415+M462+M509+M556</f>
        <v/>
      </c>
      <c r="N598" s="189">
        <f>N86+N133+N180+N227+N274+N321+N368+N415+N462+N509+N556</f>
        <v/>
      </c>
      <c r="O598" s="189">
        <f>O86+O133+O180+O227+O274+O321+O368+O415+O462+O509+O556</f>
        <v/>
      </c>
      <c r="P598" s="189">
        <f>P86+P133+P180+P227+P274+P321+P368+P415+P462+P509+P556</f>
        <v/>
      </c>
      <c r="Q598" s="189">
        <f>Q86+Q133+Q180+Q227+Q274+Q321+Q368+Q415+Q462+Q509+Q556</f>
        <v/>
      </c>
      <c r="R598" s="189">
        <f>R86+R133+R180+R227+R274+R321+R368+R415+R462+R509+R556</f>
        <v/>
      </c>
      <c r="S598" s="189">
        <f>S86+S133+S180+S227+S274+S321+S368+S415+S462+S509+S556</f>
        <v/>
      </c>
      <c r="T598" s="189">
        <f>T86+T133+T180+T227+T274+T321+T368+T415+T462+T509+T556</f>
        <v/>
      </c>
      <c r="U598" s="189">
        <f>U86+U133+U180+U227+U274+U321+U368+U415+U462+U509+U556</f>
        <v/>
      </c>
      <c r="V598" s="189">
        <f>V86+V133+V180+V227+V274+V321+V368+V415+V462+V509+V556</f>
        <v/>
      </c>
      <c r="W598" s="189">
        <f>W86+W133+W180+W227+W274+W321+W368+W415+W462+W509+W556</f>
        <v/>
      </c>
      <c r="X598" s="10">
        <f>X86+X133+X180+X227+X274+X321+X368+X415+X462+X509+X556</f>
        <v/>
      </c>
      <c r="Y598" s="189">
        <f>Y86+Y133+Y180+Y227+Y274+Y321+Y368+Y415+Y462+Y509+Y556</f>
        <v/>
      </c>
      <c r="Z598" s="189">
        <f>Z86+Z133+Z180+Z227+Z274+Z321+Z368+Z415+Z462+Z509+Z556</f>
        <v/>
      </c>
      <c r="AA598" s="189">
        <f>AA86+AA133+AA180+AA227+AA274+AA321+AA368+AA415+AA462+AA509+AA556</f>
        <v/>
      </c>
      <c r="AB598" s="189">
        <f>AB86+AB133+AB180+AB227+AB274+AB321+AB368+AB415+AB462+AB509+AB556</f>
        <v/>
      </c>
      <c r="AC598" s="189">
        <f>AC86+AC133+AC180+AC227+AC274+AC321+AC368+AC415+AC462+AC509+AC556</f>
        <v/>
      </c>
      <c r="AD598" s="189">
        <f>AD86+AD133+AD180+AD227+AD274+AD321+AD368+AD415+AD462+AD509+AD556</f>
        <v/>
      </c>
      <c r="AE598" s="189">
        <f>AE86+AE133+AE180+AE227+AE274+AE321+AE368+AE415+AE462+AE509+AE556</f>
        <v/>
      </c>
      <c r="AF598" s="189">
        <f>AF86+AF133+AF180+AF227+AF274+AF321+AF368+AF415+AF462+AF509+AF556</f>
        <v/>
      </c>
      <c r="AG598" s="189">
        <f>AG86+AG133+AG180+AG227+AG274+AG321+AG368+AG415+AG462+AG509+AG556</f>
        <v/>
      </c>
      <c r="AH598" s="189">
        <f>AH86+AH133+AH180+AH227+AH274+AH321+AH368+AH415+AH462+AH509+AH556</f>
        <v/>
      </c>
      <c r="AI598" s="189">
        <f>AI86+AI133+AI180+AI227+AI274+AI321+AI368+AI415+AI462+AI509+AI556</f>
        <v/>
      </c>
      <c r="AJ598" s="189">
        <f>AJ86+AJ133+AJ180+AJ227+AJ274+AJ321+AJ368+AJ415+AJ462+AJ509+AJ556</f>
        <v/>
      </c>
      <c r="AK598" s="189">
        <f>AK86+AK133+AK180+AK227+AK274+AK321+AK368+AK415+AK462+AK509+AK556</f>
        <v/>
      </c>
      <c r="AL598" s="189">
        <f>AL86+AL133+AL180+AL227+AL274+AL321+AL368+AL415+AL462+AL509+AL556</f>
        <v/>
      </c>
      <c r="AM598" s="51" t="inlineStr">
        <is>
          <t>U8X</t>
        </is>
      </c>
    </row>
    <row r="599">
      <c r="C599" s="189">
        <f>C87+C134+C181+C228+C275+C322+C369+C416+C463+C510+C557</f>
        <v/>
      </c>
      <c r="D599" s="189">
        <f>D87+D134+D181+D228+D275+D322+D369+D416+D463+D510+D557</f>
        <v/>
      </c>
      <c r="E599" s="189">
        <f>E87+E134+E181+E228+E275+E322+E369+E416+E463+E510+E557</f>
        <v/>
      </c>
      <c r="F599" s="189">
        <f>F87+F134+F181+F228+F275+F322+F369+F416+F463+F510+F557</f>
        <v/>
      </c>
      <c r="G599" s="189">
        <f>G87+G134+G181+G228+G275+G322+G369+G416+G463+G510+G557</f>
        <v/>
      </c>
      <c r="H599" s="189">
        <f>H87+H134+H181+H228+H275+H322+H369+H416+H463+H510+H557</f>
        <v/>
      </c>
      <c r="I599" s="189">
        <f>I87+I134+I181+I228+I275+I322+I369+I416+I463+I510+I557</f>
        <v/>
      </c>
      <c r="J599" s="189">
        <f>J87+J134+J181+J228+J275+J322+J369+J416+J463+J510+J557</f>
        <v/>
      </c>
      <c r="K599" s="189">
        <f>K87+K134+K181+K228+K275+K322+K369+K416+K463+K510+K557</f>
        <v/>
      </c>
      <c r="L599" s="189">
        <f>L87+L134+L181+L228+L275+L322+L369+L416+L463+L510+L557</f>
        <v/>
      </c>
      <c r="M599" s="189">
        <f>M87+M134+M181+M228+M275+M322+M369+M416+M463+M510+M557</f>
        <v/>
      </c>
      <c r="N599" s="189">
        <f>N87+N134+N181+N228+N275+N322+N369+N416+N463+N510+N557</f>
        <v/>
      </c>
      <c r="O599" s="189">
        <f>O87+O134+O181+O228+O275+O322+O369+O416+O463+O510+O557</f>
        <v/>
      </c>
      <c r="P599" s="189">
        <f>P87+P134+P181+P228+P275+P322+P369+P416+P463+P510+P557</f>
        <v/>
      </c>
      <c r="Q599" s="189">
        <f>Q87+Q134+Q181+Q228+Q275+Q322+Q369+Q416+Q463+Q510+Q557</f>
        <v/>
      </c>
      <c r="R599" s="189">
        <f>R87+R134+R181+R228+R275+R322+R369+R416+R463+R510+R557</f>
        <v/>
      </c>
      <c r="S599" s="189">
        <f>S87+S134+S181+S228+S275+S322+S369+S416+S463+S510+S557</f>
        <v/>
      </c>
      <c r="T599" s="189">
        <f>T87+T134+T181+T228+T275+T322+T369+T416+T463+T510+T557</f>
        <v/>
      </c>
      <c r="U599" s="189">
        <f>U87+U134+U181+U228+U275+U322+U369+U416+U463+U510+U557</f>
        <v/>
      </c>
      <c r="V599" s="189">
        <f>V87+V134+V181+V228+V275+V322+V369+V416+V463+V510+V557</f>
        <v/>
      </c>
      <c r="W599" s="189">
        <f>W87+W134+W181+W228+W275+W322+W369+W416+W463+W510+W557</f>
        <v/>
      </c>
      <c r="X599" s="189">
        <f>X87+X134+X181+X228+X275+X322+X369+X416+X463+X510+X557</f>
        <v/>
      </c>
      <c r="Y599" s="10">
        <f>Y87+Y134+Y181+Y228+Y275+Y322+Y369+Y416+Y463+Y510+Y557</f>
        <v/>
      </c>
      <c r="Z599" s="189">
        <f>Z87+Z134+Z181+Z228+Z275+Z322+Z369+Z416+Z463+Z510+Z557</f>
        <v/>
      </c>
      <c r="AA599" s="189">
        <f>AA87+AA134+AA181+AA228+AA275+AA322+AA369+AA416+AA463+AA510+AA557</f>
        <v/>
      </c>
      <c r="AB599" s="189">
        <f>AB87+AB134+AB181+AB228+AB275+AB322+AB369+AB416+AB463+AB510+AB557</f>
        <v/>
      </c>
      <c r="AC599" s="189">
        <f>AC87+AC134+AC181+AC228+AC275+AC322+AC369+AC416+AC463+AC510+AC557</f>
        <v/>
      </c>
      <c r="AD599" s="189">
        <f>AD87+AD134+AD181+AD228+AD275+AD322+AD369+AD416+AD463+AD510+AD557</f>
        <v/>
      </c>
      <c r="AE599" s="189">
        <f>AE87+AE134+AE181+AE228+AE275+AE322+AE369+AE416+AE463+AE510+AE557</f>
        <v/>
      </c>
      <c r="AF599" s="189">
        <f>AF87+AF134+AF181+AF228+AF275+AF322+AF369+AF416+AF463+AF510+AF557</f>
        <v/>
      </c>
      <c r="AG599" s="189">
        <f>AG87+AG134+AG181+AG228+AG275+AG322+AG369+AG416+AG463+AG510+AG557</f>
        <v/>
      </c>
      <c r="AH599" s="189">
        <f>AH87+AH134+AH181+AH228+AH275+AH322+AH369+AH416+AH463+AH510+AH557</f>
        <v/>
      </c>
      <c r="AI599" s="189">
        <f>AI87+AI134+AI181+AI228+AI275+AI322+AI369+AI416+AI463+AI510+AI557</f>
        <v/>
      </c>
      <c r="AJ599" s="189">
        <f>AJ87+AJ134+AJ181+AJ228+AJ275+AJ322+AJ369+AJ416+AJ463+AJ510+AJ557</f>
        <v/>
      </c>
      <c r="AK599" s="189">
        <f>AK87+AK134+AK181+AK228+AK275+AK322+AK369+AK416+AK463+AK510+AK557</f>
        <v/>
      </c>
      <c r="AL599" s="189">
        <f>AL87+AL134+AL181+AL228+AL275+AL322+AL369+AL416+AL463+AL510+AL557</f>
        <v/>
      </c>
      <c r="AM599" s="51" t="inlineStr">
        <is>
          <t>U8Y</t>
        </is>
      </c>
    </row>
    <row r="600">
      <c r="C600" s="189">
        <f>C88+C135+C182+C229+C276+C323+C370+C417+C464+C511+C558</f>
        <v/>
      </c>
      <c r="D600" s="189">
        <f>D88+D135+D182+D229+D276+D323+D370+D417+D464+D511+D558</f>
        <v/>
      </c>
      <c r="E600" s="189">
        <f>E88+E135+E182+E229+E276+E323+E370+E417+E464+E511+E558</f>
        <v/>
      </c>
      <c r="F600" s="189">
        <f>F88+F135+F182+F229+F276+F323+F370+F417+F464+F511+F558</f>
        <v/>
      </c>
      <c r="G600" s="189">
        <f>G88+G135+G182+G229+G276+G323+G370+G417+G464+G511+G558</f>
        <v/>
      </c>
      <c r="H600" s="189">
        <f>H88+H135+H182+H229+H276+H323+H370+H417+H464+H511+H558</f>
        <v/>
      </c>
      <c r="I600" s="189">
        <f>I88+I135+I182+I229+I276+I323+I370+I417+I464+I511+I558</f>
        <v/>
      </c>
      <c r="J600" s="189">
        <f>J88+J135+J182+J229+J276+J323+J370+J417+J464+J511+J558</f>
        <v/>
      </c>
      <c r="K600" s="189">
        <f>K88+K135+K182+K229+K276+K323+K370+K417+K464+K511+K558</f>
        <v/>
      </c>
      <c r="L600" s="189">
        <f>L88+L135+L182+L229+L276+L323+L370+L417+L464+L511+L558</f>
        <v/>
      </c>
      <c r="M600" s="189">
        <f>M88+M135+M182+M229+M276+M323+M370+M417+M464+M511+M558</f>
        <v/>
      </c>
      <c r="N600" s="189">
        <f>N88+N135+N182+N229+N276+N323+N370+N417+N464+N511+N558</f>
        <v/>
      </c>
      <c r="O600" s="189">
        <f>O88+O135+O182+O229+O276+O323+O370+O417+O464+O511+O558</f>
        <v/>
      </c>
      <c r="P600" s="189">
        <f>P88+P135+P182+P229+P276+P323+P370+P417+P464+P511+P558</f>
        <v/>
      </c>
      <c r="Q600" s="189">
        <f>Q88+Q135+Q182+Q229+Q276+Q323+Q370+Q417+Q464+Q511+Q558</f>
        <v/>
      </c>
      <c r="R600" s="189">
        <f>R88+R135+R182+R229+R276+R323+R370+R417+R464+R511+R558</f>
        <v/>
      </c>
      <c r="S600" s="189">
        <f>S88+S135+S182+S229+S276+S323+S370+S417+S464+S511+S558</f>
        <v/>
      </c>
      <c r="T600" s="189">
        <f>T88+T135+T182+T229+T276+T323+T370+T417+T464+T511+T558</f>
        <v/>
      </c>
      <c r="U600" s="189">
        <f>U88+U135+U182+U229+U276+U323+U370+U417+U464+U511+U558</f>
        <v/>
      </c>
      <c r="V600" s="189">
        <f>V88+V135+V182+V229+V276+V323+V370+V417+V464+V511+V558</f>
        <v/>
      </c>
      <c r="W600" s="189">
        <f>W88+W135+W182+W229+W276+W323+W370+W417+W464+W511+W558</f>
        <v/>
      </c>
      <c r="X600" s="189">
        <f>X88+X135+X182+X229+X276+X323+X370+X417+X464+X511+X558</f>
        <v/>
      </c>
      <c r="Y600" s="189">
        <f>Y88+Y135+Y182+Y229+Y276+Y323+Y370+Y417+Y464+Y511+Y558</f>
        <v/>
      </c>
      <c r="Z600" s="10">
        <f>Z88+Z135+Z182+Z229+Z276+Z323+Z370+Z417+Z464+Z511+Z558</f>
        <v/>
      </c>
      <c r="AA600" s="189">
        <f>AA88+AA135+AA182+AA229+AA276+AA323+AA370+AA417+AA464+AA511+AA558</f>
        <v/>
      </c>
      <c r="AB600" s="189">
        <f>AB88+AB135+AB182+AB229+AB276+AB323+AB370+AB417+AB464+AB511+AB558</f>
        <v/>
      </c>
      <c r="AC600" s="189">
        <f>AC88+AC135+AC182+AC229+AC276+AC323+AC370+AC417+AC464+AC511+AC558</f>
        <v/>
      </c>
      <c r="AD600" s="189">
        <f>AD88+AD135+AD182+AD229+AD276+AD323+AD370+AD417+AD464+AD511+AD558</f>
        <v/>
      </c>
      <c r="AE600" s="189">
        <f>AE88+AE135+AE182+AE229+AE276+AE323+AE370+AE417+AE464+AE511+AE558</f>
        <v/>
      </c>
      <c r="AF600" s="189">
        <f>AF88+AF135+AF182+AF229+AF276+AF323+AF370+AF417+AF464+AF511+AF558</f>
        <v/>
      </c>
      <c r="AG600" s="189">
        <f>AG88+AG135+AG182+AG229+AG276+AG323+AG370+AG417+AG464+AG511+AG558</f>
        <v/>
      </c>
      <c r="AH600" s="189">
        <f>AH88+AH135+AH182+AH229+AH276+AH323+AH370+AH417+AH464+AH511+AH558</f>
        <v/>
      </c>
      <c r="AI600" s="189">
        <f>AI88+AI135+AI182+AI229+AI276+AI323+AI370+AI417+AI464+AI511+AI558</f>
        <v/>
      </c>
      <c r="AJ600" s="189">
        <f>AJ88+AJ135+AJ182+AJ229+AJ276+AJ323+AJ370+AJ417+AJ464+AJ511+AJ558</f>
        <v/>
      </c>
      <c r="AK600" s="189">
        <f>AK88+AK135+AK182+AK229+AK276+AK323+AK370+AK417+AK464+AK511+AK558</f>
        <v/>
      </c>
      <c r="AL600" s="189">
        <f>AL88+AL135+AL182+AL229+AL276+AL323+AL370+AL417+AL464+AL511+AL558</f>
        <v/>
      </c>
      <c r="AM600" s="51" t="inlineStr">
        <is>
          <t>U8θ</t>
        </is>
      </c>
    </row>
    <row r="601">
      <c r="C601" s="189">
        <f>C89+C136+C183+C230+C277+C324+C371+C418+C465+C512+C559</f>
        <v/>
      </c>
      <c r="D601" s="189">
        <f>D89+D136+D183+D230+D277+D324+D371+D418+D465+D512+D559</f>
        <v/>
      </c>
      <c r="E601" s="189">
        <f>E89+E136+E183+E230+E277+E324+E371+E418+E465+E512+E559</f>
        <v/>
      </c>
      <c r="F601" s="189">
        <f>F89+F136+F183+F230+F277+F324+F371+F418+F465+F512+F559</f>
        <v/>
      </c>
      <c r="G601" s="189">
        <f>G89+G136+G183+G230+G277+G324+G371+G418+G465+G512+G559</f>
        <v/>
      </c>
      <c r="H601" s="189">
        <f>H89+H136+H183+H230+H277+H324+H371+H418+H465+H512+H559</f>
        <v/>
      </c>
      <c r="I601" s="189">
        <f>I89+I136+I183+I230+I277+I324+I371+I418+I465+I512+I559</f>
        <v/>
      </c>
      <c r="J601" s="189">
        <f>J89+J136+J183+J230+J277+J324+J371+J418+J465+J512+J559</f>
        <v/>
      </c>
      <c r="K601" s="189">
        <f>K89+K136+K183+K230+K277+K324+K371+K418+K465+K512+K559</f>
        <v/>
      </c>
      <c r="L601" s="189">
        <f>L89+L136+L183+L230+L277+L324+L371+L418+L465+L512+L559</f>
        <v/>
      </c>
      <c r="M601" s="189">
        <f>M89+M136+M183+M230+M277+M324+M371+M418+M465+M512+M559</f>
        <v/>
      </c>
      <c r="N601" s="189">
        <f>N89+N136+N183+N230+N277+N324+N371+N418+N465+N512+N559</f>
        <v/>
      </c>
      <c r="O601" s="189">
        <f>O89+O136+O183+O230+O277+O324+O371+O418+O465+O512+O559</f>
        <v/>
      </c>
      <c r="P601" s="189">
        <f>P89+P136+P183+P230+P277+P324+P371+P418+P465+P512+P559</f>
        <v/>
      </c>
      <c r="Q601" s="189">
        <f>Q89+Q136+Q183+Q230+Q277+Q324+Q371+Q418+Q465+Q512+Q559</f>
        <v/>
      </c>
      <c r="R601" s="189">
        <f>R89+R136+R183+R230+R277+R324+R371+R418+R465+R512+R559</f>
        <v/>
      </c>
      <c r="S601" s="189">
        <f>S89+S136+S183+S230+S277+S324+S371+S418+S465+S512+S559</f>
        <v/>
      </c>
      <c r="T601" s="189">
        <f>T89+T136+T183+T230+T277+T324+T371+T418+T465+T512+T559</f>
        <v/>
      </c>
      <c r="U601" s="189">
        <f>U89+U136+U183+U230+U277+U324+U371+U418+U465+U512+U559</f>
        <v/>
      </c>
      <c r="V601" s="189">
        <f>V89+V136+V183+V230+V277+V324+V371+V418+V465+V512+V559</f>
        <v/>
      </c>
      <c r="W601" s="189">
        <f>W89+W136+W183+W230+W277+W324+W371+W418+W465+W512+W559</f>
        <v/>
      </c>
      <c r="X601" s="189">
        <f>X89+X136+X183+X230+X277+X324+X371+X418+X465+X512+X559</f>
        <v/>
      </c>
      <c r="Y601" s="189">
        <f>Y89+Y136+Y183+Y230+Y277+Y324+Y371+Y418+Y465+Y512+Y559</f>
        <v/>
      </c>
      <c r="Z601" s="189">
        <f>Z89+Z136+Z183+Z230+Z277+Z324+Z371+Z418+Z465+Z512+Z559</f>
        <v/>
      </c>
      <c r="AA601" s="10">
        <f>AA89+AA136+AA183+AA230+AA277+AA324+AA371+AA418+AA465+AA512+AA559</f>
        <v/>
      </c>
      <c r="AB601" s="189">
        <f>AB89+AB136+AB183+AB230+AB277+AB324+AB371+AB418+AB465+AB512+AB559</f>
        <v/>
      </c>
      <c r="AC601" s="189">
        <f>AC89+AC136+AC183+AC230+AC277+AC324+AC371+AC418+AC465+AC512+AC559</f>
        <v/>
      </c>
      <c r="AD601" s="189">
        <f>AD89+AD136+AD183+AD230+AD277+AD324+AD371+AD418+AD465+AD512+AD559</f>
        <v/>
      </c>
      <c r="AE601" s="189">
        <f>AE89+AE136+AE183+AE230+AE277+AE324+AE371+AE418+AE465+AE512+AE559</f>
        <v/>
      </c>
      <c r="AF601" s="189">
        <f>AF89+AF136+AF183+AF230+AF277+AF324+AF371+AF418+AF465+AF512+AF559</f>
        <v/>
      </c>
      <c r="AG601" s="189">
        <f>AG89+AG136+AG183+AG230+AG277+AG324+AG371+AG418+AG465+AG512+AG559</f>
        <v/>
      </c>
      <c r="AH601" s="189">
        <f>AH89+AH136+AH183+AH230+AH277+AH324+AH371+AH418+AH465+AH512+AH559</f>
        <v/>
      </c>
      <c r="AI601" s="189">
        <f>AI89+AI136+AI183+AI230+AI277+AI324+AI371+AI418+AI465+AI512+AI559</f>
        <v/>
      </c>
      <c r="AJ601" s="189">
        <f>AJ89+AJ136+AJ183+AJ230+AJ277+AJ324+AJ371+AJ418+AJ465+AJ512+AJ559</f>
        <v/>
      </c>
      <c r="AK601" s="189">
        <f>AK89+AK136+AK183+AK230+AK277+AK324+AK371+AK418+AK465+AK512+AK559</f>
        <v/>
      </c>
      <c r="AL601" s="189">
        <f>AL89+AL136+AL183+AL230+AL277+AL324+AL371+AL418+AL465+AL512+AL559</f>
        <v/>
      </c>
      <c r="AM601" s="51" t="inlineStr">
        <is>
          <t>U9X</t>
        </is>
      </c>
    </row>
    <row r="602">
      <c r="C602" s="189">
        <f>C90+C137+C184+C231+C278+C325+C372+C419+C466+C513+C560</f>
        <v/>
      </c>
      <c r="D602" s="189">
        <f>D90+D137+D184+D231+D278+D325+D372+D419+D466+D513+D560</f>
        <v/>
      </c>
      <c r="E602" s="189">
        <f>E90+E137+E184+E231+E278+E325+E372+E419+E466+E513+E560</f>
        <v/>
      </c>
      <c r="F602" s="189">
        <f>F90+F137+F184+F231+F278+F325+F372+F419+F466+F513+F560</f>
        <v/>
      </c>
      <c r="G602" s="189">
        <f>G90+G137+G184+G231+G278+G325+G372+G419+G466+G513+G560</f>
        <v/>
      </c>
      <c r="H602" s="189">
        <f>H90+H137+H184+H231+H278+H325+H372+H419+H466+H513+H560</f>
        <v/>
      </c>
      <c r="I602" s="189">
        <f>I90+I137+I184+I231+I278+I325+I372+I419+I466+I513+I560</f>
        <v/>
      </c>
      <c r="J602" s="189">
        <f>J90+J137+J184+J231+J278+J325+J372+J419+J466+J513+J560</f>
        <v/>
      </c>
      <c r="K602" s="189">
        <f>K90+K137+K184+K231+K278+K325+K372+K419+K466+K513+K560</f>
        <v/>
      </c>
      <c r="L602" s="189">
        <f>L90+L137+L184+L231+L278+L325+L372+L419+L466+L513+L560</f>
        <v/>
      </c>
      <c r="M602" s="189">
        <f>M90+M137+M184+M231+M278+M325+M372+M419+M466+M513+M560</f>
        <v/>
      </c>
      <c r="N602" s="189">
        <f>N90+N137+N184+N231+N278+N325+N372+N419+N466+N513+N560</f>
        <v/>
      </c>
      <c r="O602" s="189">
        <f>O90+O137+O184+O231+O278+O325+O372+O419+O466+O513+O560</f>
        <v/>
      </c>
      <c r="P602" s="189">
        <f>P90+P137+P184+P231+P278+P325+P372+P419+P466+P513+P560</f>
        <v/>
      </c>
      <c r="Q602" s="189">
        <f>Q90+Q137+Q184+Q231+Q278+Q325+Q372+Q419+Q466+Q513+Q560</f>
        <v/>
      </c>
      <c r="R602" s="189">
        <f>R90+R137+R184+R231+R278+R325+R372+R419+R466+R513+R560</f>
        <v/>
      </c>
      <c r="S602" s="189">
        <f>S90+S137+S184+S231+S278+S325+S372+S419+S466+S513+S560</f>
        <v/>
      </c>
      <c r="T602" s="189">
        <f>T90+T137+T184+T231+T278+T325+T372+T419+T466+T513+T560</f>
        <v/>
      </c>
      <c r="U602" s="189">
        <f>U90+U137+U184+U231+U278+U325+U372+U419+U466+U513+U560</f>
        <v/>
      </c>
      <c r="V602" s="189">
        <f>V90+V137+V184+V231+V278+V325+V372+V419+V466+V513+V560</f>
        <v/>
      </c>
      <c r="W602" s="189">
        <f>W90+W137+W184+W231+W278+W325+W372+W419+W466+W513+W560</f>
        <v/>
      </c>
      <c r="X602" s="189">
        <f>X90+X137+X184+X231+X278+X325+X372+X419+X466+X513+X560</f>
        <v/>
      </c>
      <c r="Y602" s="189">
        <f>Y90+Y137+Y184+Y231+Y278+Y325+Y372+Y419+Y466+Y513+Y560</f>
        <v/>
      </c>
      <c r="Z602" s="189">
        <f>Z90+Z137+Z184+Z231+Z278+Z325+Z372+Z419+Z466+Z513+Z560</f>
        <v/>
      </c>
      <c r="AA602" s="189">
        <f>AA90+AA137+AA184+AA231+AA278+AA325+AA372+AA419+AA466+AA513+AA560</f>
        <v/>
      </c>
      <c r="AB602" s="10">
        <f>AB90+AB137+AB184+AB231+AB278+AB325+AB372+AB419+AB466+AB513+AB560</f>
        <v/>
      </c>
      <c r="AC602" s="189">
        <f>AC90+AC137+AC184+AC231+AC278+AC325+AC372+AC419+AC466+AC513+AC560</f>
        <v/>
      </c>
      <c r="AD602" s="189">
        <f>AD90+AD137+AD184+AD231+AD278+AD325+AD372+AD419+AD466+AD513+AD560</f>
        <v/>
      </c>
      <c r="AE602" s="189">
        <f>AE90+AE137+AE184+AE231+AE278+AE325+AE372+AE419+AE466+AE513+AE560</f>
        <v/>
      </c>
      <c r="AF602" s="189">
        <f>AF90+AF137+AF184+AF231+AF278+AF325+AF372+AF419+AF466+AF513+AF560</f>
        <v/>
      </c>
      <c r="AG602" s="189">
        <f>AG90+AG137+AG184+AG231+AG278+AG325+AG372+AG419+AG466+AG513+AG560</f>
        <v/>
      </c>
      <c r="AH602" s="189">
        <f>AH90+AH137+AH184+AH231+AH278+AH325+AH372+AH419+AH466+AH513+AH560</f>
        <v/>
      </c>
      <c r="AI602" s="189">
        <f>AI90+AI137+AI184+AI231+AI278+AI325+AI372+AI419+AI466+AI513+AI560</f>
        <v/>
      </c>
      <c r="AJ602" s="189">
        <f>AJ90+AJ137+AJ184+AJ231+AJ278+AJ325+AJ372+AJ419+AJ466+AJ513+AJ560</f>
        <v/>
      </c>
      <c r="AK602" s="189">
        <f>AK90+AK137+AK184+AK231+AK278+AK325+AK372+AK419+AK466+AK513+AK560</f>
        <v/>
      </c>
      <c r="AL602" s="189">
        <f>AL90+AL137+AL184+AL231+AL278+AL325+AL372+AL419+AL466+AL513+AL560</f>
        <v/>
      </c>
      <c r="AM602" s="51" t="inlineStr">
        <is>
          <t>U9Y</t>
        </is>
      </c>
    </row>
    <row r="603">
      <c r="C603" s="189">
        <f>C91+C138+C185+C232+C279+C326+C373+C420+C467+C514+C561</f>
        <v/>
      </c>
      <c r="D603" s="189">
        <f>D91+D138+D185+D232+D279+D326+D373+D420+D467+D514+D561</f>
        <v/>
      </c>
      <c r="E603" s="189">
        <f>E91+E138+E185+E232+E279+E326+E373+E420+E467+E514+E561</f>
        <v/>
      </c>
      <c r="F603" s="189">
        <f>F91+F138+F185+F232+F279+F326+F373+F420+F467+F514+F561</f>
        <v/>
      </c>
      <c r="G603" s="189">
        <f>G91+G138+G185+G232+G279+G326+G373+G420+G467+G514+G561</f>
        <v/>
      </c>
      <c r="H603" s="189">
        <f>H91+H138+H185+H232+H279+H326+H373+H420+H467+H514+H561</f>
        <v/>
      </c>
      <c r="I603" s="189">
        <f>I91+I138+I185+I232+I279+I326+I373+I420+I467+I514+I561</f>
        <v/>
      </c>
      <c r="J603" s="189">
        <f>J91+J138+J185+J232+J279+J326+J373+J420+J467+J514+J561</f>
        <v/>
      </c>
      <c r="K603" s="189">
        <f>K91+K138+K185+K232+K279+K326+K373+K420+K467+K514+K561</f>
        <v/>
      </c>
      <c r="L603" s="189">
        <f>L91+L138+L185+L232+L279+L326+L373+L420+L467+L514+L561</f>
        <v/>
      </c>
      <c r="M603" s="189">
        <f>M91+M138+M185+M232+M279+M326+M373+M420+M467+M514+M561</f>
        <v/>
      </c>
      <c r="N603" s="189">
        <f>N91+N138+N185+N232+N279+N326+N373+N420+N467+N514+N561</f>
        <v/>
      </c>
      <c r="O603" s="189">
        <f>O91+O138+O185+O232+O279+O326+O373+O420+O467+O514+O561</f>
        <v/>
      </c>
      <c r="P603" s="189">
        <f>P91+P138+P185+P232+P279+P326+P373+P420+P467+P514+P561</f>
        <v/>
      </c>
      <c r="Q603" s="189">
        <f>Q91+Q138+Q185+Q232+Q279+Q326+Q373+Q420+Q467+Q514+Q561</f>
        <v/>
      </c>
      <c r="R603" s="189">
        <f>R91+R138+R185+R232+R279+R326+R373+R420+R467+R514+R561</f>
        <v/>
      </c>
      <c r="S603" s="189">
        <f>S91+S138+S185+S232+S279+S326+S373+S420+S467+S514+S561</f>
        <v/>
      </c>
      <c r="T603" s="189">
        <f>T91+T138+T185+T232+T279+T326+T373+T420+T467+T514+T561</f>
        <v/>
      </c>
      <c r="U603" s="189">
        <f>U91+U138+U185+U232+U279+U326+U373+U420+U467+U514+U561</f>
        <v/>
      </c>
      <c r="V603" s="189">
        <f>V91+V138+V185+V232+V279+V326+V373+V420+V467+V514+V561</f>
        <v/>
      </c>
      <c r="W603" s="189">
        <f>W91+W138+W185+W232+W279+W326+W373+W420+W467+W514+W561</f>
        <v/>
      </c>
      <c r="X603" s="189">
        <f>X91+X138+X185+X232+X279+X326+X373+X420+X467+X514+X561</f>
        <v/>
      </c>
      <c r="Y603" s="189">
        <f>Y91+Y138+Y185+Y232+Y279+Y326+Y373+Y420+Y467+Y514+Y561</f>
        <v/>
      </c>
      <c r="Z603" s="189">
        <f>Z91+Z138+Z185+Z232+Z279+Z326+Z373+Z420+Z467+Z514+Z561</f>
        <v/>
      </c>
      <c r="AA603" s="189">
        <f>AA91+AA138+AA185+AA232+AA279+AA326+AA373+AA420+AA467+AA514+AA561</f>
        <v/>
      </c>
      <c r="AB603" s="189">
        <f>AB91+AB138+AB185+AB232+AB279+AB326+AB373+AB420+AB467+AB514+AB561</f>
        <v/>
      </c>
      <c r="AC603" s="10">
        <f>AC91+AC138+AC185+AC232+AC279+AC326+AC373+AC420+AC467+AC514+AC561</f>
        <v/>
      </c>
      <c r="AD603" s="189">
        <f>AD91+AD138+AD185+AD232+AD279+AD326+AD373+AD420+AD467+AD514+AD561</f>
        <v/>
      </c>
      <c r="AE603" s="189">
        <f>AE91+AE138+AE185+AE232+AE279+AE326+AE373+AE420+AE467+AE514+AE561</f>
        <v/>
      </c>
      <c r="AF603" s="189">
        <f>AF91+AF138+AF185+AF232+AF279+AF326+AF373+AF420+AF467+AF514+AF561</f>
        <v/>
      </c>
      <c r="AG603" s="189">
        <f>AG91+AG138+AG185+AG232+AG279+AG326+AG373+AG420+AG467+AG514+AG561</f>
        <v/>
      </c>
      <c r="AH603" s="189">
        <f>AH91+AH138+AH185+AH232+AH279+AH326+AH373+AH420+AH467+AH514+AH561</f>
        <v/>
      </c>
      <c r="AI603" s="189">
        <f>AI91+AI138+AI185+AI232+AI279+AI326+AI373+AI420+AI467+AI514+AI561</f>
        <v/>
      </c>
      <c r="AJ603" s="189">
        <f>AJ91+AJ138+AJ185+AJ232+AJ279+AJ326+AJ373+AJ420+AJ467+AJ514+AJ561</f>
        <v/>
      </c>
      <c r="AK603" s="189">
        <f>AK91+AK138+AK185+AK232+AK279+AK326+AK373+AK420+AK467+AK514+AK561</f>
        <v/>
      </c>
      <c r="AL603" s="189">
        <f>AL91+AL138+AL185+AL232+AL279+AL326+AL373+AL420+AL467+AL514+AL561</f>
        <v/>
      </c>
      <c r="AM603" s="51" t="inlineStr">
        <is>
          <t>U9θ</t>
        </is>
      </c>
    </row>
    <row r="604">
      <c r="C604" s="189">
        <f>C92+C139+C186+C233+C280+C327+C374+C421+C468+C515+C562</f>
        <v/>
      </c>
      <c r="D604" s="189">
        <f>D92+D139+D186+D233+D280+D327+D374+D421+D468+D515+D562</f>
        <v/>
      </c>
      <c r="E604" s="189">
        <f>E92+E139+E186+E233+E280+E327+E374+E421+E468+E515+E562</f>
        <v/>
      </c>
      <c r="F604" s="189">
        <f>F92+F139+F186+F233+F280+F327+F374+F421+F468+F515+F562</f>
        <v/>
      </c>
      <c r="G604" s="189">
        <f>G92+G139+G186+G233+G280+G327+G374+G421+G468+G515+G562</f>
        <v/>
      </c>
      <c r="H604" s="189">
        <f>H92+H139+H186+H233+H280+H327+H374+H421+H468+H515+H562</f>
        <v/>
      </c>
      <c r="I604" s="189">
        <f>I92+I139+I186+I233+I280+I327+I374+I421+I468+I515+I562</f>
        <v/>
      </c>
      <c r="J604" s="189">
        <f>J92+J139+J186+J233+J280+J327+J374+J421+J468+J515+J562</f>
        <v/>
      </c>
      <c r="K604" s="189">
        <f>K92+K139+K186+K233+K280+K327+K374+K421+K468+K515+K562</f>
        <v/>
      </c>
      <c r="L604" s="189">
        <f>L92+L139+L186+L233+L280+L327+L374+L421+L468+L515+L562</f>
        <v/>
      </c>
      <c r="M604" s="189">
        <f>M92+M139+M186+M233+M280+M327+M374+M421+M468+M515+M562</f>
        <v/>
      </c>
      <c r="N604" s="189">
        <f>N92+N139+N186+N233+N280+N327+N374+N421+N468+N515+N562</f>
        <v/>
      </c>
      <c r="O604" s="189">
        <f>O92+O139+O186+O233+O280+O327+O374+O421+O468+O515+O562</f>
        <v/>
      </c>
      <c r="P604" s="189">
        <f>P92+P139+P186+P233+P280+P327+P374+P421+P468+P515+P562</f>
        <v/>
      </c>
      <c r="Q604" s="189">
        <f>Q92+Q139+Q186+Q233+Q280+Q327+Q374+Q421+Q468+Q515+Q562</f>
        <v/>
      </c>
      <c r="R604" s="189">
        <f>R92+R139+R186+R233+R280+R327+R374+R421+R468+R515+R562</f>
        <v/>
      </c>
      <c r="S604" s="189">
        <f>S92+S139+S186+S233+S280+S327+S374+S421+S468+S515+S562</f>
        <v/>
      </c>
      <c r="T604" s="189">
        <f>T92+T139+T186+T233+T280+T327+T374+T421+T468+T515+T562</f>
        <v/>
      </c>
      <c r="U604" s="189">
        <f>U92+U139+U186+U233+U280+U327+U374+U421+U468+U515+U562</f>
        <v/>
      </c>
      <c r="V604" s="189">
        <f>V92+V139+V186+V233+V280+V327+V374+V421+V468+V515+V562</f>
        <v/>
      </c>
      <c r="W604" s="189">
        <f>W92+W139+W186+W233+W280+W327+W374+W421+W468+W515+W562</f>
        <v/>
      </c>
      <c r="X604" s="189">
        <f>X92+X139+X186+X233+X280+X327+X374+X421+X468+X515+X562</f>
        <v/>
      </c>
      <c r="Y604" s="189">
        <f>Y92+Y139+Y186+Y233+Y280+Y327+Y374+Y421+Y468+Y515+Y562</f>
        <v/>
      </c>
      <c r="Z604" s="189">
        <f>Z92+Z139+Z186+Z233+Z280+Z327+Z374+Z421+Z468+Z515+Z562</f>
        <v/>
      </c>
      <c r="AA604" s="189">
        <f>AA92+AA139+AA186+AA233+AA280+AA327+AA374+AA421+AA468+AA515+AA562</f>
        <v/>
      </c>
      <c r="AB604" s="189">
        <f>AB92+AB139+AB186+AB233+AB280+AB327+AB374+AB421+AB468+AB515+AB562</f>
        <v/>
      </c>
      <c r="AC604" s="189">
        <f>AC92+AC139+AC186+AC233+AC280+AC327+AC374+AC421+AC468+AC515+AC562</f>
        <v/>
      </c>
      <c r="AD604" s="10">
        <f>AD92+AD139+AD186+AD233+AD280+AD327+AD374+AD421+AD468+AD515+AD562</f>
        <v/>
      </c>
      <c r="AE604" s="189">
        <f>AE92+AE139+AE186+AE233+AE280+AE327+AE374+AE421+AE468+AE515+AE562</f>
        <v/>
      </c>
      <c r="AF604" s="189">
        <f>AF92+AF139+AF186+AF233+AF280+AF327+AF374+AF421+AF468+AF515+AF562</f>
        <v/>
      </c>
      <c r="AG604" s="189">
        <f>AG92+AG139+AG186+AG233+AG280+AG327+AG374+AG421+AG468+AG515+AG562</f>
        <v/>
      </c>
      <c r="AH604" s="189">
        <f>AH92+AH139+AH186+AH233+AH280+AH327+AH374+AH421+AH468+AH515+AH562</f>
        <v/>
      </c>
      <c r="AI604" s="189">
        <f>AI92+AI139+AI186+AI233+AI280+AI327+AI374+AI421+AI468+AI515+AI562</f>
        <v/>
      </c>
      <c r="AJ604" s="189">
        <f>AJ92+AJ139+AJ186+AJ233+AJ280+AJ327+AJ374+AJ421+AJ468+AJ515+AJ562</f>
        <v/>
      </c>
      <c r="AK604" s="189">
        <f>AK92+AK139+AK186+AK233+AK280+AK327+AK374+AK421+AK468+AK515+AK562</f>
        <v/>
      </c>
      <c r="AL604" s="189">
        <f>AL92+AL139+AL186+AL233+AL280+AL327+AL374+AL421+AL468+AL515+AL562</f>
        <v/>
      </c>
      <c r="AM604" s="51" t="inlineStr">
        <is>
          <t>U10X</t>
        </is>
      </c>
    </row>
    <row r="605">
      <c r="C605" s="189">
        <f>C93+C140+C187+C234+C281+C328+C375+C422+C469+C516+C563</f>
        <v/>
      </c>
      <c r="D605" s="189">
        <f>D93+D140+D187+D234+D281+D328+D375+D422+D469+D516+D563</f>
        <v/>
      </c>
      <c r="E605" s="189">
        <f>E93+E140+E187+E234+E281+E328+E375+E422+E469+E516+E563</f>
        <v/>
      </c>
      <c r="F605" s="189">
        <f>F93+F140+F187+F234+F281+F328+F375+F422+F469+F516+F563</f>
        <v/>
      </c>
      <c r="G605" s="189">
        <f>G93+G140+G187+G234+G281+G328+G375+G422+G469+G516+G563</f>
        <v/>
      </c>
      <c r="H605" s="189">
        <f>H93+H140+H187+H234+H281+H328+H375+H422+H469+H516+H563</f>
        <v/>
      </c>
      <c r="I605" s="189">
        <f>I93+I140+I187+I234+I281+I328+I375+I422+I469+I516+I563</f>
        <v/>
      </c>
      <c r="J605" s="189">
        <f>J93+J140+J187+J234+J281+J328+J375+J422+J469+J516+J563</f>
        <v/>
      </c>
      <c r="K605" s="189">
        <f>K93+K140+K187+K234+K281+K328+K375+K422+K469+K516+K563</f>
        <v/>
      </c>
      <c r="L605" s="189">
        <f>L93+L140+L187+L234+L281+L328+L375+L422+L469+L516+L563</f>
        <v/>
      </c>
      <c r="M605" s="189">
        <f>M93+M140+M187+M234+M281+M328+M375+M422+M469+M516+M563</f>
        <v/>
      </c>
      <c r="N605" s="189">
        <f>N93+N140+N187+N234+N281+N328+N375+N422+N469+N516+N563</f>
        <v/>
      </c>
      <c r="O605" s="189">
        <f>O93+O140+O187+O234+O281+O328+O375+O422+O469+O516+O563</f>
        <v/>
      </c>
      <c r="P605" s="189">
        <f>P93+P140+P187+P234+P281+P328+P375+P422+P469+P516+P563</f>
        <v/>
      </c>
      <c r="Q605" s="189">
        <f>Q93+Q140+Q187+Q234+Q281+Q328+Q375+Q422+Q469+Q516+Q563</f>
        <v/>
      </c>
      <c r="R605" s="189">
        <f>R93+R140+R187+R234+R281+R328+R375+R422+R469+R516+R563</f>
        <v/>
      </c>
      <c r="S605" s="189">
        <f>S93+S140+S187+S234+S281+S328+S375+S422+S469+S516+S563</f>
        <v/>
      </c>
      <c r="T605" s="189">
        <f>T93+T140+T187+T234+T281+T328+T375+T422+T469+T516+T563</f>
        <v/>
      </c>
      <c r="U605" s="189">
        <f>U93+U140+U187+U234+U281+U328+U375+U422+U469+U516+U563</f>
        <v/>
      </c>
      <c r="V605" s="189">
        <f>V93+V140+V187+V234+V281+V328+V375+V422+V469+V516+V563</f>
        <v/>
      </c>
      <c r="W605" s="189">
        <f>W93+W140+W187+W234+W281+W328+W375+W422+W469+W516+W563</f>
        <v/>
      </c>
      <c r="X605" s="189">
        <f>X93+X140+X187+X234+X281+X328+X375+X422+X469+X516+X563</f>
        <v/>
      </c>
      <c r="Y605" s="189">
        <f>Y93+Y140+Y187+Y234+Y281+Y328+Y375+Y422+Y469+Y516+Y563</f>
        <v/>
      </c>
      <c r="Z605" s="189">
        <f>Z93+Z140+Z187+Z234+Z281+Z328+Z375+Z422+Z469+Z516+Z563</f>
        <v/>
      </c>
      <c r="AA605" s="189">
        <f>AA93+AA140+AA187+AA234+AA281+AA328+AA375+AA422+AA469+AA516+AA563</f>
        <v/>
      </c>
      <c r="AB605" s="189">
        <f>AB93+AB140+AB187+AB234+AB281+AB328+AB375+AB422+AB469+AB516+AB563</f>
        <v/>
      </c>
      <c r="AC605" s="189">
        <f>AC93+AC140+AC187+AC234+AC281+AC328+AC375+AC422+AC469+AC516+AC563</f>
        <v/>
      </c>
      <c r="AD605" s="189">
        <f>AD93+AD140+AD187+AD234+AD281+AD328+AD375+AD422+AD469+AD516+AD563</f>
        <v/>
      </c>
      <c r="AE605" s="10">
        <f>AE93+AE140+AE187+AE234+AE281+AE328+AE375+AE422+AE469+AE516+AE563</f>
        <v/>
      </c>
      <c r="AF605" s="189">
        <f>AF93+AF140+AF187+AF234+AF281+AF328+AF375+AF422+AF469+AF516+AF563</f>
        <v/>
      </c>
      <c r="AG605" s="189">
        <f>AG93+AG140+AG187+AG234+AG281+AG328+AG375+AG422+AG469+AG516+AG563</f>
        <v/>
      </c>
      <c r="AH605" s="189">
        <f>AH93+AH140+AH187+AH234+AH281+AH328+AH375+AH422+AH469+AH516+AH563</f>
        <v/>
      </c>
      <c r="AI605" s="189">
        <f>AI93+AI140+AI187+AI234+AI281+AI328+AI375+AI422+AI469+AI516+AI563</f>
        <v/>
      </c>
      <c r="AJ605" s="189">
        <f>AJ93+AJ140+AJ187+AJ234+AJ281+AJ328+AJ375+AJ422+AJ469+AJ516+AJ563</f>
        <v/>
      </c>
      <c r="AK605" s="189">
        <f>AK93+AK140+AK187+AK234+AK281+AK328+AK375+AK422+AK469+AK516+AK563</f>
        <v/>
      </c>
      <c r="AL605" s="189">
        <f>AL93+AL140+AL187+AL234+AL281+AL328+AL375+AL422+AL469+AL516+AL563</f>
        <v/>
      </c>
      <c r="AM605" s="51" t="inlineStr">
        <is>
          <t>U10Y</t>
        </is>
      </c>
    </row>
    <row r="606">
      <c r="C606" s="189">
        <f>C94+C141+C188+C235+C282+C329+C376+C423+C470+C517+C564</f>
        <v/>
      </c>
      <c r="D606" s="189">
        <f>D94+D141+D188+D235+D282+D329+D376+D423+D470+D517+D564</f>
        <v/>
      </c>
      <c r="E606" s="189">
        <f>E94+E141+E188+E235+E282+E329+E376+E423+E470+E517+E564</f>
        <v/>
      </c>
      <c r="F606" s="189">
        <f>F94+F141+F188+F235+F282+F329+F376+F423+F470+F517+F564</f>
        <v/>
      </c>
      <c r="G606" s="189">
        <f>G94+G141+G188+G235+G282+G329+G376+G423+G470+G517+G564</f>
        <v/>
      </c>
      <c r="H606" s="189">
        <f>H94+H141+H188+H235+H282+H329+H376+H423+H470+H517+H564</f>
        <v/>
      </c>
      <c r="I606" s="189">
        <f>I94+I141+I188+I235+I282+I329+I376+I423+I470+I517+I564</f>
        <v/>
      </c>
      <c r="J606" s="189">
        <f>J94+J141+J188+J235+J282+J329+J376+J423+J470+J517+J564</f>
        <v/>
      </c>
      <c r="K606" s="189">
        <f>K94+K141+K188+K235+K282+K329+K376+K423+K470+K517+K564</f>
        <v/>
      </c>
      <c r="L606" s="189">
        <f>L94+L141+L188+L235+L282+L329+L376+L423+L470+L517+L564</f>
        <v/>
      </c>
      <c r="M606" s="189">
        <f>M94+M141+M188+M235+M282+M329+M376+M423+M470+M517+M564</f>
        <v/>
      </c>
      <c r="N606" s="189">
        <f>N94+N141+N188+N235+N282+N329+N376+N423+N470+N517+N564</f>
        <v/>
      </c>
      <c r="O606" s="189">
        <f>O94+O141+O188+O235+O282+O329+O376+O423+O470+O517+O564</f>
        <v/>
      </c>
      <c r="P606" s="189">
        <f>P94+P141+P188+P235+P282+P329+P376+P423+P470+P517+P564</f>
        <v/>
      </c>
      <c r="Q606" s="189">
        <f>Q94+Q141+Q188+Q235+Q282+Q329+Q376+Q423+Q470+Q517+Q564</f>
        <v/>
      </c>
      <c r="R606" s="189">
        <f>R94+R141+R188+R235+R282+R329+R376+R423+R470+R517+R564</f>
        <v/>
      </c>
      <c r="S606" s="189">
        <f>S94+S141+S188+S235+S282+S329+S376+S423+S470+S517+S564</f>
        <v/>
      </c>
      <c r="T606" s="189">
        <f>T94+T141+T188+T235+T282+T329+T376+T423+T470+T517+T564</f>
        <v/>
      </c>
      <c r="U606" s="189">
        <f>U94+U141+U188+U235+U282+U329+U376+U423+U470+U517+U564</f>
        <v/>
      </c>
      <c r="V606" s="189">
        <f>V94+V141+V188+V235+V282+V329+V376+V423+V470+V517+V564</f>
        <v/>
      </c>
      <c r="W606" s="189">
        <f>W94+W141+W188+W235+W282+W329+W376+W423+W470+W517+W564</f>
        <v/>
      </c>
      <c r="X606" s="189">
        <f>X94+X141+X188+X235+X282+X329+X376+X423+X470+X517+X564</f>
        <v/>
      </c>
      <c r="Y606" s="189">
        <f>Y94+Y141+Y188+Y235+Y282+Y329+Y376+Y423+Y470+Y517+Y564</f>
        <v/>
      </c>
      <c r="Z606" s="189">
        <f>Z94+Z141+Z188+Z235+Z282+Z329+Z376+Z423+Z470+Z517+Z564</f>
        <v/>
      </c>
      <c r="AA606" s="189">
        <f>AA94+AA141+AA188+AA235+AA282+AA329+AA376+AA423+AA470+AA517+AA564</f>
        <v/>
      </c>
      <c r="AB606" s="189">
        <f>AB94+AB141+AB188+AB235+AB282+AB329+AB376+AB423+AB470+AB517+AB564</f>
        <v/>
      </c>
      <c r="AC606" s="189">
        <f>AC94+AC141+AC188+AC235+AC282+AC329+AC376+AC423+AC470+AC517+AC564</f>
        <v/>
      </c>
      <c r="AD606" s="189">
        <f>AD94+AD141+AD188+AD235+AD282+AD329+AD376+AD423+AD470+AD517+AD564</f>
        <v/>
      </c>
      <c r="AE606" s="189">
        <f>AE94+AE141+AE188+AE235+AE282+AE329+AE376+AE423+AE470+AE517+AE564</f>
        <v/>
      </c>
      <c r="AF606" s="10">
        <f>AF94+AF141+AF188+AF235+AF282+AF329+AF376+AF423+AF470+AF517+AF564</f>
        <v/>
      </c>
      <c r="AG606" s="189">
        <f>AG94+AG141+AG188+AG235+AG282+AG329+AG376+AG423+AG470+AG517+AG564</f>
        <v/>
      </c>
      <c r="AH606" s="189">
        <f>AH94+AH141+AH188+AH235+AH282+AH329+AH376+AH423+AH470+AH517+AH564</f>
        <v/>
      </c>
      <c r="AI606" s="189">
        <f>AI94+AI141+AI188+AI235+AI282+AI329+AI376+AI423+AI470+AI517+AI564</f>
        <v/>
      </c>
      <c r="AJ606" s="189">
        <f>AJ94+AJ141+AJ188+AJ235+AJ282+AJ329+AJ376+AJ423+AJ470+AJ517+AJ564</f>
        <v/>
      </c>
      <c r="AK606" s="189">
        <f>AK94+AK141+AK188+AK235+AK282+AK329+AK376+AK423+AK470+AK517+AK564</f>
        <v/>
      </c>
      <c r="AL606" s="189">
        <f>AL94+AL141+AL188+AL235+AL282+AL329+AL376+AL423+AL470+AL517+AL564</f>
        <v/>
      </c>
      <c r="AM606" s="51" t="inlineStr">
        <is>
          <t>U10θ</t>
        </is>
      </c>
    </row>
    <row r="607">
      <c r="C607" s="189">
        <f>C95+C142+C189+C236+C283+C330+C377+C424+C471+C518+C565</f>
        <v/>
      </c>
      <c r="D607" s="189">
        <f>D95+D142+D189+D236+D283+D330+D377+D424+D471+D518+D565</f>
        <v/>
      </c>
      <c r="E607" s="189">
        <f>E95+E142+E189+E236+E283+E330+E377+E424+E471+E518+E565</f>
        <v/>
      </c>
      <c r="F607" s="189">
        <f>F95+F142+F189+F236+F283+F330+F377+F424+F471+F518+F565</f>
        <v/>
      </c>
      <c r="G607" s="189">
        <f>G95+G142+G189+G236+G283+G330+G377+G424+G471+G518+G565</f>
        <v/>
      </c>
      <c r="H607" s="189">
        <f>H95+H142+H189+H236+H283+H330+H377+H424+H471+H518+H565</f>
        <v/>
      </c>
      <c r="I607" s="189">
        <f>I95+I142+I189+I236+I283+I330+I377+I424+I471+I518+I565</f>
        <v/>
      </c>
      <c r="J607" s="189">
        <f>J95+J142+J189+J236+J283+J330+J377+J424+J471+J518+J565</f>
        <v/>
      </c>
      <c r="K607" s="189">
        <f>K95+K142+K189+K236+K283+K330+K377+K424+K471+K518+K565</f>
        <v/>
      </c>
      <c r="L607" s="189">
        <f>L95+L142+L189+L236+L283+L330+L377+L424+L471+L518+L565</f>
        <v/>
      </c>
      <c r="M607" s="189">
        <f>M95+M142+M189+M236+M283+M330+M377+M424+M471+M518+M565</f>
        <v/>
      </c>
      <c r="N607" s="189">
        <f>N95+N142+N189+N236+N283+N330+N377+N424+N471+N518+N565</f>
        <v/>
      </c>
      <c r="O607" s="189">
        <f>O95+O142+O189+O236+O283+O330+O377+O424+O471+O518+O565</f>
        <v/>
      </c>
      <c r="P607" s="189">
        <f>P95+P142+P189+P236+P283+P330+P377+P424+P471+P518+P565</f>
        <v/>
      </c>
      <c r="Q607" s="189">
        <f>Q95+Q142+Q189+Q236+Q283+Q330+Q377+Q424+Q471+Q518+Q565</f>
        <v/>
      </c>
      <c r="R607" s="189">
        <f>R95+R142+R189+R236+R283+R330+R377+R424+R471+R518+R565</f>
        <v/>
      </c>
      <c r="S607" s="189">
        <f>S95+S142+S189+S236+S283+S330+S377+S424+S471+S518+S565</f>
        <v/>
      </c>
      <c r="T607" s="189">
        <f>T95+T142+T189+T236+T283+T330+T377+T424+T471+T518+T565</f>
        <v/>
      </c>
      <c r="U607" s="189">
        <f>U95+U142+U189+U236+U283+U330+U377+U424+U471+U518+U565</f>
        <v/>
      </c>
      <c r="V607" s="189">
        <f>V95+V142+V189+V236+V283+V330+V377+V424+V471+V518+V565</f>
        <v/>
      </c>
      <c r="W607" s="189">
        <f>W95+W142+W189+W236+W283+W330+W377+W424+W471+W518+W565</f>
        <v/>
      </c>
      <c r="X607" s="189">
        <f>X95+X142+X189+X236+X283+X330+X377+X424+X471+X518+X565</f>
        <v/>
      </c>
      <c r="Y607" s="189">
        <f>Y95+Y142+Y189+Y236+Y283+Y330+Y377+Y424+Y471+Y518+Y565</f>
        <v/>
      </c>
      <c r="Z607" s="189">
        <f>Z95+Z142+Z189+Z236+Z283+Z330+Z377+Z424+Z471+Z518+Z565</f>
        <v/>
      </c>
      <c r="AA607" s="189">
        <f>AA95+AA142+AA189+AA236+AA283+AA330+AA377+AA424+AA471+AA518+AA565</f>
        <v/>
      </c>
      <c r="AB607" s="189">
        <f>AB95+AB142+AB189+AB236+AB283+AB330+AB377+AB424+AB471+AB518+AB565</f>
        <v/>
      </c>
      <c r="AC607" s="189">
        <f>AC95+AC142+AC189+AC236+AC283+AC330+AC377+AC424+AC471+AC518+AC565</f>
        <v/>
      </c>
      <c r="AD607" s="189">
        <f>AD95+AD142+AD189+AD236+AD283+AD330+AD377+AD424+AD471+AD518+AD565</f>
        <v/>
      </c>
      <c r="AE607" s="189">
        <f>AE95+AE142+AE189+AE236+AE283+AE330+AE377+AE424+AE471+AE518+AE565</f>
        <v/>
      </c>
      <c r="AF607" s="189">
        <f>AF95+AF142+AF189+AF236+AF283+AF330+AF377+AF424+AF471+AF518+AF565</f>
        <v/>
      </c>
      <c r="AG607" s="10">
        <f>AG95+AG142+AG189+AG236+AG283+AG330+AG377+AG424+AG471+AG518+AG565</f>
        <v/>
      </c>
      <c r="AH607" s="189">
        <f>AH95+AH142+AH189+AH236+AH283+AH330+AH377+AH424+AH471+AH518+AH565</f>
        <v/>
      </c>
      <c r="AI607" s="189">
        <f>AI95+AI142+AI189+AI236+AI283+AI330+AI377+AI424+AI471+AI518+AI565</f>
        <v/>
      </c>
      <c r="AJ607" s="189">
        <f>AJ95+AJ142+AJ189+AJ236+AJ283+AJ330+AJ377+AJ424+AJ471+AJ518+AJ565</f>
        <v/>
      </c>
      <c r="AK607" s="189">
        <f>AK95+AK142+AK189+AK236+AK283+AK330+AK377+AK424+AK471+AK518+AK565</f>
        <v/>
      </c>
      <c r="AL607" s="189">
        <f>AL95+AL142+AL189+AL236+AL283+AL330+AL377+AL424+AL471+AL518+AL565</f>
        <v/>
      </c>
      <c r="AM607" s="51" t="inlineStr">
        <is>
          <t>U11X</t>
        </is>
      </c>
    </row>
    <row r="608">
      <c r="C608" s="189">
        <f>C96+C143+C190+C237+C284+C331+C378+C425+C472+C519+C566</f>
        <v/>
      </c>
      <c r="D608" s="189">
        <f>D96+D143+D190+D237+D284+D331+D378+D425+D472+D519+D566</f>
        <v/>
      </c>
      <c r="E608" s="189">
        <f>E96+E143+E190+E237+E284+E331+E378+E425+E472+E519+E566</f>
        <v/>
      </c>
      <c r="F608" s="189">
        <f>F96+F143+F190+F237+F284+F331+F378+F425+F472+F519+F566</f>
        <v/>
      </c>
      <c r="G608" s="189">
        <f>G96+G143+G190+G237+G284+G331+G378+G425+G472+G519+G566</f>
        <v/>
      </c>
      <c r="H608" s="189">
        <f>H96+H143+H190+H237+H284+H331+H378+H425+H472+H519+H566</f>
        <v/>
      </c>
      <c r="I608" s="189">
        <f>I96+I143+I190+I237+I284+I331+I378+I425+I472+I519+I566</f>
        <v/>
      </c>
      <c r="J608" s="189">
        <f>J96+J143+J190+J237+J284+J331+J378+J425+J472+J519+J566</f>
        <v/>
      </c>
      <c r="K608" s="189">
        <f>K96+K143+K190+K237+K284+K331+K378+K425+K472+K519+K566</f>
        <v/>
      </c>
      <c r="L608" s="189">
        <f>L96+L143+L190+L237+L284+L331+L378+L425+L472+L519+L566</f>
        <v/>
      </c>
      <c r="M608" s="189">
        <f>M96+M143+M190+M237+M284+M331+M378+M425+M472+M519+M566</f>
        <v/>
      </c>
      <c r="N608" s="189">
        <f>N96+N143+N190+N237+N284+N331+N378+N425+N472+N519+N566</f>
        <v/>
      </c>
      <c r="O608" s="189">
        <f>O96+O143+O190+O237+O284+O331+O378+O425+O472+O519+O566</f>
        <v/>
      </c>
      <c r="P608" s="189">
        <f>P96+P143+P190+P237+P284+P331+P378+P425+P472+P519+P566</f>
        <v/>
      </c>
      <c r="Q608" s="189">
        <f>Q96+Q143+Q190+Q237+Q284+Q331+Q378+Q425+Q472+Q519+Q566</f>
        <v/>
      </c>
      <c r="R608" s="189">
        <f>R96+R143+R190+R237+R284+R331+R378+R425+R472+R519+R566</f>
        <v/>
      </c>
      <c r="S608" s="189">
        <f>S96+S143+S190+S237+S284+S331+S378+S425+S472+S519+S566</f>
        <v/>
      </c>
      <c r="T608" s="189">
        <f>T96+T143+T190+T237+T284+T331+T378+T425+T472+T519+T566</f>
        <v/>
      </c>
      <c r="U608" s="189">
        <f>U96+U143+U190+U237+U284+U331+U378+U425+U472+U519+U566</f>
        <v/>
      </c>
      <c r="V608" s="189">
        <f>V96+V143+V190+V237+V284+V331+V378+V425+V472+V519+V566</f>
        <v/>
      </c>
      <c r="W608" s="189">
        <f>W96+W143+W190+W237+W284+W331+W378+W425+W472+W519+W566</f>
        <v/>
      </c>
      <c r="X608" s="189">
        <f>X96+X143+X190+X237+X284+X331+X378+X425+X472+X519+X566</f>
        <v/>
      </c>
      <c r="Y608" s="189">
        <f>Y96+Y143+Y190+Y237+Y284+Y331+Y378+Y425+Y472+Y519+Y566</f>
        <v/>
      </c>
      <c r="Z608" s="189">
        <f>Z96+Z143+Z190+Z237+Z284+Z331+Z378+Z425+Z472+Z519+Z566</f>
        <v/>
      </c>
      <c r="AA608" s="189">
        <f>AA96+AA143+AA190+AA237+AA284+AA331+AA378+AA425+AA472+AA519+AA566</f>
        <v/>
      </c>
      <c r="AB608" s="189">
        <f>AB96+AB143+AB190+AB237+AB284+AB331+AB378+AB425+AB472+AB519+AB566</f>
        <v/>
      </c>
      <c r="AC608" s="189">
        <f>AC96+AC143+AC190+AC237+AC284+AC331+AC378+AC425+AC472+AC519+AC566</f>
        <v/>
      </c>
      <c r="AD608" s="189">
        <f>AD96+AD143+AD190+AD237+AD284+AD331+AD378+AD425+AD472+AD519+AD566</f>
        <v/>
      </c>
      <c r="AE608" s="189">
        <f>AE96+AE143+AE190+AE237+AE284+AE331+AE378+AE425+AE472+AE519+AE566</f>
        <v/>
      </c>
      <c r="AF608" s="189">
        <f>AF96+AF143+AF190+AF237+AF284+AF331+AF378+AF425+AF472+AF519+AF566</f>
        <v/>
      </c>
      <c r="AG608" s="189">
        <f>AG96+AG143+AG190+AG237+AG284+AG331+AG378+AG425+AG472+AG519+AG566</f>
        <v/>
      </c>
      <c r="AH608" s="10">
        <f>AH96+AH143+AH190+AH237+AH284+AH331+AH378+AH425+AH472+AH519+AH566</f>
        <v/>
      </c>
      <c r="AI608" s="189">
        <f>AI96+AI143+AI190+AI237+AI284+AI331+AI378+AI425+AI472+AI519+AI566</f>
        <v/>
      </c>
      <c r="AJ608" s="189">
        <f>AJ96+AJ143+AJ190+AJ237+AJ284+AJ331+AJ378+AJ425+AJ472+AJ519+AJ566</f>
        <v/>
      </c>
      <c r="AK608" s="189">
        <f>AK96+AK143+AK190+AK237+AK284+AK331+AK378+AK425+AK472+AK519+AK566</f>
        <v/>
      </c>
      <c r="AL608" s="189">
        <f>AL96+AL143+AL190+AL237+AL284+AL331+AL378+AL425+AL472+AL519+AL566</f>
        <v/>
      </c>
      <c r="AM608" s="51" t="inlineStr">
        <is>
          <t>U11Y</t>
        </is>
      </c>
    </row>
    <row r="609">
      <c r="C609" s="189">
        <f>C97+C144+C191+C238+C285+C332+C379+C426+C473+C520+C567</f>
        <v/>
      </c>
      <c r="D609" s="189">
        <f>D97+D144+D191+D238+D285+D332+D379+D426+D473+D520+D567</f>
        <v/>
      </c>
      <c r="E609" s="189">
        <f>E97+E144+E191+E238+E285+E332+E379+E426+E473+E520+E567</f>
        <v/>
      </c>
      <c r="F609" s="189">
        <f>F97+F144+F191+F238+F285+F332+F379+F426+F473+F520+F567</f>
        <v/>
      </c>
      <c r="G609" s="189">
        <f>G97+G144+G191+G238+G285+G332+G379+G426+G473+G520+G567</f>
        <v/>
      </c>
      <c r="H609" s="189">
        <f>H97+H144+H191+H238+H285+H332+H379+H426+H473+H520+H567</f>
        <v/>
      </c>
      <c r="I609" s="189">
        <f>I97+I144+I191+I238+I285+I332+I379+I426+I473+I520+I567</f>
        <v/>
      </c>
      <c r="J609" s="189">
        <f>J97+J144+J191+J238+J285+J332+J379+J426+J473+J520+J567</f>
        <v/>
      </c>
      <c r="K609" s="189">
        <f>K97+K144+K191+K238+K285+K332+K379+K426+K473+K520+K567</f>
        <v/>
      </c>
      <c r="L609" s="189">
        <f>L97+L144+L191+L238+L285+L332+L379+L426+L473+L520+L567</f>
        <v/>
      </c>
      <c r="M609" s="189">
        <f>M97+M144+M191+M238+M285+M332+M379+M426+M473+M520+M567</f>
        <v/>
      </c>
      <c r="N609" s="189">
        <f>N97+N144+N191+N238+N285+N332+N379+N426+N473+N520+N567</f>
        <v/>
      </c>
      <c r="O609" s="189">
        <f>O97+O144+O191+O238+O285+O332+O379+O426+O473+O520+O567</f>
        <v/>
      </c>
      <c r="P609" s="189">
        <f>P97+P144+P191+P238+P285+P332+P379+P426+P473+P520+P567</f>
        <v/>
      </c>
      <c r="Q609" s="189">
        <f>Q97+Q144+Q191+Q238+Q285+Q332+Q379+Q426+Q473+Q520+Q567</f>
        <v/>
      </c>
      <c r="R609" s="189">
        <f>R97+R144+R191+R238+R285+R332+R379+R426+R473+R520+R567</f>
        <v/>
      </c>
      <c r="S609" s="189">
        <f>S97+S144+S191+S238+S285+S332+S379+S426+S473+S520+S567</f>
        <v/>
      </c>
      <c r="T609" s="189">
        <f>T97+T144+T191+T238+T285+T332+T379+T426+T473+T520+T567</f>
        <v/>
      </c>
      <c r="U609" s="189">
        <f>U97+U144+U191+U238+U285+U332+U379+U426+U473+U520+U567</f>
        <v/>
      </c>
      <c r="V609" s="189">
        <f>V97+V144+V191+V238+V285+V332+V379+V426+V473+V520+V567</f>
        <v/>
      </c>
      <c r="W609" s="189">
        <f>W97+W144+W191+W238+W285+W332+W379+W426+W473+W520+W567</f>
        <v/>
      </c>
      <c r="X609" s="189">
        <f>X97+X144+X191+X238+X285+X332+X379+X426+X473+X520+X567</f>
        <v/>
      </c>
      <c r="Y609" s="189">
        <f>Y97+Y144+Y191+Y238+Y285+Y332+Y379+Y426+Y473+Y520+Y567</f>
        <v/>
      </c>
      <c r="Z609" s="189">
        <f>Z97+Z144+Z191+Z238+Z285+Z332+Z379+Z426+Z473+Z520+Z567</f>
        <v/>
      </c>
      <c r="AA609" s="189">
        <f>AA97+AA144+AA191+AA238+AA285+AA332+AA379+AA426+AA473+AA520+AA567</f>
        <v/>
      </c>
      <c r="AB609" s="189">
        <f>AB97+AB144+AB191+AB238+AB285+AB332+AB379+AB426+AB473+AB520+AB567</f>
        <v/>
      </c>
      <c r="AC609" s="189">
        <f>AC97+AC144+AC191+AC238+AC285+AC332+AC379+AC426+AC473+AC520+AC567</f>
        <v/>
      </c>
      <c r="AD609" s="189">
        <f>AD97+AD144+AD191+AD238+AD285+AD332+AD379+AD426+AD473+AD520+AD567</f>
        <v/>
      </c>
      <c r="AE609" s="189">
        <f>AE97+AE144+AE191+AE238+AE285+AE332+AE379+AE426+AE473+AE520+AE567</f>
        <v/>
      </c>
      <c r="AF609" s="189">
        <f>AF97+AF144+AF191+AF238+AF285+AF332+AF379+AF426+AF473+AF520+AF567</f>
        <v/>
      </c>
      <c r="AG609" s="189">
        <f>AG97+AG144+AG191+AG238+AG285+AG332+AG379+AG426+AG473+AG520+AG567</f>
        <v/>
      </c>
      <c r="AH609" s="189">
        <f>AH97+AH144+AH191+AH238+AH285+AH332+AH379+AH426+AH473+AH520+AH567</f>
        <v/>
      </c>
      <c r="AI609" s="10">
        <f>AI97+AI144+AI191+AI238+AI285+AI332+AI379+AI426+AI473+AI520+AI567</f>
        <v/>
      </c>
      <c r="AJ609" s="189">
        <f>AJ97+AJ144+AJ191+AJ238+AJ285+AJ332+AJ379+AJ426+AJ473+AJ520+AJ567</f>
        <v/>
      </c>
      <c r="AK609" s="189">
        <f>AK97+AK144+AK191+AK238+AK285+AK332+AK379+AK426+AK473+AK520+AK567</f>
        <v/>
      </c>
      <c r="AL609" s="189">
        <f>AL97+AL144+AL191+AL238+AL285+AL332+AL379+AL426+AL473+AL520+AL567</f>
        <v/>
      </c>
      <c r="AM609" s="51" t="inlineStr">
        <is>
          <t>U11θ</t>
        </is>
      </c>
    </row>
    <row r="610">
      <c r="C610" s="189">
        <f>C98+C145+C192+C239+C286+C333+C380+C427+C474+C521+C568</f>
        <v/>
      </c>
      <c r="D610" s="189">
        <f>D98+D145+D192+D239+D286+D333+D380+D427+D474+D521+D568</f>
        <v/>
      </c>
      <c r="E610" s="189">
        <f>E98+E145+E192+E239+E286+E333+E380+E427+E474+E521+E568</f>
        <v/>
      </c>
      <c r="F610" s="189">
        <f>F98+F145+F192+F239+F286+F333+F380+F427+F474+F521+F568</f>
        <v/>
      </c>
      <c r="G610" s="189">
        <f>G98+G145+G192+G239+G286+G333+G380+G427+G474+G521+G568</f>
        <v/>
      </c>
      <c r="H610" s="189">
        <f>H98+H145+H192+H239+H286+H333+H380+H427+H474+H521+H568</f>
        <v/>
      </c>
      <c r="I610" s="189">
        <f>I98+I145+I192+I239+I286+I333+I380+I427+I474+I521+I568</f>
        <v/>
      </c>
      <c r="J610" s="189">
        <f>J98+J145+J192+J239+J286+J333+J380+J427+J474+J521+J568</f>
        <v/>
      </c>
      <c r="K610" s="189">
        <f>K98+K145+K192+K239+K286+K333+K380+K427+K474+K521+K568</f>
        <v/>
      </c>
      <c r="L610" s="189">
        <f>L98+L145+L192+L239+L286+L333+L380+L427+L474+L521+L568</f>
        <v/>
      </c>
      <c r="M610" s="189">
        <f>M98+M145+M192+M239+M286+M333+M380+M427+M474+M521+M568</f>
        <v/>
      </c>
      <c r="N610" s="189">
        <f>N98+N145+N192+N239+N286+N333+N380+N427+N474+N521+N568</f>
        <v/>
      </c>
      <c r="O610" s="189">
        <f>O98+O145+O192+O239+O286+O333+O380+O427+O474+O521+O568</f>
        <v/>
      </c>
      <c r="P610" s="189">
        <f>P98+P145+P192+P239+P286+P333+P380+P427+P474+P521+P568</f>
        <v/>
      </c>
      <c r="Q610" s="189">
        <f>Q98+Q145+Q192+Q239+Q286+Q333+Q380+Q427+Q474+Q521+Q568</f>
        <v/>
      </c>
      <c r="R610" s="189">
        <f>R98+R145+R192+R239+R286+R333+R380+R427+R474+R521+R568</f>
        <v/>
      </c>
      <c r="S610" s="189">
        <f>S98+S145+S192+S239+S286+S333+S380+S427+S474+S521+S568</f>
        <v/>
      </c>
      <c r="T610" s="189">
        <f>T98+T145+T192+T239+T286+T333+T380+T427+T474+T521+T568</f>
        <v/>
      </c>
      <c r="U610" s="189">
        <f>U98+U145+U192+U239+U286+U333+U380+U427+U474+U521+U568</f>
        <v/>
      </c>
      <c r="V610" s="189">
        <f>V98+V145+V192+V239+V286+V333+V380+V427+V474+V521+V568</f>
        <v/>
      </c>
      <c r="W610" s="189">
        <f>W98+W145+W192+W239+W286+W333+W380+W427+W474+W521+W568</f>
        <v/>
      </c>
      <c r="X610" s="189">
        <f>X98+X145+X192+X239+X286+X333+X380+X427+X474+X521+X568</f>
        <v/>
      </c>
      <c r="Y610" s="189">
        <f>Y98+Y145+Y192+Y239+Y286+Y333+Y380+Y427+Y474+Y521+Y568</f>
        <v/>
      </c>
      <c r="Z610" s="189">
        <f>Z98+Z145+Z192+Z239+Z286+Z333+Z380+Z427+Z474+Z521+Z568</f>
        <v/>
      </c>
      <c r="AA610" s="189">
        <f>AA98+AA145+AA192+AA239+AA286+AA333+AA380+AA427+AA474+AA521+AA568</f>
        <v/>
      </c>
      <c r="AB610" s="189">
        <f>AB98+AB145+AB192+AB239+AB286+AB333+AB380+AB427+AB474+AB521+AB568</f>
        <v/>
      </c>
      <c r="AC610" s="189">
        <f>AC98+AC145+AC192+AC239+AC286+AC333+AC380+AC427+AC474+AC521+AC568</f>
        <v/>
      </c>
      <c r="AD610" s="189">
        <f>AD98+AD145+AD192+AD239+AD286+AD333+AD380+AD427+AD474+AD521+AD568</f>
        <v/>
      </c>
      <c r="AE610" s="189">
        <f>AE98+AE145+AE192+AE239+AE286+AE333+AE380+AE427+AE474+AE521+AE568</f>
        <v/>
      </c>
      <c r="AF610" s="189">
        <f>AF98+AF145+AF192+AF239+AF286+AF333+AF380+AF427+AF474+AF521+AF568</f>
        <v/>
      </c>
      <c r="AG610" s="189">
        <f>AG98+AG145+AG192+AG239+AG286+AG333+AG380+AG427+AG474+AG521+AG568</f>
        <v/>
      </c>
      <c r="AH610" s="189">
        <f>AH98+AH145+AH192+AH239+AH286+AH333+AH380+AH427+AH474+AH521+AH568</f>
        <v/>
      </c>
      <c r="AI610" s="189">
        <f>AI98+AI145+AI192+AI239+AI286+AI333+AI380+AI427+AI474+AI521+AI568</f>
        <v/>
      </c>
      <c r="AJ610" s="10">
        <f>AJ98+AJ145+AJ192+AJ239+AJ286+AJ333+AJ380+AJ427+AJ474+AJ521+AJ568</f>
        <v/>
      </c>
      <c r="AK610" s="189">
        <f>AK98+AK145+AK192+AK239+AK286+AK333+AK380+AK427+AK474+AK521+AK568</f>
        <v/>
      </c>
      <c r="AL610" s="189">
        <f>AL98+AL145+AL192+AL239+AL286+AL333+AL380+AL427+AL474+AL521+AL568</f>
        <v/>
      </c>
      <c r="AM610" s="51" t="inlineStr">
        <is>
          <t>U12X</t>
        </is>
      </c>
    </row>
    <row r="611">
      <c r="C611" s="189">
        <f>C99+C146+C193+C240+C287+C334+C381+C428+C475+C522+C569</f>
        <v/>
      </c>
      <c r="D611" s="189">
        <f>D99+D146+D193+D240+D287+D334+D381+D428+D475+D522+D569</f>
        <v/>
      </c>
      <c r="E611" s="189">
        <f>E99+E146+E193+E240+E287+E334+E381+E428+E475+E522+E569</f>
        <v/>
      </c>
      <c r="F611" s="189">
        <f>F99+F146+F193+F240+F287+F334+F381+F428+F475+F522+F569</f>
        <v/>
      </c>
      <c r="G611" s="189">
        <f>G99+G146+G193+G240+G287+G334+G381+G428+G475+G522+G569</f>
        <v/>
      </c>
      <c r="H611" s="189">
        <f>H99+H146+H193+H240+H287+H334+H381+H428+H475+H522+H569</f>
        <v/>
      </c>
      <c r="I611" s="189">
        <f>I99+I146+I193+I240+I287+I334+I381+I428+I475+I522+I569</f>
        <v/>
      </c>
      <c r="J611" s="189">
        <f>J99+J146+J193+J240+J287+J334+J381+J428+J475+J522+J569</f>
        <v/>
      </c>
      <c r="K611" s="189">
        <f>K99+K146+K193+K240+K287+K334+K381+K428+K475+K522+K569</f>
        <v/>
      </c>
      <c r="L611" s="189">
        <f>L99+L146+L193+L240+L287+L334+L381+L428+L475+L522+L569</f>
        <v/>
      </c>
      <c r="M611" s="189">
        <f>M99+M146+M193+M240+M287+M334+M381+M428+M475+M522+M569</f>
        <v/>
      </c>
      <c r="N611" s="189">
        <f>N99+N146+N193+N240+N287+N334+N381+N428+N475+N522+N569</f>
        <v/>
      </c>
      <c r="O611" s="189">
        <f>O99+O146+O193+O240+O287+O334+O381+O428+O475+O522+O569</f>
        <v/>
      </c>
      <c r="P611" s="189">
        <f>P99+P146+P193+P240+P287+P334+P381+P428+P475+P522+P569</f>
        <v/>
      </c>
      <c r="Q611" s="189">
        <f>Q99+Q146+Q193+Q240+Q287+Q334+Q381+Q428+Q475+Q522+Q569</f>
        <v/>
      </c>
      <c r="R611" s="189">
        <f>R99+R146+R193+R240+R287+R334+R381+R428+R475+R522+R569</f>
        <v/>
      </c>
      <c r="S611" s="189">
        <f>S99+S146+S193+S240+S287+S334+S381+S428+S475+S522+S569</f>
        <v/>
      </c>
      <c r="T611" s="189">
        <f>T99+T146+T193+T240+T287+T334+T381+T428+T475+T522+T569</f>
        <v/>
      </c>
      <c r="U611" s="189">
        <f>U99+U146+U193+U240+U287+U334+U381+U428+U475+U522+U569</f>
        <v/>
      </c>
      <c r="V611" s="189">
        <f>V99+V146+V193+V240+V287+V334+V381+V428+V475+V522+V569</f>
        <v/>
      </c>
      <c r="W611" s="189">
        <f>W99+W146+W193+W240+W287+W334+W381+W428+W475+W522+W569</f>
        <v/>
      </c>
      <c r="X611" s="189">
        <f>X99+X146+X193+X240+X287+X334+X381+X428+X475+X522+X569</f>
        <v/>
      </c>
      <c r="Y611" s="189">
        <f>Y99+Y146+Y193+Y240+Y287+Y334+Y381+Y428+Y475+Y522+Y569</f>
        <v/>
      </c>
      <c r="Z611" s="189">
        <f>Z99+Z146+Z193+Z240+Z287+Z334+Z381+Z428+Z475+Z522+Z569</f>
        <v/>
      </c>
      <c r="AA611" s="189">
        <f>AA99+AA146+AA193+AA240+AA287+AA334+AA381+AA428+AA475+AA522+AA569</f>
        <v/>
      </c>
      <c r="AB611" s="189">
        <f>AB99+AB146+AB193+AB240+AB287+AB334+AB381+AB428+AB475+AB522+AB569</f>
        <v/>
      </c>
      <c r="AC611" s="189">
        <f>AC99+AC146+AC193+AC240+AC287+AC334+AC381+AC428+AC475+AC522+AC569</f>
        <v/>
      </c>
      <c r="AD611" s="189">
        <f>AD99+AD146+AD193+AD240+AD287+AD334+AD381+AD428+AD475+AD522+AD569</f>
        <v/>
      </c>
      <c r="AE611" s="189">
        <f>AE99+AE146+AE193+AE240+AE287+AE334+AE381+AE428+AE475+AE522+AE569</f>
        <v/>
      </c>
      <c r="AF611" s="189">
        <f>AF99+AF146+AF193+AF240+AF287+AF334+AF381+AF428+AF475+AF522+AF569</f>
        <v/>
      </c>
      <c r="AG611" s="189">
        <f>AG99+AG146+AG193+AG240+AG287+AG334+AG381+AG428+AG475+AG522+AG569</f>
        <v/>
      </c>
      <c r="AH611" s="189">
        <f>AH99+AH146+AH193+AH240+AH287+AH334+AH381+AH428+AH475+AH522+AH569</f>
        <v/>
      </c>
      <c r="AI611" s="189">
        <f>AI99+AI146+AI193+AI240+AI287+AI334+AI381+AI428+AI475+AI522+AI569</f>
        <v/>
      </c>
      <c r="AJ611" s="189">
        <f>AJ99+AJ146+AJ193+AJ240+AJ287+AJ334+AJ381+AJ428+AJ475+AJ522+AJ569</f>
        <v/>
      </c>
      <c r="AK611" s="10">
        <f>AK99+AK146+AK193+AK240+AK287+AK334+AK381+AK428+AK475+AK522+AK569</f>
        <v/>
      </c>
      <c r="AL611" s="189">
        <f>AL99+AL146+AL193+AL240+AL287+AL334+AL381+AL428+AL475+AL522+AL569</f>
        <v/>
      </c>
      <c r="AM611" s="51" t="inlineStr">
        <is>
          <t>U12Y</t>
        </is>
      </c>
    </row>
    <row r="612">
      <c r="C612" s="189">
        <f>C100+C147+C194+C241+C288+C335+C382+C429+C476+C523+C570</f>
        <v/>
      </c>
      <c r="D612" s="189">
        <f>D100+D147+D194+D241+D288+D335+D382+D429+D476+D523+D570</f>
        <v/>
      </c>
      <c r="E612" s="189">
        <f>E100+E147+E194+E241+E288+E335+E382+E429+E476+E523+E570</f>
        <v/>
      </c>
      <c r="F612" s="189">
        <f>F100+F147+F194+F241+F288+F335+F382+F429+F476+F523+F570</f>
        <v/>
      </c>
      <c r="G612" s="189">
        <f>G100+G147+G194+G241+G288+G335+G382+G429+G476+G523+G570</f>
        <v/>
      </c>
      <c r="H612" s="189">
        <f>H100+H147+H194+H241+H288+H335+H382+H429+H476+H523+H570</f>
        <v/>
      </c>
      <c r="I612" s="189">
        <f>I100+I147+I194+I241+I288+I335+I382+I429+I476+I523+I570</f>
        <v/>
      </c>
      <c r="J612" s="189">
        <f>J100+J147+J194+J241+J288+J335+J382+J429+J476+J523+J570</f>
        <v/>
      </c>
      <c r="K612" s="189">
        <f>K100+K147+K194+K241+K288+K335+K382+K429+K476+K523+K570</f>
        <v/>
      </c>
      <c r="L612" s="189">
        <f>L100+L147+L194+L241+L288+L335+L382+L429+L476+L523+L570</f>
        <v/>
      </c>
      <c r="M612" s="189">
        <f>M100+M147+M194+M241+M288+M335+M382+M429+M476+M523+M570</f>
        <v/>
      </c>
      <c r="N612" s="189">
        <f>N100+N147+N194+N241+N288+N335+N382+N429+N476+N523+N570</f>
        <v/>
      </c>
      <c r="O612" s="189">
        <f>O100+O147+O194+O241+O288+O335+O382+O429+O476+O523+O570</f>
        <v/>
      </c>
      <c r="P612" s="189">
        <f>P100+P147+P194+P241+P288+P335+P382+P429+P476+P523+P570</f>
        <v/>
      </c>
      <c r="Q612" s="189">
        <f>Q100+Q147+Q194+Q241+Q288+Q335+Q382+Q429+Q476+Q523+Q570</f>
        <v/>
      </c>
      <c r="R612" s="189">
        <f>R100+R147+R194+R241+R288+R335+R382+R429+R476+R523+R570</f>
        <v/>
      </c>
      <c r="S612" s="189">
        <f>S100+S147+S194+S241+S288+S335+S382+S429+S476+S523+S570</f>
        <v/>
      </c>
      <c r="T612" s="189">
        <f>T100+T147+T194+T241+T288+T335+T382+T429+T476+T523+T570</f>
        <v/>
      </c>
      <c r="U612" s="189">
        <f>U100+U147+U194+U241+U288+U335+U382+U429+U476+U523+U570</f>
        <v/>
      </c>
      <c r="V612" s="189">
        <f>V100+V147+V194+V241+V288+V335+V382+V429+V476+V523+V570</f>
        <v/>
      </c>
      <c r="W612" s="189">
        <f>W100+W147+W194+W241+W288+W335+W382+W429+W476+W523+W570</f>
        <v/>
      </c>
      <c r="X612" s="189">
        <f>X100+X147+X194+X241+X288+X335+X382+X429+X476+X523+X570</f>
        <v/>
      </c>
      <c r="Y612" s="189">
        <f>Y100+Y147+Y194+Y241+Y288+Y335+Y382+Y429+Y476+Y523+Y570</f>
        <v/>
      </c>
      <c r="Z612" s="189">
        <f>Z100+Z147+Z194+Z241+Z288+Z335+Z382+Z429+Z476+Z523+Z570</f>
        <v/>
      </c>
      <c r="AA612" s="189">
        <f>AA100+AA147+AA194+AA241+AA288+AA335+AA382+AA429+AA476+AA523+AA570</f>
        <v/>
      </c>
      <c r="AB612" s="189">
        <f>AB100+AB147+AB194+AB241+AB288+AB335+AB382+AB429+AB476+AB523+AB570</f>
        <v/>
      </c>
      <c r="AC612" s="189">
        <f>AC100+AC147+AC194+AC241+AC288+AC335+AC382+AC429+AC476+AC523+AC570</f>
        <v/>
      </c>
      <c r="AD612" s="189">
        <f>AD100+AD147+AD194+AD241+AD288+AD335+AD382+AD429+AD476+AD523+AD570</f>
        <v/>
      </c>
      <c r="AE612" s="189">
        <f>AE100+AE147+AE194+AE241+AE288+AE335+AE382+AE429+AE476+AE523+AE570</f>
        <v/>
      </c>
      <c r="AF612" s="189">
        <f>AF100+AF147+AF194+AF241+AF288+AF335+AF382+AF429+AF476+AF523+AF570</f>
        <v/>
      </c>
      <c r="AG612" s="189">
        <f>AG100+AG147+AG194+AG241+AG288+AG335+AG382+AG429+AG476+AG523+AG570</f>
        <v/>
      </c>
      <c r="AH612" s="189">
        <f>AH100+AH147+AH194+AH241+AH288+AH335+AH382+AH429+AH476+AH523+AH570</f>
        <v/>
      </c>
      <c r="AI612" s="189">
        <f>AI100+AI147+AI194+AI241+AI288+AI335+AI382+AI429+AI476+AI523+AI570</f>
        <v/>
      </c>
      <c r="AJ612" s="189">
        <f>AJ100+AJ147+AJ194+AJ241+AJ288+AJ335+AJ382+AJ429+AJ476+AJ523+AJ570</f>
        <v/>
      </c>
      <c r="AK612" s="189">
        <f>AK100+AK147+AK194+AK241+AK288+AK335+AK382+AK429+AK476+AK523+AK570</f>
        <v/>
      </c>
      <c r="AL612" s="10">
        <f>AL100+AL147+AL194+AL241+AL288+AL335+AL382+AL429+AL476+AL523+AL570</f>
        <v/>
      </c>
      <c r="AM612" s="51" t="inlineStr">
        <is>
          <t>U12θ</t>
        </is>
      </c>
    </row>
    <row r="615">
      <c r="C615" s="53" t="inlineStr">
        <is>
          <t>VECTORES DE CARGAS GLOBALES {C} Y CONDICIONES DE FRONTERA / DESPLAZAMIENTOS {D}</t>
        </is>
      </c>
      <c r="D615" s="190" t="n"/>
      <c r="E615" s="190" t="n"/>
      <c r="F615" s="190" t="n"/>
      <c r="G615" s="190" t="n"/>
      <c r="H615" s="190" t="n"/>
      <c r="I615" s="190" t="n"/>
      <c r="J615" s="190" t="n"/>
      <c r="K615" s="190" t="n"/>
      <c r="L615" s="190" t="n"/>
      <c r="M615" s="190" t="n"/>
      <c r="N615" s="190" t="n"/>
      <c r="O615" s="190" t="n"/>
      <c r="P615" s="190" t="n"/>
      <c r="Q615" s="190" t="n"/>
      <c r="R615" s="190" t="n"/>
      <c r="S615" s="190" t="n"/>
      <c r="T615" s="190" t="n"/>
      <c r="U615" s="190" t="n"/>
      <c r="V615" s="190" t="n"/>
      <c r="W615" s="190" t="n"/>
      <c r="X615" s="190" t="n"/>
      <c r="Y615" s="190" t="n"/>
      <c r="Z615" s="190" t="n"/>
      <c r="AA615" s="190" t="n"/>
      <c r="AB615" s="190" t="n"/>
      <c r="AC615" s="190" t="n"/>
      <c r="AD615" s="190" t="n"/>
      <c r="AE615" s="190" t="n"/>
      <c r="AF615" s="190" t="n"/>
      <c r="AG615" s="190" t="n"/>
      <c r="AH615" s="190" t="n"/>
      <c r="AI615" s="190" t="n"/>
      <c r="AJ615" s="190" t="n"/>
      <c r="AK615" s="190" t="n"/>
      <c r="AL615" s="191" t="n"/>
    </row>
    <row r="616" ht="26.4" customHeight="1" s="183">
      <c r="C616" s="57" t="inlineStr">
        <is>
          <t>VECTOR DE CARGAS {C}</t>
        </is>
      </c>
      <c r="I616" s="57" t="inlineStr">
        <is>
          <t>VECTOR DE DESPLAZAMIENTOS {D}</t>
        </is>
      </c>
      <c r="O616" s="58" t="inlineStr">
        <is>
          <t>Condición GDL</t>
        </is>
      </c>
    </row>
    <row r="617" ht="26.4" customHeight="1" s="183">
      <c r="C617" s="11" t="inlineStr">
        <is>
          <t>C1X</t>
        </is>
      </c>
      <c r="D617" s="12" t="inlineStr">
        <is>
          <t>U1X</t>
        </is>
      </c>
      <c r="E617" s="187" t="inlineStr">
        <is>
          <t>=</t>
        </is>
      </c>
      <c r="F617" s="13">
        <f>IF(ISNUMBER(O42), O42, 0)</f>
        <v/>
      </c>
      <c r="G617" s="12" t="inlineStr">
        <is>
          <t>U1X</t>
        </is>
      </c>
      <c r="I617" s="11" t="inlineStr">
        <is>
          <t>D1X</t>
        </is>
      </c>
      <c r="J617" s="12" t="inlineStr">
        <is>
          <t>U1X</t>
        </is>
      </c>
      <c r="K617" s="187" t="inlineStr">
        <is>
          <t>=</t>
        </is>
      </c>
      <c r="L617" s="14">
        <f>IF(G42="","", IF(G42=0, 0, I617))</f>
        <v/>
      </c>
      <c r="M617" s="12" t="inlineStr">
        <is>
          <t>U1X</t>
        </is>
      </c>
      <c r="O617" s="186">
        <f>IF(OR($G$7=0, 1&gt;$G$7), "RESTRINGIDO", IF(ISNUMBER(L617), IF(L617=0, "RESTRINGIDO", "LIBRE"), "LIBRE"))</f>
        <v/>
      </c>
    </row>
    <row r="618" ht="26.4" customHeight="1" s="183">
      <c r="C618" s="11" t="inlineStr">
        <is>
          <t>C1Y</t>
        </is>
      </c>
      <c r="D618" s="12" t="inlineStr">
        <is>
          <t>U1Y</t>
        </is>
      </c>
      <c r="E618" s="187" t="inlineStr">
        <is>
          <t>=</t>
        </is>
      </c>
      <c r="F618" s="13">
        <f>IF(ISNUMBER(P42), P42, 0)</f>
        <v/>
      </c>
      <c r="G618" s="12" t="inlineStr">
        <is>
          <t>U1Y</t>
        </is>
      </c>
      <c r="I618" s="11" t="inlineStr">
        <is>
          <t>D1Y</t>
        </is>
      </c>
      <c r="J618" s="12" t="inlineStr">
        <is>
          <t>U1Y</t>
        </is>
      </c>
      <c r="K618" s="187" t="inlineStr">
        <is>
          <t>=</t>
        </is>
      </c>
      <c r="L618" s="14">
        <f>IF(H42="","", IF(H42=0, 0, I618))</f>
        <v/>
      </c>
      <c r="M618" s="12" t="inlineStr">
        <is>
          <t>U1Y</t>
        </is>
      </c>
      <c r="O618" s="186">
        <f>IF(OR($G$7=0, 1&gt;$G$7), "RESTRINGIDO", IF(ISNUMBER(L618), IF(L618=0, "RESTRINGIDO", "LIBRE"), "LIBRE"))</f>
        <v/>
      </c>
    </row>
    <row r="619">
      <c r="C619" s="11" t="inlineStr">
        <is>
          <t>C1θ</t>
        </is>
      </c>
      <c r="D619" s="12" t="inlineStr">
        <is>
          <t>U1θ</t>
        </is>
      </c>
      <c r="E619" s="187" t="inlineStr">
        <is>
          <t>=</t>
        </is>
      </c>
      <c r="F619" s="13">
        <f>IF(ISNUMBER(Q42), Q42, 0)</f>
        <v/>
      </c>
      <c r="G619" s="12" t="inlineStr">
        <is>
          <t>U1θ</t>
        </is>
      </c>
      <c r="I619" s="11" t="inlineStr">
        <is>
          <t>D1θ</t>
        </is>
      </c>
      <c r="J619" s="12" t="inlineStr">
        <is>
          <t>U1θ</t>
        </is>
      </c>
      <c r="K619" s="187" t="inlineStr">
        <is>
          <t>=</t>
        </is>
      </c>
      <c r="L619" s="14">
        <f>IF(I42="","", IF(I42=0, 0, I619))</f>
        <v/>
      </c>
      <c r="M619" s="12" t="inlineStr">
        <is>
          <t>U1θ</t>
        </is>
      </c>
      <c r="O619" s="186">
        <f>IF(OR($G$7=0, 1&gt;$G$7), "RESTRINGIDO", IF(ISNUMBER(L619), IF(L619=0, "RESTRINGIDO", "LIBRE"), "LIBRE"))</f>
        <v/>
      </c>
    </row>
    <row r="620">
      <c r="C620" s="11" t="inlineStr">
        <is>
          <t>C2X</t>
        </is>
      </c>
      <c r="D620" s="12" t="inlineStr">
        <is>
          <t>U2X</t>
        </is>
      </c>
      <c r="E620" s="187" t="inlineStr">
        <is>
          <t>=</t>
        </is>
      </c>
      <c r="F620" s="13">
        <f>IF(ISNUMBER(O43), O43, 0)</f>
        <v/>
      </c>
      <c r="G620" s="12" t="inlineStr">
        <is>
          <t>U2X</t>
        </is>
      </c>
      <c r="I620" s="11" t="inlineStr">
        <is>
          <t>D2X</t>
        </is>
      </c>
      <c r="J620" s="12" t="inlineStr">
        <is>
          <t>U2X</t>
        </is>
      </c>
      <c r="K620" s="187" t="inlineStr">
        <is>
          <t>=</t>
        </is>
      </c>
      <c r="L620" s="14">
        <f>IF(G43="","", IF(G43=0, 0, I620))</f>
        <v/>
      </c>
      <c r="M620" s="12" t="inlineStr">
        <is>
          <t>U2X</t>
        </is>
      </c>
      <c r="O620" s="186">
        <f>IF(OR($G$7=0, 2&gt;$G$7), "RESTRINGIDO", IF(ISNUMBER(L620), IF(L620=0, "RESTRINGIDO", "LIBRE"), "LIBRE"))</f>
        <v/>
      </c>
    </row>
    <row r="621" ht="26.4" customHeight="1" s="183">
      <c r="C621" s="11" t="inlineStr">
        <is>
          <t>C2Y</t>
        </is>
      </c>
      <c r="D621" s="12" t="inlineStr">
        <is>
          <t>U2Y</t>
        </is>
      </c>
      <c r="E621" s="187" t="inlineStr">
        <is>
          <t>=</t>
        </is>
      </c>
      <c r="F621" s="13">
        <f>IF(ISNUMBER(P43), P43, 0)</f>
        <v/>
      </c>
      <c r="G621" s="12" t="inlineStr">
        <is>
          <t>U2Y</t>
        </is>
      </c>
      <c r="I621" s="11" t="inlineStr">
        <is>
          <t>D2Y</t>
        </is>
      </c>
      <c r="J621" s="12" t="inlineStr">
        <is>
          <t>U2Y</t>
        </is>
      </c>
      <c r="K621" s="187" t="inlineStr">
        <is>
          <t>=</t>
        </is>
      </c>
      <c r="L621" s="14">
        <f>IF(H43="","", IF(H43=0, 0, I621))</f>
        <v/>
      </c>
      <c r="M621" s="12" t="inlineStr">
        <is>
          <t>U2Y</t>
        </is>
      </c>
      <c r="O621" s="186">
        <f>IF(OR($G$7=0, 2&gt;$G$7), "RESTRINGIDO", IF(ISNUMBER(L621), IF(L621=0, "RESTRINGIDO", "LIBRE"), "LIBRE"))</f>
        <v/>
      </c>
    </row>
    <row r="622">
      <c r="C622" s="11" t="inlineStr">
        <is>
          <t>C2θ</t>
        </is>
      </c>
      <c r="D622" s="12" t="inlineStr">
        <is>
          <t>U2θ</t>
        </is>
      </c>
      <c r="E622" s="187" t="inlineStr">
        <is>
          <t>=</t>
        </is>
      </c>
      <c r="F622" s="13">
        <f>IF(ISNUMBER(Q43), Q43, 0)</f>
        <v/>
      </c>
      <c r="G622" s="12" t="inlineStr">
        <is>
          <t>U2θ</t>
        </is>
      </c>
      <c r="I622" s="11" t="inlineStr">
        <is>
          <t>D2θ</t>
        </is>
      </c>
      <c r="J622" s="12" t="inlineStr">
        <is>
          <t>U2θ</t>
        </is>
      </c>
      <c r="K622" s="187" t="inlineStr">
        <is>
          <t>=</t>
        </is>
      </c>
      <c r="L622" s="14">
        <f>IF(I43="","", IF(I43=0, 0, I622))</f>
        <v/>
      </c>
      <c r="M622" s="12" t="inlineStr">
        <is>
          <t>U2θ</t>
        </is>
      </c>
      <c r="O622" s="186">
        <f>IF(OR($G$7=0, 2&gt;$G$7), "RESTRINGIDO", IF(ISNUMBER(L622), IF(L622=0, "RESTRINGIDO", "LIBRE"), "LIBRE"))</f>
        <v/>
      </c>
    </row>
    <row r="623" ht="26.4" customHeight="1" s="183">
      <c r="C623" s="11" t="inlineStr">
        <is>
          <t>C3X</t>
        </is>
      </c>
      <c r="D623" s="12" t="inlineStr">
        <is>
          <t>U3X</t>
        </is>
      </c>
      <c r="E623" s="187" t="inlineStr">
        <is>
          <t>=</t>
        </is>
      </c>
      <c r="F623" s="13">
        <f>IF(ISNUMBER(O44), O44, 0)</f>
        <v/>
      </c>
      <c r="G623" s="12" t="inlineStr">
        <is>
          <t>U3X</t>
        </is>
      </c>
      <c r="I623" s="11" t="inlineStr">
        <is>
          <t>D3X</t>
        </is>
      </c>
      <c r="J623" s="12" t="inlineStr">
        <is>
          <t>U3X</t>
        </is>
      </c>
      <c r="K623" s="187" t="inlineStr">
        <is>
          <t>=</t>
        </is>
      </c>
      <c r="L623" s="14">
        <f>IF(G44="","", IF(G44=0, 0, I623))</f>
        <v/>
      </c>
      <c r="M623" s="12" t="inlineStr">
        <is>
          <t>U3X</t>
        </is>
      </c>
      <c r="O623" s="186">
        <f>IF(OR($G$7=0, 3&gt;$G$7), "RESTRINGIDO", IF(ISNUMBER(L623), IF(L623=0, "RESTRINGIDO", "LIBRE"), "LIBRE"))</f>
        <v/>
      </c>
    </row>
    <row r="624" ht="26.4" customHeight="1" s="183">
      <c r="C624" s="11" t="inlineStr">
        <is>
          <t>C3Y</t>
        </is>
      </c>
      <c r="D624" s="12" t="inlineStr">
        <is>
          <t>U3Y</t>
        </is>
      </c>
      <c r="E624" s="187" t="inlineStr">
        <is>
          <t>=</t>
        </is>
      </c>
      <c r="F624" s="13">
        <f>IF(ISNUMBER(P44), P44, 0)</f>
        <v/>
      </c>
      <c r="G624" s="12" t="inlineStr">
        <is>
          <t>U3Y</t>
        </is>
      </c>
      <c r="I624" s="11" t="inlineStr">
        <is>
          <t>D3Y</t>
        </is>
      </c>
      <c r="J624" s="12" t="inlineStr">
        <is>
          <t>U3Y</t>
        </is>
      </c>
      <c r="K624" s="187" t="inlineStr">
        <is>
          <t>=</t>
        </is>
      </c>
      <c r="L624" s="14">
        <f>IF(H44="","", IF(H44=0, 0, I624))</f>
        <v/>
      </c>
      <c r="M624" s="12" t="inlineStr">
        <is>
          <t>U3Y</t>
        </is>
      </c>
      <c r="O624" s="186">
        <f>IF(OR($G$7=0, 3&gt;$G$7), "RESTRINGIDO", IF(ISNUMBER(L624), IF(L624=0, "RESTRINGIDO", "LIBRE"), "LIBRE"))</f>
        <v/>
      </c>
    </row>
    <row r="625" ht="26.4" customHeight="1" s="183">
      <c r="C625" s="11" t="inlineStr">
        <is>
          <t>C3θ</t>
        </is>
      </c>
      <c r="D625" s="12" t="inlineStr">
        <is>
          <t>U3θ</t>
        </is>
      </c>
      <c r="E625" s="187" t="inlineStr">
        <is>
          <t>=</t>
        </is>
      </c>
      <c r="F625" s="13">
        <f>IF(ISNUMBER(Q44), Q44, 0)</f>
        <v/>
      </c>
      <c r="G625" s="12" t="inlineStr">
        <is>
          <t>U3θ</t>
        </is>
      </c>
      <c r="I625" s="11" t="inlineStr">
        <is>
          <t>D3θ</t>
        </is>
      </c>
      <c r="J625" s="12" t="inlineStr">
        <is>
          <t>U3θ</t>
        </is>
      </c>
      <c r="K625" s="187" t="inlineStr">
        <is>
          <t>=</t>
        </is>
      </c>
      <c r="L625" s="14">
        <f>IF(I44="","", IF(I44=0, 0, I625))</f>
        <v/>
      </c>
      <c r="M625" s="12" t="inlineStr">
        <is>
          <t>U3θ</t>
        </is>
      </c>
      <c r="O625" s="186">
        <f>IF(OR($G$7=0, 3&gt;$G$7), "RESTRINGIDO", IF(ISNUMBER(L625), IF(L625=0, "RESTRINGIDO", "LIBRE"), "LIBRE"))</f>
        <v/>
      </c>
    </row>
    <row r="626" ht="26.4" customHeight="1" s="183">
      <c r="C626" s="11" t="inlineStr">
        <is>
          <t>C4X</t>
        </is>
      </c>
      <c r="D626" s="12" t="inlineStr">
        <is>
          <t>U4X</t>
        </is>
      </c>
      <c r="E626" s="187" t="inlineStr">
        <is>
          <t>=</t>
        </is>
      </c>
      <c r="F626" s="13">
        <f>IF(ISNUMBER(O45), O45, 0)</f>
        <v/>
      </c>
      <c r="G626" s="12" t="inlineStr">
        <is>
          <t>U4X</t>
        </is>
      </c>
      <c r="I626" s="11" t="inlineStr">
        <is>
          <t>D4X</t>
        </is>
      </c>
      <c r="J626" s="12" t="inlineStr">
        <is>
          <t>U4X</t>
        </is>
      </c>
      <c r="K626" s="187" t="inlineStr">
        <is>
          <t>=</t>
        </is>
      </c>
      <c r="L626" s="14">
        <f>IF(G45="","", IF(G45=0, 0, I626))</f>
        <v/>
      </c>
      <c r="M626" s="12" t="inlineStr">
        <is>
          <t>U4X</t>
        </is>
      </c>
      <c r="O626" s="186">
        <f>IF(OR($G$7=0, 4&gt;$G$7), "RESTRINGIDO", IF(ISNUMBER(L626), IF(L626=0, "RESTRINGIDO", "LIBRE"), "LIBRE"))</f>
        <v/>
      </c>
    </row>
    <row r="627" ht="26.4" customHeight="1" s="183">
      <c r="C627" s="11" t="inlineStr">
        <is>
          <t>C4Y</t>
        </is>
      </c>
      <c r="D627" s="12" t="inlineStr">
        <is>
          <t>U4Y</t>
        </is>
      </c>
      <c r="E627" s="187" t="inlineStr">
        <is>
          <t>=</t>
        </is>
      </c>
      <c r="F627" s="13">
        <f>IF(ISNUMBER(P45), P45, 0)</f>
        <v/>
      </c>
      <c r="G627" s="12" t="inlineStr">
        <is>
          <t>U4Y</t>
        </is>
      </c>
      <c r="I627" s="11" t="inlineStr">
        <is>
          <t>D4Y</t>
        </is>
      </c>
      <c r="J627" s="12" t="inlineStr">
        <is>
          <t>U4Y</t>
        </is>
      </c>
      <c r="K627" s="187" t="inlineStr">
        <is>
          <t>=</t>
        </is>
      </c>
      <c r="L627" s="14">
        <f>IF(H45="","", IF(H45=0, 0, I627))</f>
        <v/>
      </c>
      <c r="M627" s="12" t="inlineStr">
        <is>
          <t>U4Y</t>
        </is>
      </c>
      <c r="O627" s="186">
        <f>IF(OR($G$7=0, 4&gt;$G$7), "RESTRINGIDO", IF(ISNUMBER(L627), IF(L627=0, "RESTRINGIDO", "LIBRE"), "LIBRE"))</f>
        <v/>
      </c>
    </row>
    <row r="628" ht="26.4" customHeight="1" s="183">
      <c r="C628" s="11" t="inlineStr">
        <is>
          <t>C4θ</t>
        </is>
      </c>
      <c r="D628" s="12" t="inlineStr">
        <is>
          <t>U4θ</t>
        </is>
      </c>
      <c r="E628" s="187" t="inlineStr">
        <is>
          <t>=</t>
        </is>
      </c>
      <c r="F628" s="13">
        <f>IF(ISNUMBER(Q45), Q45, 0)</f>
        <v/>
      </c>
      <c r="G628" s="12" t="inlineStr">
        <is>
          <t>U4θ</t>
        </is>
      </c>
      <c r="I628" s="11" t="inlineStr">
        <is>
          <t>D4θ</t>
        </is>
      </c>
      <c r="J628" s="12" t="inlineStr">
        <is>
          <t>U4θ</t>
        </is>
      </c>
      <c r="K628" s="187" t="inlineStr">
        <is>
          <t>=</t>
        </is>
      </c>
      <c r="L628" s="14">
        <f>IF(I45="","", IF(I45=0, 0, I628))</f>
        <v/>
      </c>
      <c r="M628" s="12" t="inlineStr">
        <is>
          <t>U4θ</t>
        </is>
      </c>
      <c r="O628" s="186">
        <f>IF(OR($G$7=0, 4&gt;$G$7), "RESTRINGIDO", IF(ISNUMBER(L628), IF(L628=0, "RESTRINGIDO", "LIBRE"), "LIBRE"))</f>
        <v/>
      </c>
    </row>
    <row r="629" ht="26.4" customHeight="1" s="183">
      <c r="C629" s="11" t="inlineStr">
        <is>
          <t>C5X</t>
        </is>
      </c>
      <c r="D629" s="12" t="inlineStr">
        <is>
          <t>U5X</t>
        </is>
      </c>
      <c r="E629" s="187" t="inlineStr">
        <is>
          <t>=</t>
        </is>
      </c>
      <c r="F629" s="13">
        <f>IF(ISNUMBER(O46), O46, 0)</f>
        <v/>
      </c>
      <c r="G629" s="12" t="inlineStr">
        <is>
          <t>U5X</t>
        </is>
      </c>
      <c r="I629" s="11" t="inlineStr">
        <is>
          <t>D5X</t>
        </is>
      </c>
      <c r="J629" s="12" t="inlineStr">
        <is>
          <t>U5X</t>
        </is>
      </c>
      <c r="K629" s="187" t="inlineStr">
        <is>
          <t>=</t>
        </is>
      </c>
      <c r="L629" s="14">
        <f>IF(G46="","", IF(G46=0, 0, I629))</f>
        <v/>
      </c>
      <c r="M629" s="12" t="inlineStr">
        <is>
          <t>U5X</t>
        </is>
      </c>
      <c r="O629" s="186">
        <f>IF(OR($G$7=0, 5&gt;$G$7), "RESTRINGIDO", IF(ISNUMBER(L629), IF(L629=0, "RESTRINGIDO", "LIBRE"), "LIBRE"))</f>
        <v/>
      </c>
    </row>
    <row r="630" ht="26.4" customHeight="1" s="183">
      <c r="C630" s="11" t="inlineStr">
        <is>
          <t>C5Y</t>
        </is>
      </c>
      <c r="D630" s="12" t="inlineStr">
        <is>
          <t>U5Y</t>
        </is>
      </c>
      <c r="E630" s="187" t="inlineStr">
        <is>
          <t>=</t>
        </is>
      </c>
      <c r="F630" s="13">
        <f>IF(ISNUMBER(P46), P46, 0)</f>
        <v/>
      </c>
      <c r="G630" s="12" t="inlineStr">
        <is>
          <t>U5Y</t>
        </is>
      </c>
      <c r="I630" s="11" t="inlineStr">
        <is>
          <t>D5Y</t>
        </is>
      </c>
      <c r="J630" s="12" t="inlineStr">
        <is>
          <t>U5Y</t>
        </is>
      </c>
      <c r="K630" s="187" t="inlineStr">
        <is>
          <t>=</t>
        </is>
      </c>
      <c r="L630" s="14">
        <f>IF(H46="","", IF(H46=0, 0, I630))</f>
        <v/>
      </c>
      <c r="M630" s="12" t="inlineStr">
        <is>
          <t>U5Y</t>
        </is>
      </c>
      <c r="O630" s="186">
        <f>IF(OR($G$7=0, 5&gt;$G$7), "RESTRINGIDO", IF(ISNUMBER(L630), IF(L630=0, "RESTRINGIDO", "LIBRE"), "LIBRE"))</f>
        <v/>
      </c>
    </row>
    <row r="631" ht="26.4" customHeight="1" s="183">
      <c r="C631" s="11" t="inlineStr">
        <is>
          <t>C5θ</t>
        </is>
      </c>
      <c r="D631" s="12" t="inlineStr">
        <is>
          <t>U5θ</t>
        </is>
      </c>
      <c r="E631" s="187" t="inlineStr">
        <is>
          <t>=</t>
        </is>
      </c>
      <c r="F631" s="13">
        <f>IF(ISNUMBER(Q46), Q46, 0)</f>
        <v/>
      </c>
      <c r="G631" s="12" t="inlineStr">
        <is>
          <t>U5θ</t>
        </is>
      </c>
      <c r="I631" s="11" t="inlineStr">
        <is>
          <t>D5θ</t>
        </is>
      </c>
      <c r="J631" s="12" t="inlineStr">
        <is>
          <t>U5θ</t>
        </is>
      </c>
      <c r="K631" s="187" t="inlineStr">
        <is>
          <t>=</t>
        </is>
      </c>
      <c r="L631" s="14">
        <f>IF(I46="","", IF(I46=0, 0, I631))</f>
        <v/>
      </c>
      <c r="M631" s="12" t="inlineStr">
        <is>
          <t>U5θ</t>
        </is>
      </c>
      <c r="O631" s="186">
        <f>IF(OR($G$7=0, 5&gt;$G$7), "RESTRINGIDO", IF(ISNUMBER(L631), IF(L631=0, "RESTRINGIDO", "LIBRE"), "LIBRE"))</f>
        <v/>
      </c>
    </row>
    <row r="632" ht="26.4" customHeight="1" s="183">
      <c r="C632" s="11" t="inlineStr">
        <is>
          <t>C6X</t>
        </is>
      </c>
      <c r="D632" s="12" t="inlineStr">
        <is>
          <t>U6X</t>
        </is>
      </c>
      <c r="E632" s="187" t="inlineStr">
        <is>
          <t>=</t>
        </is>
      </c>
      <c r="F632" s="13">
        <f>IF(ISNUMBER(O47), O47, 0)</f>
        <v/>
      </c>
      <c r="G632" s="12" t="inlineStr">
        <is>
          <t>U6X</t>
        </is>
      </c>
      <c r="I632" s="11" t="inlineStr">
        <is>
          <t>D6X</t>
        </is>
      </c>
      <c r="J632" s="12" t="inlineStr">
        <is>
          <t>U6X</t>
        </is>
      </c>
      <c r="K632" s="187" t="inlineStr">
        <is>
          <t>=</t>
        </is>
      </c>
      <c r="L632" s="14">
        <f>IF(G47="","", IF(G47=0, 0, I632))</f>
        <v/>
      </c>
      <c r="M632" s="12" t="inlineStr">
        <is>
          <t>U6X</t>
        </is>
      </c>
      <c r="O632" s="186">
        <f>IF(OR($G$7=0, 6&gt;$G$7), "RESTRINGIDO", IF(ISNUMBER(L632), IF(L632=0, "RESTRINGIDO", "LIBRE"), "LIBRE"))</f>
        <v/>
      </c>
    </row>
    <row r="633" ht="26.4" customHeight="1" s="183">
      <c r="C633" s="11" t="inlineStr">
        <is>
          <t>C6Y</t>
        </is>
      </c>
      <c r="D633" s="12" t="inlineStr">
        <is>
          <t>U6Y</t>
        </is>
      </c>
      <c r="E633" s="187" t="inlineStr">
        <is>
          <t>=</t>
        </is>
      </c>
      <c r="F633" s="13">
        <f>IF(ISNUMBER(P47), P47, 0)</f>
        <v/>
      </c>
      <c r="G633" s="12" t="inlineStr">
        <is>
          <t>U6Y</t>
        </is>
      </c>
      <c r="I633" s="11" t="inlineStr">
        <is>
          <t>D6Y</t>
        </is>
      </c>
      <c r="J633" s="12" t="inlineStr">
        <is>
          <t>U6Y</t>
        </is>
      </c>
      <c r="K633" s="187" t="inlineStr">
        <is>
          <t>=</t>
        </is>
      </c>
      <c r="L633" s="14">
        <f>IF(H47="","", IF(H47=0, 0, I633))</f>
        <v/>
      </c>
      <c r="M633" s="12" t="inlineStr">
        <is>
          <t>U6Y</t>
        </is>
      </c>
      <c r="O633" s="186">
        <f>IF(OR($G$7=0, 6&gt;$G$7), "RESTRINGIDO", IF(ISNUMBER(L633), IF(L633=0, "RESTRINGIDO", "LIBRE"), "LIBRE"))</f>
        <v/>
      </c>
    </row>
    <row r="634" ht="26.4" customHeight="1" s="183">
      <c r="C634" s="11" t="inlineStr">
        <is>
          <t>C6θ</t>
        </is>
      </c>
      <c r="D634" s="12" t="inlineStr">
        <is>
          <t>U6θ</t>
        </is>
      </c>
      <c r="E634" s="187" t="inlineStr">
        <is>
          <t>=</t>
        </is>
      </c>
      <c r="F634" s="13">
        <f>IF(ISNUMBER(Q47), Q47, 0)</f>
        <v/>
      </c>
      <c r="G634" s="12" t="inlineStr">
        <is>
          <t>U6θ</t>
        </is>
      </c>
      <c r="I634" s="11" t="inlineStr">
        <is>
          <t>D6θ</t>
        </is>
      </c>
      <c r="J634" s="12" t="inlineStr">
        <is>
          <t>U6θ</t>
        </is>
      </c>
      <c r="K634" s="187" t="inlineStr">
        <is>
          <t>=</t>
        </is>
      </c>
      <c r="L634" s="14">
        <f>IF(I47="","", IF(I47=0, 0, I634))</f>
        <v/>
      </c>
      <c r="M634" s="12" t="inlineStr">
        <is>
          <t>U6θ</t>
        </is>
      </c>
      <c r="O634" s="186">
        <f>IF(OR($G$7=0, 6&gt;$G$7), "RESTRINGIDO", IF(ISNUMBER(L634), IF(L634=0, "RESTRINGIDO", "LIBRE"), "LIBRE"))</f>
        <v/>
      </c>
    </row>
    <row r="635" ht="26.4" customHeight="1" s="183">
      <c r="C635" s="11" t="inlineStr">
        <is>
          <t>C7X</t>
        </is>
      </c>
      <c r="D635" s="12" t="inlineStr">
        <is>
          <t>U7X</t>
        </is>
      </c>
      <c r="E635" s="187" t="inlineStr">
        <is>
          <t>=</t>
        </is>
      </c>
      <c r="F635" s="13">
        <f>IF(ISNUMBER(O48), O48, 0)</f>
        <v/>
      </c>
      <c r="G635" s="12" t="inlineStr">
        <is>
          <t>U7X</t>
        </is>
      </c>
      <c r="I635" s="11" t="inlineStr">
        <is>
          <t>D7X</t>
        </is>
      </c>
      <c r="J635" s="12" t="inlineStr">
        <is>
          <t>U7X</t>
        </is>
      </c>
      <c r="K635" s="187" t="inlineStr">
        <is>
          <t>=</t>
        </is>
      </c>
      <c r="L635" s="14">
        <f>IF(G48="","", IF(G48=0, 0, I635))</f>
        <v/>
      </c>
      <c r="M635" s="12" t="inlineStr">
        <is>
          <t>U7X</t>
        </is>
      </c>
      <c r="O635" s="186">
        <f>IF(OR($G$7=0, 7&gt;$G$7), "RESTRINGIDO", IF(ISNUMBER(L635), IF(L635=0, "RESTRINGIDO", "LIBRE"), "LIBRE"))</f>
        <v/>
      </c>
    </row>
    <row r="636" ht="26.4" customHeight="1" s="183">
      <c r="C636" s="11" t="inlineStr">
        <is>
          <t>C7Y</t>
        </is>
      </c>
      <c r="D636" s="12" t="inlineStr">
        <is>
          <t>U7Y</t>
        </is>
      </c>
      <c r="E636" s="187" t="inlineStr">
        <is>
          <t>=</t>
        </is>
      </c>
      <c r="F636" s="13">
        <f>IF(ISNUMBER(P48), P48, 0)</f>
        <v/>
      </c>
      <c r="G636" s="12" t="inlineStr">
        <is>
          <t>U7Y</t>
        </is>
      </c>
      <c r="I636" s="11" t="inlineStr">
        <is>
          <t>D7Y</t>
        </is>
      </c>
      <c r="J636" s="12" t="inlineStr">
        <is>
          <t>U7Y</t>
        </is>
      </c>
      <c r="K636" s="187" t="inlineStr">
        <is>
          <t>=</t>
        </is>
      </c>
      <c r="L636" s="14">
        <f>IF(H48="","", IF(H48=0, 0, I636))</f>
        <v/>
      </c>
      <c r="M636" s="12" t="inlineStr">
        <is>
          <t>U7Y</t>
        </is>
      </c>
      <c r="O636" s="186">
        <f>IF(OR($G$7=0, 7&gt;$G$7), "RESTRINGIDO", IF(ISNUMBER(L636), IF(L636=0, "RESTRINGIDO", "LIBRE"), "LIBRE"))</f>
        <v/>
      </c>
    </row>
    <row r="637" ht="26.4" customHeight="1" s="183">
      <c r="C637" s="11" t="inlineStr">
        <is>
          <t>C7θ</t>
        </is>
      </c>
      <c r="D637" s="12" t="inlineStr">
        <is>
          <t>U7θ</t>
        </is>
      </c>
      <c r="E637" s="187" t="inlineStr">
        <is>
          <t>=</t>
        </is>
      </c>
      <c r="F637" s="13">
        <f>IF(ISNUMBER(Q48), Q48, 0)</f>
        <v/>
      </c>
      <c r="G637" s="12" t="inlineStr">
        <is>
          <t>U7θ</t>
        </is>
      </c>
      <c r="I637" s="11" t="inlineStr">
        <is>
          <t>D7θ</t>
        </is>
      </c>
      <c r="J637" s="12" t="inlineStr">
        <is>
          <t>U7θ</t>
        </is>
      </c>
      <c r="K637" s="187" t="inlineStr">
        <is>
          <t>=</t>
        </is>
      </c>
      <c r="L637" s="14">
        <f>IF(I48="","", IF(I48=0, 0, I637))</f>
        <v/>
      </c>
      <c r="M637" s="12" t="inlineStr">
        <is>
          <t>U7θ</t>
        </is>
      </c>
      <c r="O637" s="186">
        <f>IF(OR($G$7=0, 7&gt;$G$7), "RESTRINGIDO", IF(ISNUMBER(L637), IF(L637=0, "RESTRINGIDO", "LIBRE"), "LIBRE"))</f>
        <v/>
      </c>
    </row>
    <row r="638" ht="26.4" customHeight="1" s="183">
      <c r="C638" s="11" t="inlineStr">
        <is>
          <t>C8X</t>
        </is>
      </c>
      <c r="D638" s="12" t="inlineStr">
        <is>
          <t>U8X</t>
        </is>
      </c>
      <c r="E638" s="187" t="inlineStr">
        <is>
          <t>=</t>
        </is>
      </c>
      <c r="F638" s="13">
        <f>IF(ISNUMBER(O49), O49, 0)</f>
        <v/>
      </c>
      <c r="G638" s="12" t="inlineStr">
        <is>
          <t>U8X</t>
        </is>
      </c>
      <c r="I638" s="11" t="inlineStr">
        <is>
          <t>D8X</t>
        </is>
      </c>
      <c r="J638" s="12" t="inlineStr">
        <is>
          <t>U8X</t>
        </is>
      </c>
      <c r="K638" s="187" t="inlineStr">
        <is>
          <t>=</t>
        </is>
      </c>
      <c r="L638" s="14">
        <f>IF(G49="","", IF(G49=0, 0, I638))</f>
        <v/>
      </c>
      <c r="M638" s="12" t="inlineStr">
        <is>
          <t>U8X</t>
        </is>
      </c>
      <c r="O638" s="186">
        <f>IF(OR($G$7=0, 8&gt;$G$7), "RESTRINGIDO", IF(ISNUMBER(L638), IF(L638=0, "RESTRINGIDO", "LIBRE"), "LIBRE"))</f>
        <v/>
      </c>
    </row>
    <row r="639" ht="26.4" customHeight="1" s="183">
      <c r="C639" s="11" t="inlineStr">
        <is>
          <t>C8Y</t>
        </is>
      </c>
      <c r="D639" s="12" t="inlineStr">
        <is>
          <t>U8Y</t>
        </is>
      </c>
      <c r="E639" s="187" t="inlineStr">
        <is>
          <t>=</t>
        </is>
      </c>
      <c r="F639" s="13">
        <f>IF(ISNUMBER(P49), P49, 0)</f>
        <v/>
      </c>
      <c r="G639" s="12" t="inlineStr">
        <is>
          <t>U8Y</t>
        </is>
      </c>
      <c r="I639" s="11" t="inlineStr">
        <is>
          <t>D8Y</t>
        </is>
      </c>
      <c r="J639" s="12" t="inlineStr">
        <is>
          <t>U8Y</t>
        </is>
      </c>
      <c r="K639" s="187" t="inlineStr">
        <is>
          <t>=</t>
        </is>
      </c>
      <c r="L639" s="14">
        <f>IF(H49="","", IF(H49=0, 0, I639))</f>
        <v/>
      </c>
      <c r="M639" s="12" t="inlineStr">
        <is>
          <t>U8Y</t>
        </is>
      </c>
      <c r="O639" s="186">
        <f>IF(OR($G$7=0, 8&gt;$G$7), "RESTRINGIDO", IF(ISNUMBER(L639), IF(L639=0, "RESTRINGIDO", "LIBRE"), "LIBRE"))</f>
        <v/>
      </c>
    </row>
    <row r="640" ht="26.4" customHeight="1" s="183">
      <c r="C640" s="11" t="inlineStr">
        <is>
          <t>C8θ</t>
        </is>
      </c>
      <c r="D640" s="12" t="inlineStr">
        <is>
          <t>U8θ</t>
        </is>
      </c>
      <c r="E640" s="187" t="inlineStr">
        <is>
          <t>=</t>
        </is>
      </c>
      <c r="F640" s="13">
        <f>IF(ISNUMBER(Q49), Q49, 0)</f>
        <v/>
      </c>
      <c r="G640" s="12" t="inlineStr">
        <is>
          <t>U8θ</t>
        </is>
      </c>
      <c r="I640" s="11" t="inlineStr">
        <is>
          <t>D8θ</t>
        </is>
      </c>
      <c r="J640" s="12" t="inlineStr">
        <is>
          <t>U8θ</t>
        </is>
      </c>
      <c r="K640" s="187" t="inlineStr">
        <is>
          <t>=</t>
        </is>
      </c>
      <c r="L640" s="14">
        <f>IF(I49="","", IF(I49=0, 0, I640))</f>
        <v/>
      </c>
      <c r="M640" s="12" t="inlineStr">
        <is>
          <t>U8θ</t>
        </is>
      </c>
      <c r="O640" s="186">
        <f>IF(OR($G$7=0, 8&gt;$G$7), "RESTRINGIDO", IF(ISNUMBER(L640), IF(L640=0, "RESTRINGIDO", "LIBRE"), "LIBRE"))</f>
        <v/>
      </c>
    </row>
    <row r="641" ht="26.4" customHeight="1" s="183">
      <c r="C641" s="11" t="inlineStr">
        <is>
          <t>C9X</t>
        </is>
      </c>
      <c r="D641" s="12" t="inlineStr">
        <is>
          <t>U9X</t>
        </is>
      </c>
      <c r="E641" s="187" t="inlineStr">
        <is>
          <t>=</t>
        </is>
      </c>
      <c r="F641" s="13">
        <f>IF(ISNUMBER(O50), O50, 0)</f>
        <v/>
      </c>
      <c r="G641" s="12" t="inlineStr">
        <is>
          <t>U9X</t>
        </is>
      </c>
      <c r="I641" s="11" t="inlineStr">
        <is>
          <t>D9X</t>
        </is>
      </c>
      <c r="J641" s="12" t="inlineStr">
        <is>
          <t>U9X</t>
        </is>
      </c>
      <c r="K641" s="187" t="inlineStr">
        <is>
          <t>=</t>
        </is>
      </c>
      <c r="L641" s="14">
        <f>IF(G50="","", IF(G50=0, 0, I641))</f>
        <v/>
      </c>
      <c r="M641" s="12" t="inlineStr">
        <is>
          <t>U9X</t>
        </is>
      </c>
      <c r="O641" s="186">
        <f>IF(OR($G$7=0, 9&gt;$G$7), "RESTRINGIDO", IF(ISNUMBER(L641), IF(L641=0, "RESTRINGIDO", "LIBRE"), "LIBRE"))</f>
        <v/>
      </c>
    </row>
    <row r="642" ht="26.4" customHeight="1" s="183">
      <c r="C642" s="11" t="inlineStr">
        <is>
          <t>C9Y</t>
        </is>
      </c>
      <c r="D642" s="12" t="inlineStr">
        <is>
          <t>U9Y</t>
        </is>
      </c>
      <c r="E642" s="187" t="inlineStr">
        <is>
          <t>=</t>
        </is>
      </c>
      <c r="F642" s="13">
        <f>IF(ISNUMBER(P50), P50, 0)</f>
        <v/>
      </c>
      <c r="G642" s="12" t="inlineStr">
        <is>
          <t>U9Y</t>
        </is>
      </c>
      <c r="I642" s="11" t="inlineStr">
        <is>
          <t>D9Y</t>
        </is>
      </c>
      <c r="J642" s="12" t="inlineStr">
        <is>
          <t>U9Y</t>
        </is>
      </c>
      <c r="K642" s="187" t="inlineStr">
        <is>
          <t>=</t>
        </is>
      </c>
      <c r="L642" s="14">
        <f>IF(H50="","", IF(H50=0, 0, I642))</f>
        <v/>
      </c>
      <c r="M642" s="12" t="inlineStr">
        <is>
          <t>U9Y</t>
        </is>
      </c>
      <c r="O642" s="186">
        <f>IF(OR($G$7=0, 9&gt;$G$7), "RESTRINGIDO", IF(ISNUMBER(L642), IF(L642=0, "RESTRINGIDO", "LIBRE"), "LIBRE"))</f>
        <v/>
      </c>
    </row>
    <row r="643" ht="26.4" customHeight="1" s="183">
      <c r="C643" s="11" t="inlineStr">
        <is>
          <t>C9θ</t>
        </is>
      </c>
      <c r="D643" s="12" t="inlineStr">
        <is>
          <t>U9θ</t>
        </is>
      </c>
      <c r="E643" s="187" t="inlineStr">
        <is>
          <t>=</t>
        </is>
      </c>
      <c r="F643" s="13">
        <f>IF(ISNUMBER(Q50), Q50, 0)</f>
        <v/>
      </c>
      <c r="G643" s="12" t="inlineStr">
        <is>
          <t>U9θ</t>
        </is>
      </c>
      <c r="I643" s="11" t="inlineStr">
        <is>
          <t>D9θ</t>
        </is>
      </c>
      <c r="J643" s="12" t="inlineStr">
        <is>
          <t>U9θ</t>
        </is>
      </c>
      <c r="K643" s="187" t="inlineStr">
        <is>
          <t>=</t>
        </is>
      </c>
      <c r="L643" s="14">
        <f>IF(I50="","", IF(I50=0, 0, I643))</f>
        <v/>
      </c>
      <c r="M643" s="12" t="inlineStr">
        <is>
          <t>U9θ</t>
        </is>
      </c>
      <c r="O643" s="186">
        <f>IF(OR($G$7=0, 9&gt;$G$7), "RESTRINGIDO", IF(ISNUMBER(L643), IF(L643=0, "RESTRINGIDO", "LIBRE"), "LIBRE"))</f>
        <v/>
      </c>
    </row>
    <row r="644" ht="26.4" customHeight="1" s="183">
      <c r="C644" s="11" t="inlineStr">
        <is>
          <t>C10X</t>
        </is>
      </c>
      <c r="D644" s="12" t="inlineStr">
        <is>
          <t>U10X</t>
        </is>
      </c>
      <c r="E644" s="187" t="inlineStr">
        <is>
          <t>=</t>
        </is>
      </c>
      <c r="F644" s="13">
        <f>IF(ISNUMBER(O51), O51, 0)</f>
        <v/>
      </c>
      <c r="G644" s="12" t="inlineStr">
        <is>
          <t>U10X</t>
        </is>
      </c>
      <c r="I644" s="11" t="inlineStr">
        <is>
          <t>D10X</t>
        </is>
      </c>
      <c r="J644" s="12" t="inlineStr">
        <is>
          <t>U10X</t>
        </is>
      </c>
      <c r="K644" s="187" t="inlineStr">
        <is>
          <t>=</t>
        </is>
      </c>
      <c r="L644" s="14">
        <f>IF(G51="","", IF(G51=0, 0, I644))</f>
        <v/>
      </c>
      <c r="M644" s="12" t="inlineStr">
        <is>
          <t>U10X</t>
        </is>
      </c>
      <c r="O644" s="186">
        <f>IF(OR($G$7=0, 10&gt;$G$7), "RESTRINGIDO", IF(ISNUMBER(L644), IF(L644=0, "RESTRINGIDO", "LIBRE"), "LIBRE"))</f>
        <v/>
      </c>
    </row>
    <row r="645" ht="26.4" customHeight="1" s="183">
      <c r="C645" s="11" t="inlineStr">
        <is>
          <t>C10Y</t>
        </is>
      </c>
      <c r="D645" s="12" t="inlineStr">
        <is>
          <t>U10Y</t>
        </is>
      </c>
      <c r="E645" s="187" t="inlineStr">
        <is>
          <t>=</t>
        </is>
      </c>
      <c r="F645" s="13">
        <f>IF(ISNUMBER(P51), P51, 0)</f>
        <v/>
      </c>
      <c r="G645" s="12" t="inlineStr">
        <is>
          <t>U10Y</t>
        </is>
      </c>
      <c r="I645" s="11" t="inlineStr">
        <is>
          <t>D10Y</t>
        </is>
      </c>
      <c r="J645" s="12" t="inlineStr">
        <is>
          <t>U10Y</t>
        </is>
      </c>
      <c r="K645" s="187" t="inlineStr">
        <is>
          <t>=</t>
        </is>
      </c>
      <c r="L645" s="14">
        <f>IF(H51="","", IF(H51=0, 0, I645))</f>
        <v/>
      </c>
      <c r="M645" s="12" t="inlineStr">
        <is>
          <t>U10Y</t>
        </is>
      </c>
      <c r="O645" s="186">
        <f>IF(OR($G$7=0, 10&gt;$G$7), "RESTRINGIDO", IF(ISNUMBER(L645), IF(L645=0, "RESTRINGIDO", "LIBRE"), "LIBRE"))</f>
        <v/>
      </c>
    </row>
    <row r="646" ht="26.4" customHeight="1" s="183">
      <c r="C646" s="11" t="inlineStr">
        <is>
          <t>C10θ</t>
        </is>
      </c>
      <c r="D646" s="12" t="inlineStr">
        <is>
          <t>U10θ</t>
        </is>
      </c>
      <c r="E646" s="187" t="inlineStr">
        <is>
          <t>=</t>
        </is>
      </c>
      <c r="F646" s="13">
        <f>IF(ISNUMBER(Q51), Q51, 0)</f>
        <v/>
      </c>
      <c r="G646" s="12" t="inlineStr">
        <is>
          <t>U10θ</t>
        </is>
      </c>
      <c r="I646" s="11" t="inlineStr">
        <is>
          <t>D10θ</t>
        </is>
      </c>
      <c r="J646" s="12" t="inlineStr">
        <is>
          <t>U10θ</t>
        </is>
      </c>
      <c r="K646" s="187" t="inlineStr">
        <is>
          <t>=</t>
        </is>
      </c>
      <c r="L646" s="14">
        <f>IF(I51="","", IF(I51=0, 0, I646))</f>
        <v/>
      </c>
      <c r="M646" s="12" t="inlineStr">
        <is>
          <t>U10θ</t>
        </is>
      </c>
      <c r="O646" s="186">
        <f>IF(OR($G$7=0, 10&gt;$G$7), "RESTRINGIDO", IF(ISNUMBER(L646), IF(L646=0, "RESTRINGIDO", "LIBRE"), "LIBRE"))</f>
        <v/>
      </c>
    </row>
    <row r="647" ht="26.4" customHeight="1" s="183">
      <c r="C647" s="11" t="inlineStr">
        <is>
          <t>C11X</t>
        </is>
      </c>
      <c r="D647" s="12" t="inlineStr">
        <is>
          <t>U11X</t>
        </is>
      </c>
      <c r="E647" s="187" t="inlineStr">
        <is>
          <t>=</t>
        </is>
      </c>
      <c r="F647" s="13">
        <f>IF(ISNUMBER(O52), O52, 0)</f>
        <v/>
      </c>
      <c r="G647" s="12" t="inlineStr">
        <is>
          <t>U11X</t>
        </is>
      </c>
      <c r="I647" s="11" t="inlineStr">
        <is>
          <t>D11X</t>
        </is>
      </c>
      <c r="J647" s="12" t="inlineStr">
        <is>
          <t>U11X</t>
        </is>
      </c>
      <c r="K647" s="187" t="inlineStr">
        <is>
          <t>=</t>
        </is>
      </c>
      <c r="L647" s="14">
        <f>IF(G52="","", IF(G52=0, 0, I647))</f>
        <v/>
      </c>
      <c r="M647" s="12" t="inlineStr">
        <is>
          <t>U11X</t>
        </is>
      </c>
      <c r="O647" s="186">
        <f>IF(OR($G$7=0, 11&gt;$G$7), "RESTRINGIDO", IF(ISNUMBER(L647), IF(L647=0, "RESTRINGIDO", "LIBRE"), "LIBRE"))</f>
        <v/>
      </c>
    </row>
    <row r="648" ht="26.4" customHeight="1" s="183">
      <c r="C648" s="11" t="inlineStr">
        <is>
          <t>C11Y</t>
        </is>
      </c>
      <c r="D648" s="12" t="inlineStr">
        <is>
          <t>U11Y</t>
        </is>
      </c>
      <c r="E648" s="187" t="inlineStr">
        <is>
          <t>=</t>
        </is>
      </c>
      <c r="F648" s="13">
        <f>IF(ISNUMBER(P52), P52, 0)</f>
        <v/>
      </c>
      <c r="G648" s="12" t="inlineStr">
        <is>
          <t>U11Y</t>
        </is>
      </c>
      <c r="I648" s="11" t="inlineStr">
        <is>
          <t>D11Y</t>
        </is>
      </c>
      <c r="J648" s="12" t="inlineStr">
        <is>
          <t>U11Y</t>
        </is>
      </c>
      <c r="K648" s="187" t="inlineStr">
        <is>
          <t>=</t>
        </is>
      </c>
      <c r="L648" s="14">
        <f>IF(H52="","", IF(H52=0, 0, I648))</f>
        <v/>
      </c>
      <c r="M648" s="12" t="inlineStr">
        <is>
          <t>U11Y</t>
        </is>
      </c>
      <c r="O648" s="186">
        <f>IF(OR($G$7=0, 11&gt;$G$7), "RESTRINGIDO", IF(ISNUMBER(L648), IF(L648=0, "RESTRINGIDO", "LIBRE"), "LIBRE"))</f>
        <v/>
      </c>
    </row>
    <row r="649" ht="26.4" customHeight="1" s="183">
      <c r="C649" s="11" t="inlineStr">
        <is>
          <t>C11θ</t>
        </is>
      </c>
      <c r="D649" s="12" t="inlineStr">
        <is>
          <t>U11θ</t>
        </is>
      </c>
      <c r="E649" s="187" t="inlineStr">
        <is>
          <t>=</t>
        </is>
      </c>
      <c r="F649" s="13">
        <f>IF(ISNUMBER(Q52), Q52, 0)</f>
        <v/>
      </c>
      <c r="G649" s="12" t="inlineStr">
        <is>
          <t>U11θ</t>
        </is>
      </c>
      <c r="I649" s="11" t="inlineStr">
        <is>
          <t>D11θ</t>
        </is>
      </c>
      <c r="J649" s="12" t="inlineStr">
        <is>
          <t>U11θ</t>
        </is>
      </c>
      <c r="K649" s="187" t="inlineStr">
        <is>
          <t>=</t>
        </is>
      </c>
      <c r="L649" s="14">
        <f>IF(I52="","", IF(I52=0, 0, I649))</f>
        <v/>
      </c>
      <c r="M649" s="12" t="inlineStr">
        <is>
          <t>U11θ</t>
        </is>
      </c>
      <c r="O649" s="186">
        <f>IF(OR($G$7=0, 11&gt;$G$7), "RESTRINGIDO", IF(ISNUMBER(L649), IF(L649=0, "RESTRINGIDO", "LIBRE"), "LIBRE"))</f>
        <v/>
      </c>
    </row>
    <row r="650" ht="26.4" customHeight="1" s="183">
      <c r="C650" s="11" t="inlineStr">
        <is>
          <t>C12X</t>
        </is>
      </c>
      <c r="D650" s="12" t="inlineStr">
        <is>
          <t>U12X</t>
        </is>
      </c>
      <c r="E650" s="187" t="inlineStr">
        <is>
          <t>=</t>
        </is>
      </c>
      <c r="F650" s="13">
        <f>IF(ISNUMBER(O53), O53, 0)</f>
        <v/>
      </c>
      <c r="G650" s="12" t="inlineStr">
        <is>
          <t>U12X</t>
        </is>
      </c>
      <c r="I650" s="11" t="inlineStr">
        <is>
          <t>D12X</t>
        </is>
      </c>
      <c r="J650" s="12" t="inlineStr">
        <is>
          <t>U12X</t>
        </is>
      </c>
      <c r="K650" s="187" t="inlineStr">
        <is>
          <t>=</t>
        </is>
      </c>
      <c r="L650" s="14">
        <f>IF(G53="","", IF(G53=0, 0, I650))</f>
        <v/>
      </c>
      <c r="M650" s="12" t="inlineStr">
        <is>
          <t>U12X</t>
        </is>
      </c>
      <c r="O650" s="186">
        <f>IF(OR($G$7=0, 12&gt;$G$7), "RESTRINGIDO", IF(ISNUMBER(L650), IF(L650=0, "RESTRINGIDO", "LIBRE"), "LIBRE"))</f>
        <v/>
      </c>
    </row>
    <row r="651" ht="26.4" customHeight="1" s="183">
      <c r="C651" s="11" t="inlineStr">
        <is>
          <t>C12Y</t>
        </is>
      </c>
      <c r="D651" s="12" t="inlineStr">
        <is>
          <t>U12Y</t>
        </is>
      </c>
      <c r="E651" s="187" t="inlineStr">
        <is>
          <t>=</t>
        </is>
      </c>
      <c r="F651" s="13">
        <f>IF(ISNUMBER(P53), P53, 0)</f>
        <v/>
      </c>
      <c r="G651" s="12" t="inlineStr">
        <is>
          <t>U12Y</t>
        </is>
      </c>
      <c r="I651" s="11" t="inlineStr">
        <is>
          <t>D12Y</t>
        </is>
      </c>
      <c r="J651" s="12" t="inlineStr">
        <is>
          <t>U12Y</t>
        </is>
      </c>
      <c r="K651" s="187" t="inlineStr">
        <is>
          <t>=</t>
        </is>
      </c>
      <c r="L651" s="14">
        <f>IF(H53="","", IF(H53=0, 0, I651))</f>
        <v/>
      </c>
      <c r="M651" s="12" t="inlineStr">
        <is>
          <t>U12Y</t>
        </is>
      </c>
      <c r="O651" s="186">
        <f>IF(OR($G$7=0, 12&gt;$G$7), "RESTRINGIDO", IF(ISNUMBER(L651), IF(L651=0, "RESTRINGIDO", "LIBRE"), "LIBRE"))</f>
        <v/>
      </c>
    </row>
    <row r="652" ht="26.4" customHeight="1" s="183">
      <c r="C652" s="11" t="inlineStr">
        <is>
          <t>C12θ</t>
        </is>
      </c>
      <c r="D652" s="12" t="inlineStr">
        <is>
          <t>U12θ</t>
        </is>
      </c>
      <c r="E652" s="187" t="inlineStr">
        <is>
          <t>=</t>
        </is>
      </c>
      <c r="F652" s="13">
        <f>IF(ISNUMBER(Q53), Q53, 0)</f>
        <v/>
      </c>
      <c r="G652" s="12" t="inlineStr">
        <is>
          <t>U12θ</t>
        </is>
      </c>
      <c r="I652" s="11" t="inlineStr">
        <is>
          <t>D12θ</t>
        </is>
      </c>
      <c r="J652" s="12" t="inlineStr">
        <is>
          <t>U12θ</t>
        </is>
      </c>
      <c r="K652" s="187" t="inlineStr">
        <is>
          <t>=</t>
        </is>
      </c>
      <c r="L652" s="14">
        <f>IF(I53="","", IF(I53=0, 0, I652))</f>
        <v/>
      </c>
      <c r="M652" s="12" t="inlineStr">
        <is>
          <t>U12θ</t>
        </is>
      </c>
      <c r="O652" s="186">
        <f>IF(OR($G$7=0, 12&gt;$G$7), "RESTRINGIDO", IF(ISNUMBER(L652), IF(L652=0, "RESTRINGIDO", "LIBRE"), "LIBRE"))</f>
        <v/>
      </c>
    </row>
    <row r="655">
      <c r="C655" s="53" t="inlineStr">
        <is>
          <t>ECUACION MATRICIAL DEL SISTEMA: {C} = [Kviga] * {D}</t>
        </is>
      </c>
      <c r="D655" s="190" t="n"/>
      <c r="E655" s="190" t="n"/>
      <c r="F655" s="190" t="n"/>
      <c r="G655" s="190" t="n"/>
      <c r="H655" s="190" t="n"/>
      <c r="I655" s="190" t="n"/>
      <c r="J655" s="190" t="n"/>
      <c r="K655" s="190" t="n"/>
      <c r="L655" s="190" t="n"/>
      <c r="M655" s="190" t="n"/>
      <c r="N655" s="190" t="n"/>
      <c r="O655" s="190" t="n"/>
      <c r="P655" s="190" t="n"/>
      <c r="Q655" s="190" t="n"/>
      <c r="R655" s="190" t="n"/>
      <c r="S655" s="190" t="n"/>
      <c r="T655" s="190" t="n"/>
      <c r="U655" s="190" t="n"/>
      <c r="V655" s="190" t="n"/>
      <c r="W655" s="190" t="n"/>
      <c r="X655" s="190" t="n"/>
      <c r="Y655" s="190" t="n"/>
      <c r="Z655" s="190" t="n"/>
      <c r="AA655" s="190" t="n"/>
      <c r="AB655" s="190" t="n"/>
      <c r="AC655" s="190" t="n"/>
      <c r="AD655" s="190" t="n"/>
      <c r="AE655" s="190" t="n"/>
      <c r="AF655" s="190" t="n"/>
      <c r="AG655" s="190" t="n"/>
      <c r="AH655" s="190" t="n"/>
      <c r="AI655" s="190" t="n"/>
      <c r="AJ655" s="190" t="n"/>
      <c r="AK655" s="190" t="n"/>
      <c r="AL655" s="191" t="n"/>
    </row>
    <row r="656">
      <c r="B656" s="189">
        <f>F617</f>
        <v/>
      </c>
      <c r="C656" s="118" t="inlineStr">
        <is>
          <t>=</t>
        </is>
      </c>
      <c r="D656" s="8">
        <f>C577</f>
        <v/>
      </c>
      <c r="E656" s="189">
        <f>D577</f>
        <v/>
      </c>
      <c r="F656" s="189">
        <f>E577</f>
        <v/>
      </c>
      <c r="G656" s="189">
        <f>F577</f>
        <v/>
      </c>
      <c r="H656" s="189">
        <f>G577</f>
        <v/>
      </c>
      <c r="I656" s="189">
        <f>H577</f>
        <v/>
      </c>
      <c r="J656" s="189">
        <f>I577</f>
        <v/>
      </c>
      <c r="K656" s="189">
        <f>J577</f>
        <v/>
      </c>
      <c r="L656" s="189">
        <f>K577</f>
        <v/>
      </c>
      <c r="M656" s="189">
        <f>L577</f>
        <v/>
      </c>
      <c r="N656" s="189">
        <f>M577</f>
        <v/>
      </c>
      <c r="O656" s="189">
        <f>N577</f>
        <v/>
      </c>
      <c r="P656" s="189">
        <f>O577</f>
        <v/>
      </c>
      <c r="Q656" s="189">
        <f>P577</f>
        <v/>
      </c>
      <c r="R656" s="189">
        <f>Q577</f>
        <v/>
      </c>
      <c r="S656" s="189">
        <f>R577</f>
        <v/>
      </c>
      <c r="T656" s="189">
        <f>S577</f>
        <v/>
      </c>
      <c r="U656" s="189">
        <f>T577</f>
        <v/>
      </c>
      <c r="V656" s="189">
        <f>U577</f>
        <v/>
      </c>
      <c r="W656" s="189">
        <f>V577</f>
        <v/>
      </c>
      <c r="X656" s="189">
        <f>W577</f>
        <v/>
      </c>
      <c r="Y656" s="189">
        <f>X577</f>
        <v/>
      </c>
      <c r="Z656" s="189">
        <f>Y577</f>
        <v/>
      </c>
      <c r="AA656" s="189">
        <f>Z577</f>
        <v/>
      </c>
      <c r="AB656" s="189">
        <f>AA577</f>
        <v/>
      </c>
      <c r="AC656" s="189">
        <f>AB577</f>
        <v/>
      </c>
      <c r="AD656" s="189">
        <f>AC577</f>
        <v/>
      </c>
      <c r="AE656" s="189">
        <f>AD577</f>
        <v/>
      </c>
      <c r="AF656" s="189">
        <f>AE577</f>
        <v/>
      </c>
      <c r="AG656" s="189">
        <f>AF577</f>
        <v/>
      </c>
      <c r="AH656" s="189">
        <f>AG577</f>
        <v/>
      </c>
      <c r="AI656" s="189">
        <f>AH577</f>
        <v/>
      </c>
      <c r="AJ656" s="189">
        <f>AI577</f>
        <v/>
      </c>
      <c r="AK656" s="189">
        <f>AJ577</f>
        <v/>
      </c>
      <c r="AL656" s="189">
        <f>AK577</f>
        <v/>
      </c>
      <c r="AM656" s="189">
        <f>AL577</f>
        <v/>
      </c>
      <c r="AU656" s="187">
        <f>L617</f>
        <v/>
      </c>
    </row>
    <row r="657">
      <c r="B657" s="189">
        <f>F618</f>
        <v/>
      </c>
      <c r="C657" s="118" t="inlineStr">
        <is>
          <t>=</t>
        </is>
      </c>
      <c r="D657" s="189">
        <f>C578</f>
        <v/>
      </c>
      <c r="E657" s="8">
        <f>D578</f>
        <v/>
      </c>
      <c r="F657" s="189">
        <f>E578</f>
        <v/>
      </c>
      <c r="G657" s="189">
        <f>F578</f>
        <v/>
      </c>
      <c r="H657" s="189">
        <f>G578</f>
        <v/>
      </c>
      <c r="I657" s="189">
        <f>H578</f>
        <v/>
      </c>
      <c r="J657" s="189">
        <f>I578</f>
        <v/>
      </c>
      <c r="K657" s="189">
        <f>J578</f>
        <v/>
      </c>
      <c r="L657" s="189">
        <f>K578</f>
        <v/>
      </c>
      <c r="M657" s="189">
        <f>L578</f>
        <v/>
      </c>
      <c r="N657" s="189">
        <f>M578</f>
        <v/>
      </c>
      <c r="O657" s="189">
        <f>N578</f>
        <v/>
      </c>
      <c r="P657" s="189">
        <f>O578</f>
        <v/>
      </c>
      <c r="Q657" s="189">
        <f>P578</f>
        <v/>
      </c>
      <c r="R657" s="189">
        <f>Q578</f>
        <v/>
      </c>
      <c r="S657" s="189">
        <f>R578</f>
        <v/>
      </c>
      <c r="T657" s="189">
        <f>S578</f>
        <v/>
      </c>
      <c r="U657" s="189">
        <f>T578</f>
        <v/>
      </c>
      <c r="V657" s="189">
        <f>U578</f>
        <v/>
      </c>
      <c r="W657" s="189">
        <f>V578</f>
        <v/>
      </c>
      <c r="X657" s="189">
        <f>W578</f>
        <v/>
      </c>
      <c r="Y657" s="189">
        <f>X578</f>
        <v/>
      </c>
      <c r="Z657" s="189">
        <f>Y578</f>
        <v/>
      </c>
      <c r="AA657" s="189">
        <f>Z578</f>
        <v/>
      </c>
      <c r="AB657" s="189">
        <f>AA578</f>
        <v/>
      </c>
      <c r="AC657" s="189">
        <f>AB578</f>
        <v/>
      </c>
      <c r="AD657" s="189">
        <f>AC578</f>
        <v/>
      </c>
      <c r="AE657" s="189">
        <f>AD578</f>
        <v/>
      </c>
      <c r="AF657" s="189">
        <f>AE578</f>
        <v/>
      </c>
      <c r="AG657" s="189">
        <f>AF578</f>
        <v/>
      </c>
      <c r="AH657" s="189">
        <f>AG578</f>
        <v/>
      </c>
      <c r="AI657" s="189">
        <f>AH578</f>
        <v/>
      </c>
      <c r="AJ657" s="189">
        <f>AI578</f>
        <v/>
      </c>
      <c r="AK657" s="189">
        <f>AJ578</f>
        <v/>
      </c>
      <c r="AL657" s="189">
        <f>AK578</f>
        <v/>
      </c>
      <c r="AM657" s="189">
        <f>AL578</f>
        <v/>
      </c>
      <c r="AU657" s="187">
        <f>L618</f>
        <v/>
      </c>
    </row>
    <row r="658">
      <c r="B658" s="189">
        <f>F619</f>
        <v/>
      </c>
      <c r="C658" s="118" t="inlineStr">
        <is>
          <t>=</t>
        </is>
      </c>
      <c r="D658" s="189">
        <f>C579</f>
        <v/>
      </c>
      <c r="E658" s="189">
        <f>D579</f>
        <v/>
      </c>
      <c r="F658" s="8">
        <f>E579</f>
        <v/>
      </c>
      <c r="G658" s="189">
        <f>F579</f>
        <v/>
      </c>
      <c r="H658" s="189">
        <f>G579</f>
        <v/>
      </c>
      <c r="I658" s="189">
        <f>H579</f>
        <v/>
      </c>
      <c r="J658" s="189">
        <f>I579</f>
        <v/>
      </c>
      <c r="K658" s="189">
        <f>J579</f>
        <v/>
      </c>
      <c r="L658" s="189">
        <f>K579</f>
        <v/>
      </c>
      <c r="M658" s="189">
        <f>L579</f>
        <v/>
      </c>
      <c r="N658" s="189">
        <f>M579</f>
        <v/>
      </c>
      <c r="O658" s="189">
        <f>N579</f>
        <v/>
      </c>
      <c r="P658" s="189">
        <f>O579</f>
        <v/>
      </c>
      <c r="Q658" s="189">
        <f>P579</f>
        <v/>
      </c>
      <c r="R658" s="189">
        <f>Q579</f>
        <v/>
      </c>
      <c r="S658" s="189">
        <f>R579</f>
        <v/>
      </c>
      <c r="T658" s="189">
        <f>S579</f>
        <v/>
      </c>
      <c r="U658" s="189">
        <f>T579</f>
        <v/>
      </c>
      <c r="V658" s="189">
        <f>U579</f>
        <v/>
      </c>
      <c r="W658" s="189">
        <f>V579</f>
        <v/>
      </c>
      <c r="X658" s="189">
        <f>W579</f>
        <v/>
      </c>
      <c r="Y658" s="189">
        <f>X579</f>
        <v/>
      </c>
      <c r="Z658" s="189">
        <f>Y579</f>
        <v/>
      </c>
      <c r="AA658" s="189">
        <f>Z579</f>
        <v/>
      </c>
      <c r="AB658" s="189">
        <f>AA579</f>
        <v/>
      </c>
      <c r="AC658" s="189">
        <f>AB579</f>
        <v/>
      </c>
      <c r="AD658" s="189">
        <f>AC579</f>
        <v/>
      </c>
      <c r="AE658" s="189">
        <f>AD579</f>
        <v/>
      </c>
      <c r="AF658" s="189">
        <f>AE579</f>
        <v/>
      </c>
      <c r="AG658" s="189">
        <f>AF579</f>
        <v/>
      </c>
      <c r="AH658" s="189">
        <f>AG579</f>
        <v/>
      </c>
      <c r="AI658" s="189">
        <f>AH579</f>
        <v/>
      </c>
      <c r="AJ658" s="189">
        <f>AI579</f>
        <v/>
      </c>
      <c r="AK658" s="189">
        <f>AJ579</f>
        <v/>
      </c>
      <c r="AL658" s="189">
        <f>AK579</f>
        <v/>
      </c>
      <c r="AM658" s="189">
        <f>AL579</f>
        <v/>
      </c>
      <c r="AU658" s="187">
        <f>L619</f>
        <v/>
      </c>
    </row>
    <row r="659">
      <c r="B659" s="189">
        <f>F620</f>
        <v/>
      </c>
      <c r="C659" s="118" t="inlineStr">
        <is>
          <t>=</t>
        </is>
      </c>
      <c r="D659" s="189">
        <f>C580</f>
        <v/>
      </c>
      <c r="E659" s="189">
        <f>D580</f>
        <v/>
      </c>
      <c r="F659" s="189">
        <f>E580</f>
        <v/>
      </c>
      <c r="G659" s="8">
        <f>F580</f>
        <v/>
      </c>
      <c r="H659" s="189">
        <f>G580</f>
        <v/>
      </c>
      <c r="I659" s="189">
        <f>H580</f>
        <v/>
      </c>
      <c r="J659" s="189">
        <f>I580</f>
        <v/>
      </c>
      <c r="K659" s="189">
        <f>J580</f>
        <v/>
      </c>
      <c r="L659" s="189">
        <f>K580</f>
        <v/>
      </c>
      <c r="M659" s="189">
        <f>L580</f>
        <v/>
      </c>
      <c r="N659" s="189">
        <f>M580</f>
        <v/>
      </c>
      <c r="O659" s="189">
        <f>N580</f>
        <v/>
      </c>
      <c r="P659" s="189">
        <f>O580</f>
        <v/>
      </c>
      <c r="Q659" s="189">
        <f>P580</f>
        <v/>
      </c>
      <c r="R659" s="189">
        <f>Q580</f>
        <v/>
      </c>
      <c r="S659" s="189">
        <f>R580</f>
        <v/>
      </c>
      <c r="T659" s="189">
        <f>S580</f>
        <v/>
      </c>
      <c r="U659" s="189">
        <f>T580</f>
        <v/>
      </c>
      <c r="V659" s="189">
        <f>U580</f>
        <v/>
      </c>
      <c r="W659" s="189">
        <f>V580</f>
        <v/>
      </c>
      <c r="X659" s="189">
        <f>W580</f>
        <v/>
      </c>
      <c r="Y659" s="189">
        <f>X580</f>
        <v/>
      </c>
      <c r="Z659" s="189">
        <f>Y580</f>
        <v/>
      </c>
      <c r="AA659" s="189">
        <f>Z580</f>
        <v/>
      </c>
      <c r="AB659" s="189">
        <f>AA580</f>
        <v/>
      </c>
      <c r="AC659" s="189">
        <f>AB580</f>
        <v/>
      </c>
      <c r="AD659" s="189">
        <f>AC580</f>
        <v/>
      </c>
      <c r="AE659" s="189">
        <f>AD580</f>
        <v/>
      </c>
      <c r="AF659" s="189">
        <f>AE580</f>
        <v/>
      </c>
      <c r="AG659" s="189">
        <f>AF580</f>
        <v/>
      </c>
      <c r="AH659" s="189">
        <f>AG580</f>
        <v/>
      </c>
      <c r="AI659" s="189">
        <f>AH580</f>
        <v/>
      </c>
      <c r="AJ659" s="189">
        <f>AI580</f>
        <v/>
      </c>
      <c r="AK659" s="189">
        <f>AJ580</f>
        <v/>
      </c>
      <c r="AL659" s="189">
        <f>AK580</f>
        <v/>
      </c>
      <c r="AM659" s="189">
        <f>AL580</f>
        <v/>
      </c>
      <c r="AU659" s="187">
        <f>L620</f>
        <v/>
      </c>
    </row>
    <row r="660">
      <c r="B660" s="189">
        <f>F621</f>
        <v/>
      </c>
      <c r="C660" s="118" t="inlineStr">
        <is>
          <t>=</t>
        </is>
      </c>
      <c r="D660" s="189">
        <f>C581</f>
        <v/>
      </c>
      <c r="E660" s="189">
        <f>D581</f>
        <v/>
      </c>
      <c r="F660" s="189">
        <f>E581</f>
        <v/>
      </c>
      <c r="G660" s="189">
        <f>F581</f>
        <v/>
      </c>
      <c r="H660" s="8">
        <f>G581</f>
        <v/>
      </c>
      <c r="I660" s="189">
        <f>H581</f>
        <v/>
      </c>
      <c r="J660" s="189">
        <f>I581</f>
        <v/>
      </c>
      <c r="K660" s="189">
        <f>J581</f>
        <v/>
      </c>
      <c r="L660" s="189">
        <f>K581</f>
        <v/>
      </c>
      <c r="M660" s="189">
        <f>L581</f>
        <v/>
      </c>
      <c r="N660" s="189">
        <f>M581</f>
        <v/>
      </c>
      <c r="O660" s="189">
        <f>N581</f>
        <v/>
      </c>
      <c r="P660" s="189">
        <f>O581</f>
        <v/>
      </c>
      <c r="Q660" s="189">
        <f>P581</f>
        <v/>
      </c>
      <c r="R660" s="189">
        <f>Q581</f>
        <v/>
      </c>
      <c r="S660" s="189">
        <f>R581</f>
        <v/>
      </c>
      <c r="T660" s="189">
        <f>S581</f>
        <v/>
      </c>
      <c r="U660" s="189">
        <f>T581</f>
        <v/>
      </c>
      <c r="V660" s="189">
        <f>U581</f>
        <v/>
      </c>
      <c r="W660" s="189">
        <f>V581</f>
        <v/>
      </c>
      <c r="X660" s="189">
        <f>W581</f>
        <v/>
      </c>
      <c r="Y660" s="189">
        <f>X581</f>
        <v/>
      </c>
      <c r="Z660" s="189">
        <f>Y581</f>
        <v/>
      </c>
      <c r="AA660" s="189">
        <f>Z581</f>
        <v/>
      </c>
      <c r="AB660" s="189">
        <f>AA581</f>
        <v/>
      </c>
      <c r="AC660" s="189">
        <f>AB581</f>
        <v/>
      </c>
      <c r="AD660" s="189">
        <f>AC581</f>
        <v/>
      </c>
      <c r="AE660" s="189">
        <f>AD581</f>
        <v/>
      </c>
      <c r="AF660" s="189">
        <f>AE581</f>
        <v/>
      </c>
      <c r="AG660" s="189">
        <f>AF581</f>
        <v/>
      </c>
      <c r="AH660" s="189">
        <f>AG581</f>
        <v/>
      </c>
      <c r="AI660" s="189">
        <f>AH581</f>
        <v/>
      </c>
      <c r="AJ660" s="189">
        <f>AI581</f>
        <v/>
      </c>
      <c r="AK660" s="189">
        <f>AJ581</f>
        <v/>
      </c>
      <c r="AL660" s="189">
        <f>AK581</f>
        <v/>
      </c>
      <c r="AM660" s="189">
        <f>AL581</f>
        <v/>
      </c>
      <c r="AU660" s="187">
        <f>L621</f>
        <v/>
      </c>
    </row>
    <row r="661">
      <c r="B661" s="189">
        <f>F622</f>
        <v/>
      </c>
      <c r="C661" s="118" t="inlineStr">
        <is>
          <t>=</t>
        </is>
      </c>
      <c r="D661" s="189">
        <f>C582</f>
        <v/>
      </c>
      <c r="E661" s="189">
        <f>D582</f>
        <v/>
      </c>
      <c r="F661" s="189">
        <f>E582</f>
        <v/>
      </c>
      <c r="G661" s="189">
        <f>F582</f>
        <v/>
      </c>
      <c r="H661" s="189">
        <f>G582</f>
        <v/>
      </c>
      <c r="I661" s="8">
        <f>H582</f>
        <v/>
      </c>
      <c r="J661" s="189">
        <f>I582</f>
        <v/>
      </c>
      <c r="K661" s="189">
        <f>J582</f>
        <v/>
      </c>
      <c r="L661" s="189">
        <f>K582</f>
        <v/>
      </c>
      <c r="M661" s="189">
        <f>L582</f>
        <v/>
      </c>
      <c r="N661" s="189">
        <f>M582</f>
        <v/>
      </c>
      <c r="O661" s="189">
        <f>N582</f>
        <v/>
      </c>
      <c r="P661" s="189">
        <f>O582</f>
        <v/>
      </c>
      <c r="Q661" s="189">
        <f>P582</f>
        <v/>
      </c>
      <c r="R661" s="189">
        <f>Q582</f>
        <v/>
      </c>
      <c r="S661" s="189">
        <f>R582</f>
        <v/>
      </c>
      <c r="T661" s="189">
        <f>S582</f>
        <v/>
      </c>
      <c r="U661" s="189">
        <f>T582</f>
        <v/>
      </c>
      <c r="V661" s="189">
        <f>U582</f>
        <v/>
      </c>
      <c r="W661" s="189">
        <f>V582</f>
        <v/>
      </c>
      <c r="X661" s="189">
        <f>W582</f>
        <v/>
      </c>
      <c r="Y661" s="189">
        <f>X582</f>
        <v/>
      </c>
      <c r="Z661" s="189">
        <f>Y582</f>
        <v/>
      </c>
      <c r="AA661" s="189">
        <f>Z582</f>
        <v/>
      </c>
      <c r="AB661" s="189">
        <f>AA582</f>
        <v/>
      </c>
      <c r="AC661" s="189">
        <f>AB582</f>
        <v/>
      </c>
      <c r="AD661" s="189">
        <f>AC582</f>
        <v/>
      </c>
      <c r="AE661" s="189">
        <f>AD582</f>
        <v/>
      </c>
      <c r="AF661" s="189">
        <f>AE582</f>
        <v/>
      </c>
      <c r="AG661" s="189">
        <f>AF582</f>
        <v/>
      </c>
      <c r="AH661" s="189">
        <f>AG582</f>
        <v/>
      </c>
      <c r="AI661" s="189">
        <f>AH582</f>
        <v/>
      </c>
      <c r="AJ661" s="189">
        <f>AI582</f>
        <v/>
      </c>
      <c r="AK661" s="189">
        <f>AJ582</f>
        <v/>
      </c>
      <c r="AL661" s="189">
        <f>AK582</f>
        <v/>
      </c>
      <c r="AM661" s="189">
        <f>AL582</f>
        <v/>
      </c>
      <c r="AU661" s="187">
        <f>L622</f>
        <v/>
      </c>
    </row>
    <row r="662">
      <c r="B662" s="189">
        <f>F623</f>
        <v/>
      </c>
      <c r="C662" s="118" t="inlineStr">
        <is>
          <t>=</t>
        </is>
      </c>
      <c r="D662" s="189">
        <f>C583</f>
        <v/>
      </c>
      <c r="E662" s="189">
        <f>D583</f>
        <v/>
      </c>
      <c r="F662" s="189">
        <f>E583</f>
        <v/>
      </c>
      <c r="G662" s="189">
        <f>F583</f>
        <v/>
      </c>
      <c r="H662" s="189">
        <f>G583</f>
        <v/>
      </c>
      <c r="I662" s="189">
        <f>H583</f>
        <v/>
      </c>
      <c r="J662" s="8">
        <f>I583</f>
        <v/>
      </c>
      <c r="K662" s="189">
        <f>J583</f>
        <v/>
      </c>
      <c r="L662" s="189">
        <f>K583</f>
        <v/>
      </c>
      <c r="M662" s="189">
        <f>L583</f>
        <v/>
      </c>
      <c r="N662" s="189">
        <f>M583</f>
        <v/>
      </c>
      <c r="O662" s="189">
        <f>N583</f>
        <v/>
      </c>
      <c r="P662" s="189">
        <f>O583</f>
        <v/>
      </c>
      <c r="Q662" s="189">
        <f>P583</f>
        <v/>
      </c>
      <c r="R662" s="189">
        <f>Q583</f>
        <v/>
      </c>
      <c r="S662" s="189">
        <f>R583</f>
        <v/>
      </c>
      <c r="T662" s="189">
        <f>S583</f>
        <v/>
      </c>
      <c r="U662" s="189">
        <f>T583</f>
        <v/>
      </c>
      <c r="V662" s="189">
        <f>U583</f>
        <v/>
      </c>
      <c r="W662" s="189">
        <f>V583</f>
        <v/>
      </c>
      <c r="X662" s="189">
        <f>W583</f>
        <v/>
      </c>
      <c r="Y662" s="189">
        <f>X583</f>
        <v/>
      </c>
      <c r="Z662" s="189">
        <f>Y583</f>
        <v/>
      </c>
      <c r="AA662" s="189">
        <f>Z583</f>
        <v/>
      </c>
      <c r="AB662" s="189">
        <f>AA583</f>
        <v/>
      </c>
      <c r="AC662" s="189">
        <f>AB583</f>
        <v/>
      </c>
      <c r="AD662" s="189">
        <f>AC583</f>
        <v/>
      </c>
      <c r="AE662" s="189">
        <f>AD583</f>
        <v/>
      </c>
      <c r="AF662" s="189">
        <f>AE583</f>
        <v/>
      </c>
      <c r="AG662" s="189">
        <f>AF583</f>
        <v/>
      </c>
      <c r="AH662" s="189">
        <f>AG583</f>
        <v/>
      </c>
      <c r="AI662" s="189">
        <f>AH583</f>
        <v/>
      </c>
      <c r="AJ662" s="189">
        <f>AI583</f>
        <v/>
      </c>
      <c r="AK662" s="189">
        <f>AJ583</f>
        <v/>
      </c>
      <c r="AL662" s="189">
        <f>AK583</f>
        <v/>
      </c>
      <c r="AM662" s="189">
        <f>AL583</f>
        <v/>
      </c>
      <c r="AU662" s="187">
        <f>L623</f>
        <v/>
      </c>
    </row>
    <row r="663">
      <c r="B663" s="189">
        <f>F624</f>
        <v/>
      </c>
      <c r="C663" s="118" t="inlineStr">
        <is>
          <t>=</t>
        </is>
      </c>
      <c r="D663" s="189">
        <f>C584</f>
        <v/>
      </c>
      <c r="E663" s="189">
        <f>D584</f>
        <v/>
      </c>
      <c r="F663" s="189">
        <f>E584</f>
        <v/>
      </c>
      <c r="G663" s="189">
        <f>F584</f>
        <v/>
      </c>
      <c r="H663" s="189">
        <f>G584</f>
        <v/>
      </c>
      <c r="I663" s="189">
        <f>H584</f>
        <v/>
      </c>
      <c r="J663" s="189">
        <f>I584</f>
        <v/>
      </c>
      <c r="K663" s="8">
        <f>J584</f>
        <v/>
      </c>
      <c r="L663" s="189">
        <f>K584</f>
        <v/>
      </c>
      <c r="M663" s="189">
        <f>L584</f>
        <v/>
      </c>
      <c r="N663" s="189">
        <f>M584</f>
        <v/>
      </c>
      <c r="O663" s="189">
        <f>N584</f>
        <v/>
      </c>
      <c r="P663" s="189">
        <f>O584</f>
        <v/>
      </c>
      <c r="Q663" s="189">
        <f>P584</f>
        <v/>
      </c>
      <c r="R663" s="189">
        <f>Q584</f>
        <v/>
      </c>
      <c r="S663" s="189">
        <f>R584</f>
        <v/>
      </c>
      <c r="T663" s="189">
        <f>S584</f>
        <v/>
      </c>
      <c r="U663" s="189">
        <f>T584</f>
        <v/>
      </c>
      <c r="V663" s="189">
        <f>U584</f>
        <v/>
      </c>
      <c r="W663" s="189">
        <f>V584</f>
        <v/>
      </c>
      <c r="X663" s="189">
        <f>W584</f>
        <v/>
      </c>
      <c r="Y663" s="189">
        <f>X584</f>
        <v/>
      </c>
      <c r="Z663" s="189">
        <f>Y584</f>
        <v/>
      </c>
      <c r="AA663" s="189">
        <f>Z584</f>
        <v/>
      </c>
      <c r="AB663" s="189">
        <f>AA584</f>
        <v/>
      </c>
      <c r="AC663" s="189">
        <f>AB584</f>
        <v/>
      </c>
      <c r="AD663" s="189">
        <f>AC584</f>
        <v/>
      </c>
      <c r="AE663" s="189">
        <f>AD584</f>
        <v/>
      </c>
      <c r="AF663" s="189">
        <f>AE584</f>
        <v/>
      </c>
      <c r="AG663" s="189">
        <f>AF584</f>
        <v/>
      </c>
      <c r="AH663" s="189">
        <f>AG584</f>
        <v/>
      </c>
      <c r="AI663" s="189">
        <f>AH584</f>
        <v/>
      </c>
      <c r="AJ663" s="189">
        <f>AI584</f>
        <v/>
      </c>
      <c r="AK663" s="189">
        <f>AJ584</f>
        <v/>
      </c>
      <c r="AL663" s="189">
        <f>AK584</f>
        <v/>
      </c>
      <c r="AM663" s="189">
        <f>AL584</f>
        <v/>
      </c>
      <c r="AU663" s="187">
        <f>L624</f>
        <v/>
      </c>
    </row>
    <row r="664">
      <c r="B664" s="189">
        <f>F625</f>
        <v/>
      </c>
      <c r="C664" s="118" t="inlineStr">
        <is>
          <t>=</t>
        </is>
      </c>
      <c r="D664" s="189">
        <f>C585</f>
        <v/>
      </c>
      <c r="E664" s="189">
        <f>D585</f>
        <v/>
      </c>
      <c r="F664" s="189">
        <f>E585</f>
        <v/>
      </c>
      <c r="G664" s="189">
        <f>F585</f>
        <v/>
      </c>
      <c r="H664" s="189">
        <f>G585</f>
        <v/>
      </c>
      <c r="I664" s="189">
        <f>H585</f>
        <v/>
      </c>
      <c r="J664" s="189">
        <f>I585</f>
        <v/>
      </c>
      <c r="K664" s="189">
        <f>J585</f>
        <v/>
      </c>
      <c r="L664" s="8">
        <f>K585</f>
        <v/>
      </c>
      <c r="M664" s="189">
        <f>L585</f>
        <v/>
      </c>
      <c r="N664" s="189">
        <f>M585</f>
        <v/>
      </c>
      <c r="O664" s="189">
        <f>N585</f>
        <v/>
      </c>
      <c r="P664" s="189">
        <f>O585</f>
        <v/>
      </c>
      <c r="Q664" s="189">
        <f>P585</f>
        <v/>
      </c>
      <c r="R664" s="189">
        <f>Q585</f>
        <v/>
      </c>
      <c r="S664" s="189">
        <f>R585</f>
        <v/>
      </c>
      <c r="T664" s="189">
        <f>S585</f>
        <v/>
      </c>
      <c r="U664" s="189">
        <f>T585</f>
        <v/>
      </c>
      <c r="V664" s="189">
        <f>U585</f>
        <v/>
      </c>
      <c r="W664" s="189">
        <f>V585</f>
        <v/>
      </c>
      <c r="X664" s="189">
        <f>W585</f>
        <v/>
      </c>
      <c r="Y664" s="189">
        <f>X585</f>
        <v/>
      </c>
      <c r="Z664" s="189">
        <f>Y585</f>
        <v/>
      </c>
      <c r="AA664" s="189">
        <f>Z585</f>
        <v/>
      </c>
      <c r="AB664" s="189">
        <f>AA585</f>
        <v/>
      </c>
      <c r="AC664" s="189">
        <f>AB585</f>
        <v/>
      </c>
      <c r="AD664" s="189">
        <f>AC585</f>
        <v/>
      </c>
      <c r="AE664" s="189">
        <f>AD585</f>
        <v/>
      </c>
      <c r="AF664" s="189">
        <f>AE585</f>
        <v/>
      </c>
      <c r="AG664" s="189">
        <f>AF585</f>
        <v/>
      </c>
      <c r="AH664" s="189">
        <f>AG585</f>
        <v/>
      </c>
      <c r="AI664" s="189">
        <f>AH585</f>
        <v/>
      </c>
      <c r="AJ664" s="189">
        <f>AI585</f>
        <v/>
      </c>
      <c r="AK664" s="189">
        <f>AJ585</f>
        <v/>
      </c>
      <c r="AL664" s="189">
        <f>AK585</f>
        <v/>
      </c>
      <c r="AM664" s="189">
        <f>AL585</f>
        <v/>
      </c>
      <c r="AU664" s="187">
        <f>L625</f>
        <v/>
      </c>
    </row>
    <row r="665">
      <c r="B665" s="189">
        <f>F626</f>
        <v/>
      </c>
      <c r="C665" s="118" t="inlineStr">
        <is>
          <t>=</t>
        </is>
      </c>
      <c r="D665" s="189">
        <f>C586</f>
        <v/>
      </c>
      <c r="E665" s="189">
        <f>D586</f>
        <v/>
      </c>
      <c r="F665" s="189">
        <f>E586</f>
        <v/>
      </c>
      <c r="G665" s="189">
        <f>F586</f>
        <v/>
      </c>
      <c r="H665" s="189">
        <f>G586</f>
        <v/>
      </c>
      <c r="I665" s="189">
        <f>H586</f>
        <v/>
      </c>
      <c r="J665" s="189">
        <f>I586</f>
        <v/>
      </c>
      <c r="K665" s="189">
        <f>J586</f>
        <v/>
      </c>
      <c r="L665" s="189">
        <f>K586</f>
        <v/>
      </c>
      <c r="M665" s="8">
        <f>L586</f>
        <v/>
      </c>
      <c r="N665" s="189">
        <f>M586</f>
        <v/>
      </c>
      <c r="O665" s="189">
        <f>N586</f>
        <v/>
      </c>
      <c r="P665" s="189">
        <f>O586</f>
        <v/>
      </c>
      <c r="Q665" s="189">
        <f>P586</f>
        <v/>
      </c>
      <c r="R665" s="189">
        <f>Q586</f>
        <v/>
      </c>
      <c r="S665" s="189">
        <f>R586</f>
        <v/>
      </c>
      <c r="T665" s="189">
        <f>S586</f>
        <v/>
      </c>
      <c r="U665" s="189">
        <f>T586</f>
        <v/>
      </c>
      <c r="V665" s="189">
        <f>U586</f>
        <v/>
      </c>
      <c r="W665" s="189">
        <f>V586</f>
        <v/>
      </c>
      <c r="X665" s="189">
        <f>W586</f>
        <v/>
      </c>
      <c r="Y665" s="189">
        <f>X586</f>
        <v/>
      </c>
      <c r="Z665" s="189">
        <f>Y586</f>
        <v/>
      </c>
      <c r="AA665" s="189">
        <f>Z586</f>
        <v/>
      </c>
      <c r="AB665" s="189">
        <f>AA586</f>
        <v/>
      </c>
      <c r="AC665" s="189">
        <f>AB586</f>
        <v/>
      </c>
      <c r="AD665" s="189">
        <f>AC586</f>
        <v/>
      </c>
      <c r="AE665" s="189">
        <f>AD586</f>
        <v/>
      </c>
      <c r="AF665" s="189">
        <f>AE586</f>
        <v/>
      </c>
      <c r="AG665" s="189">
        <f>AF586</f>
        <v/>
      </c>
      <c r="AH665" s="189">
        <f>AG586</f>
        <v/>
      </c>
      <c r="AI665" s="189">
        <f>AH586</f>
        <v/>
      </c>
      <c r="AJ665" s="189">
        <f>AI586</f>
        <v/>
      </c>
      <c r="AK665" s="189">
        <f>AJ586</f>
        <v/>
      </c>
      <c r="AL665" s="189">
        <f>AK586</f>
        <v/>
      </c>
      <c r="AM665" s="189">
        <f>AL586</f>
        <v/>
      </c>
      <c r="AU665" s="187">
        <f>L626</f>
        <v/>
      </c>
    </row>
    <row r="666">
      <c r="B666" s="189">
        <f>F627</f>
        <v/>
      </c>
      <c r="C666" s="118" t="inlineStr">
        <is>
          <t>=</t>
        </is>
      </c>
      <c r="D666" s="189">
        <f>C587</f>
        <v/>
      </c>
      <c r="E666" s="189">
        <f>D587</f>
        <v/>
      </c>
      <c r="F666" s="189">
        <f>E587</f>
        <v/>
      </c>
      <c r="G666" s="189">
        <f>F587</f>
        <v/>
      </c>
      <c r="H666" s="189">
        <f>G587</f>
        <v/>
      </c>
      <c r="I666" s="189">
        <f>H587</f>
        <v/>
      </c>
      <c r="J666" s="189">
        <f>I587</f>
        <v/>
      </c>
      <c r="K666" s="189">
        <f>J587</f>
        <v/>
      </c>
      <c r="L666" s="189">
        <f>K587</f>
        <v/>
      </c>
      <c r="M666" s="189">
        <f>L587</f>
        <v/>
      </c>
      <c r="N666" s="8">
        <f>M587</f>
        <v/>
      </c>
      <c r="O666" s="189">
        <f>N587</f>
        <v/>
      </c>
      <c r="P666" s="189">
        <f>O587</f>
        <v/>
      </c>
      <c r="Q666" s="189">
        <f>P587</f>
        <v/>
      </c>
      <c r="R666" s="189">
        <f>Q587</f>
        <v/>
      </c>
      <c r="S666" s="189">
        <f>R587</f>
        <v/>
      </c>
      <c r="T666" s="189">
        <f>S587</f>
        <v/>
      </c>
      <c r="U666" s="189">
        <f>T587</f>
        <v/>
      </c>
      <c r="V666" s="189">
        <f>U587</f>
        <v/>
      </c>
      <c r="W666" s="189">
        <f>V587</f>
        <v/>
      </c>
      <c r="X666" s="189">
        <f>W587</f>
        <v/>
      </c>
      <c r="Y666" s="189">
        <f>X587</f>
        <v/>
      </c>
      <c r="Z666" s="189">
        <f>Y587</f>
        <v/>
      </c>
      <c r="AA666" s="189">
        <f>Z587</f>
        <v/>
      </c>
      <c r="AB666" s="189">
        <f>AA587</f>
        <v/>
      </c>
      <c r="AC666" s="189">
        <f>AB587</f>
        <v/>
      </c>
      <c r="AD666" s="189">
        <f>AC587</f>
        <v/>
      </c>
      <c r="AE666" s="189">
        <f>AD587</f>
        <v/>
      </c>
      <c r="AF666" s="189">
        <f>AE587</f>
        <v/>
      </c>
      <c r="AG666" s="189">
        <f>AF587</f>
        <v/>
      </c>
      <c r="AH666" s="189">
        <f>AG587</f>
        <v/>
      </c>
      <c r="AI666" s="189">
        <f>AH587</f>
        <v/>
      </c>
      <c r="AJ666" s="189">
        <f>AI587</f>
        <v/>
      </c>
      <c r="AK666" s="189">
        <f>AJ587</f>
        <v/>
      </c>
      <c r="AL666" s="189">
        <f>AK587</f>
        <v/>
      </c>
      <c r="AM666" s="189">
        <f>AL587</f>
        <v/>
      </c>
      <c r="AU666" s="187">
        <f>L627</f>
        <v/>
      </c>
    </row>
    <row r="667">
      <c r="B667" s="189">
        <f>F628</f>
        <v/>
      </c>
      <c r="C667" s="118" t="inlineStr">
        <is>
          <t>=</t>
        </is>
      </c>
      <c r="D667" s="189">
        <f>C588</f>
        <v/>
      </c>
      <c r="E667" s="189">
        <f>D588</f>
        <v/>
      </c>
      <c r="F667" s="189">
        <f>E588</f>
        <v/>
      </c>
      <c r="G667" s="189">
        <f>F588</f>
        <v/>
      </c>
      <c r="H667" s="189">
        <f>G588</f>
        <v/>
      </c>
      <c r="I667" s="189">
        <f>H588</f>
        <v/>
      </c>
      <c r="J667" s="189">
        <f>I588</f>
        <v/>
      </c>
      <c r="K667" s="189">
        <f>J588</f>
        <v/>
      </c>
      <c r="L667" s="189">
        <f>K588</f>
        <v/>
      </c>
      <c r="M667" s="189">
        <f>L588</f>
        <v/>
      </c>
      <c r="N667" s="189">
        <f>M588</f>
        <v/>
      </c>
      <c r="O667" s="8">
        <f>N588</f>
        <v/>
      </c>
      <c r="P667" s="189">
        <f>O588</f>
        <v/>
      </c>
      <c r="Q667" s="189">
        <f>P588</f>
        <v/>
      </c>
      <c r="R667" s="189">
        <f>Q588</f>
        <v/>
      </c>
      <c r="S667" s="189">
        <f>R588</f>
        <v/>
      </c>
      <c r="T667" s="189">
        <f>S588</f>
        <v/>
      </c>
      <c r="U667" s="189">
        <f>T588</f>
        <v/>
      </c>
      <c r="V667" s="189">
        <f>U588</f>
        <v/>
      </c>
      <c r="W667" s="189">
        <f>V588</f>
        <v/>
      </c>
      <c r="X667" s="189">
        <f>W588</f>
        <v/>
      </c>
      <c r="Y667" s="189">
        <f>X588</f>
        <v/>
      </c>
      <c r="Z667" s="189">
        <f>Y588</f>
        <v/>
      </c>
      <c r="AA667" s="189">
        <f>Z588</f>
        <v/>
      </c>
      <c r="AB667" s="189">
        <f>AA588</f>
        <v/>
      </c>
      <c r="AC667" s="189">
        <f>AB588</f>
        <v/>
      </c>
      <c r="AD667" s="189">
        <f>AC588</f>
        <v/>
      </c>
      <c r="AE667" s="189">
        <f>AD588</f>
        <v/>
      </c>
      <c r="AF667" s="189">
        <f>AE588</f>
        <v/>
      </c>
      <c r="AG667" s="189">
        <f>AF588</f>
        <v/>
      </c>
      <c r="AH667" s="189">
        <f>AG588</f>
        <v/>
      </c>
      <c r="AI667" s="189">
        <f>AH588</f>
        <v/>
      </c>
      <c r="AJ667" s="189">
        <f>AI588</f>
        <v/>
      </c>
      <c r="AK667" s="189">
        <f>AJ588</f>
        <v/>
      </c>
      <c r="AL667" s="189">
        <f>AK588</f>
        <v/>
      </c>
      <c r="AM667" s="189">
        <f>AL588</f>
        <v/>
      </c>
      <c r="AU667" s="187">
        <f>L628</f>
        <v/>
      </c>
    </row>
    <row r="668">
      <c r="B668" s="189">
        <f>F629</f>
        <v/>
      </c>
      <c r="C668" s="118" t="inlineStr">
        <is>
          <t>=</t>
        </is>
      </c>
      <c r="D668" s="189">
        <f>C589</f>
        <v/>
      </c>
      <c r="E668" s="189">
        <f>D589</f>
        <v/>
      </c>
      <c r="F668" s="189">
        <f>E589</f>
        <v/>
      </c>
      <c r="G668" s="189">
        <f>F589</f>
        <v/>
      </c>
      <c r="H668" s="189">
        <f>G589</f>
        <v/>
      </c>
      <c r="I668" s="189">
        <f>H589</f>
        <v/>
      </c>
      <c r="J668" s="189">
        <f>I589</f>
        <v/>
      </c>
      <c r="K668" s="189">
        <f>J589</f>
        <v/>
      </c>
      <c r="L668" s="189">
        <f>K589</f>
        <v/>
      </c>
      <c r="M668" s="189">
        <f>L589</f>
        <v/>
      </c>
      <c r="N668" s="189">
        <f>M589</f>
        <v/>
      </c>
      <c r="O668" s="189">
        <f>N589</f>
        <v/>
      </c>
      <c r="P668" s="8">
        <f>O589</f>
        <v/>
      </c>
      <c r="Q668" s="189">
        <f>P589</f>
        <v/>
      </c>
      <c r="R668" s="189">
        <f>Q589</f>
        <v/>
      </c>
      <c r="S668" s="189">
        <f>R589</f>
        <v/>
      </c>
      <c r="T668" s="189">
        <f>S589</f>
        <v/>
      </c>
      <c r="U668" s="189">
        <f>T589</f>
        <v/>
      </c>
      <c r="V668" s="189">
        <f>U589</f>
        <v/>
      </c>
      <c r="W668" s="189">
        <f>V589</f>
        <v/>
      </c>
      <c r="X668" s="189">
        <f>W589</f>
        <v/>
      </c>
      <c r="Y668" s="189">
        <f>X589</f>
        <v/>
      </c>
      <c r="Z668" s="189">
        <f>Y589</f>
        <v/>
      </c>
      <c r="AA668" s="189">
        <f>Z589</f>
        <v/>
      </c>
      <c r="AB668" s="189">
        <f>AA589</f>
        <v/>
      </c>
      <c r="AC668" s="189">
        <f>AB589</f>
        <v/>
      </c>
      <c r="AD668" s="189">
        <f>AC589</f>
        <v/>
      </c>
      <c r="AE668" s="189">
        <f>AD589</f>
        <v/>
      </c>
      <c r="AF668" s="189">
        <f>AE589</f>
        <v/>
      </c>
      <c r="AG668" s="189">
        <f>AF589</f>
        <v/>
      </c>
      <c r="AH668" s="189">
        <f>AG589</f>
        <v/>
      </c>
      <c r="AI668" s="189">
        <f>AH589</f>
        <v/>
      </c>
      <c r="AJ668" s="189">
        <f>AI589</f>
        <v/>
      </c>
      <c r="AK668" s="189">
        <f>AJ589</f>
        <v/>
      </c>
      <c r="AL668" s="189">
        <f>AK589</f>
        <v/>
      </c>
      <c r="AM668" s="189">
        <f>AL589</f>
        <v/>
      </c>
      <c r="AU668" s="187">
        <f>L629</f>
        <v/>
      </c>
    </row>
    <row r="669">
      <c r="B669" s="189">
        <f>F630</f>
        <v/>
      </c>
      <c r="C669" s="118" t="inlineStr">
        <is>
          <t>=</t>
        </is>
      </c>
      <c r="D669" s="189">
        <f>C590</f>
        <v/>
      </c>
      <c r="E669" s="189">
        <f>D590</f>
        <v/>
      </c>
      <c r="F669" s="189">
        <f>E590</f>
        <v/>
      </c>
      <c r="G669" s="189">
        <f>F590</f>
        <v/>
      </c>
      <c r="H669" s="189">
        <f>G590</f>
        <v/>
      </c>
      <c r="I669" s="189">
        <f>H590</f>
        <v/>
      </c>
      <c r="J669" s="189">
        <f>I590</f>
        <v/>
      </c>
      <c r="K669" s="189">
        <f>J590</f>
        <v/>
      </c>
      <c r="L669" s="189">
        <f>K590</f>
        <v/>
      </c>
      <c r="M669" s="189">
        <f>L590</f>
        <v/>
      </c>
      <c r="N669" s="189">
        <f>M590</f>
        <v/>
      </c>
      <c r="O669" s="189">
        <f>N590</f>
        <v/>
      </c>
      <c r="P669" s="189">
        <f>O590</f>
        <v/>
      </c>
      <c r="Q669" s="8">
        <f>P590</f>
        <v/>
      </c>
      <c r="R669" s="189">
        <f>Q590</f>
        <v/>
      </c>
      <c r="S669" s="189">
        <f>R590</f>
        <v/>
      </c>
      <c r="T669" s="189">
        <f>S590</f>
        <v/>
      </c>
      <c r="U669" s="189">
        <f>T590</f>
        <v/>
      </c>
      <c r="V669" s="189">
        <f>U590</f>
        <v/>
      </c>
      <c r="W669" s="189">
        <f>V590</f>
        <v/>
      </c>
      <c r="X669" s="189">
        <f>W590</f>
        <v/>
      </c>
      <c r="Y669" s="189">
        <f>X590</f>
        <v/>
      </c>
      <c r="Z669" s="189">
        <f>Y590</f>
        <v/>
      </c>
      <c r="AA669" s="189">
        <f>Z590</f>
        <v/>
      </c>
      <c r="AB669" s="189">
        <f>AA590</f>
        <v/>
      </c>
      <c r="AC669" s="189">
        <f>AB590</f>
        <v/>
      </c>
      <c r="AD669" s="189">
        <f>AC590</f>
        <v/>
      </c>
      <c r="AE669" s="189">
        <f>AD590</f>
        <v/>
      </c>
      <c r="AF669" s="189">
        <f>AE590</f>
        <v/>
      </c>
      <c r="AG669" s="189">
        <f>AF590</f>
        <v/>
      </c>
      <c r="AH669" s="189">
        <f>AG590</f>
        <v/>
      </c>
      <c r="AI669" s="189">
        <f>AH590</f>
        <v/>
      </c>
      <c r="AJ669" s="189">
        <f>AI590</f>
        <v/>
      </c>
      <c r="AK669" s="189">
        <f>AJ590</f>
        <v/>
      </c>
      <c r="AL669" s="189">
        <f>AK590</f>
        <v/>
      </c>
      <c r="AM669" s="189">
        <f>AL590</f>
        <v/>
      </c>
      <c r="AU669" s="187">
        <f>L630</f>
        <v/>
      </c>
    </row>
    <row r="670">
      <c r="B670" s="189">
        <f>F631</f>
        <v/>
      </c>
      <c r="C670" s="118" t="inlineStr">
        <is>
          <t>=</t>
        </is>
      </c>
      <c r="D670" s="189">
        <f>C591</f>
        <v/>
      </c>
      <c r="E670" s="189">
        <f>D591</f>
        <v/>
      </c>
      <c r="F670" s="189">
        <f>E591</f>
        <v/>
      </c>
      <c r="G670" s="189">
        <f>F591</f>
        <v/>
      </c>
      <c r="H670" s="189">
        <f>G591</f>
        <v/>
      </c>
      <c r="I670" s="189">
        <f>H591</f>
        <v/>
      </c>
      <c r="J670" s="189">
        <f>I591</f>
        <v/>
      </c>
      <c r="K670" s="189">
        <f>J591</f>
        <v/>
      </c>
      <c r="L670" s="189">
        <f>K591</f>
        <v/>
      </c>
      <c r="M670" s="189">
        <f>L591</f>
        <v/>
      </c>
      <c r="N670" s="189">
        <f>M591</f>
        <v/>
      </c>
      <c r="O670" s="189">
        <f>N591</f>
        <v/>
      </c>
      <c r="P670" s="189">
        <f>O591</f>
        <v/>
      </c>
      <c r="Q670" s="189">
        <f>P591</f>
        <v/>
      </c>
      <c r="R670" s="8">
        <f>Q591</f>
        <v/>
      </c>
      <c r="S670" s="189">
        <f>R591</f>
        <v/>
      </c>
      <c r="T670" s="189">
        <f>S591</f>
        <v/>
      </c>
      <c r="U670" s="189">
        <f>T591</f>
        <v/>
      </c>
      <c r="V670" s="189">
        <f>U591</f>
        <v/>
      </c>
      <c r="W670" s="189">
        <f>V591</f>
        <v/>
      </c>
      <c r="X670" s="189">
        <f>W591</f>
        <v/>
      </c>
      <c r="Y670" s="189">
        <f>X591</f>
        <v/>
      </c>
      <c r="Z670" s="189">
        <f>Y591</f>
        <v/>
      </c>
      <c r="AA670" s="189">
        <f>Z591</f>
        <v/>
      </c>
      <c r="AB670" s="189">
        <f>AA591</f>
        <v/>
      </c>
      <c r="AC670" s="189">
        <f>AB591</f>
        <v/>
      </c>
      <c r="AD670" s="189">
        <f>AC591</f>
        <v/>
      </c>
      <c r="AE670" s="189">
        <f>AD591</f>
        <v/>
      </c>
      <c r="AF670" s="189">
        <f>AE591</f>
        <v/>
      </c>
      <c r="AG670" s="189">
        <f>AF591</f>
        <v/>
      </c>
      <c r="AH670" s="189">
        <f>AG591</f>
        <v/>
      </c>
      <c r="AI670" s="189">
        <f>AH591</f>
        <v/>
      </c>
      <c r="AJ670" s="189">
        <f>AI591</f>
        <v/>
      </c>
      <c r="AK670" s="189">
        <f>AJ591</f>
        <v/>
      </c>
      <c r="AL670" s="189">
        <f>AK591</f>
        <v/>
      </c>
      <c r="AM670" s="189">
        <f>AL591</f>
        <v/>
      </c>
      <c r="AU670" s="187">
        <f>L631</f>
        <v/>
      </c>
    </row>
    <row r="671">
      <c r="B671" s="189">
        <f>F632</f>
        <v/>
      </c>
      <c r="C671" s="118" t="inlineStr">
        <is>
          <t>=</t>
        </is>
      </c>
      <c r="D671" s="189">
        <f>C592</f>
        <v/>
      </c>
      <c r="E671" s="189">
        <f>D592</f>
        <v/>
      </c>
      <c r="F671" s="189">
        <f>E592</f>
        <v/>
      </c>
      <c r="G671" s="189">
        <f>F592</f>
        <v/>
      </c>
      <c r="H671" s="189">
        <f>G592</f>
        <v/>
      </c>
      <c r="I671" s="189">
        <f>H592</f>
        <v/>
      </c>
      <c r="J671" s="189">
        <f>I592</f>
        <v/>
      </c>
      <c r="K671" s="189">
        <f>J592</f>
        <v/>
      </c>
      <c r="L671" s="189">
        <f>K592</f>
        <v/>
      </c>
      <c r="M671" s="189">
        <f>L592</f>
        <v/>
      </c>
      <c r="N671" s="189">
        <f>M592</f>
        <v/>
      </c>
      <c r="O671" s="189">
        <f>N592</f>
        <v/>
      </c>
      <c r="P671" s="189">
        <f>O592</f>
        <v/>
      </c>
      <c r="Q671" s="189">
        <f>P592</f>
        <v/>
      </c>
      <c r="R671" s="189">
        <f>Q592</f>
        <v/>
      </c>
      <c r="S671" s="8">
        <f>R592</f>
        <v/>
      </c>
      <c r="T671" s="189">
        <f>S592</f>
        <v/>
      </c>
      <c r="U671" s="189">
        <f>T592</f>
        <v/>
      </c>
      <c r="V671" s="189">
        <f>U592</f>
        <v/>
      </c>
      <c r="W671" s="189">
        <f>V592</f>
        <v/>
      </c>
      <c r="X671" s="189">
        <f>W592</f>
        <v/>
      </c>
      <c r="Y671" s="189">
        <f>X592</f>
        <v/>
      </c>
      <c r="Z671" s="189">
        <f>Y592</f>
        <v/>
      </c>
      <c r="AA671" s="189">
        <f>Z592</f>
        <v/>
      </c>
      <c r="AB671" s="189">
        <f>AA592</f>
        <v/>
      </c>
      <c r="AC671" s="189">
        <f>AB592</f>
        <v/>
      </c>
      <c r="AD671" s="189">
        <f>AC592</f>
        <v/>
      </c>
      <c r="AE671" s="189">
        <f>AD592</f>
        <v/>
      </c>
      <c r="AF671" s="189">
        <f>AE592</f>
        <v/>
      </c>
      <c r="AG671" s="189">
        <f>AF592</f>
        <v/>
      </c>
      <c r="AH671" s="189">
        <f>AG592</f>
        <v/>
      </c>
      <c r="AI671" s="189">
        <f>AH592</f>
        <v/>
      </c>
      <c r="AJ671" s="189">
        <f>AI592</f>
        <v/>
      </c>
      <c r="AK671" s="189">
        <f>AJ592</f>
        <v/>
      </c>
      <c r="AL671" s="189">
        <f>AK592</f>
        <v/>
      </c>
      <c r="AM671" s="189">
        <f>AL592</f>
        <v/>
      </c>
      <c r="AU671" s="187">
        <f>L632</f>
        <v/>
      </c>
    </row>
    <row r="672">
      <c r="B672" s="189">
        <f>F633</f>
        <v/>
      </c>
      <c r="C672" s="118" t="inlineStr">
        <is>
          <t>=</t>
        </is>
      </c>
      <c r="D672" s="189">
        <f>C593</f>
        <v/>
      </c>
      <c r="E672" s="189">
        <f>D593</f>
        <v/>
      </c>
      <c r="F672" s="189">
        <f>E593</f>
        <v/>
      </c>
      <c r="G672" s="189">
        <f>F593</f>
        <v/>
      </c>
      <c r="H672" s="189">
        <f>G593</f>
        <v/>
      </c>
      <c r="I672" s="189">
        <f>H593</f>
        <v/>
      </c>
      <c r="J672" s="189">
        <f>I593</f>
        <v/>
      </c>
      <c r="K672" s="189">
        <f>J593</f>
        <v/>
      </c>
      <c r="L672" s="189">
        <f>K593</f>
        <v/>
      </c>
      <c r="M672" s="189">
        <f>L593</f>
        <v/>
      </c>
      <c r="N672" s="189">
        <f>M593</f>
        <v/>
      </c>
      <c r="O672" s="189">
        <f>N593</f>
        <v/>
      </c>
      <c r="P672" s="189">
        <f>O593</f>
        <v/>
      </c>
      <c r="Q672" s="189">
        <f>P593</f>
        <v/>
      </c>
      <c r="R672" s="189">
        <f>Q593</f>
        <v/>
      </c>
      <c r="S672" s="189">
        <f>R593</f>
        <v/>
      </c>
      <c r="T672" s="8">
        <f>S593</f>
        <v/>
      </c>
      <c r="U672" s="189">
        <f>T593</f>
        <v/>
      </c>
      <c r="V672" s="189">
        <f>U593</f>
        <v/>
      </c>
      <c r="W672" s="189">
        <f>V593</f>
        <v/>
      </c>
      <c r="X672" s="189">
        <f>W593</f>
        <v/>
      </c>
      <c r="Y672" s="189">
        <f>X593</f>
        <v/>
      </c>
      <c r="Z672" s="189">
        <f>Y593</f>
        <v/>
      </c>
      <c r="AA672" s="189">
        <f>Z593</f>
        <v/>
      </c>
      <c r="AB672" s="189">
        <f>AA593</f>
        <v/>
      </c>
      <c r="AC672" s="189">
        <f>AB593</f>
        <v/>
      </c>
      <c r="AD672" s="189">
        <f>AC593</f>
        <v/>
      </c>
      <c r="AE672" s="189">
        <f>AD593</f>
        <v/>
      </c>
      <c r="AF672" s="189">
        <f>AE593</f>
        <v/>
      </c>
      <c r="AG672" s="189">
        <f>AF593</f>
        <v/>
      </c>
      <c r="AH672" s="189">
        <f>AG593</f>
        <v/>
      </c>
      <c r="AI672" s="189">
        <f>AH593</f>
        <v/>
      </c>
      <c r="AJ672" s="189">
        <f>AI593</f>
        <v/>
      </c>
      <c r="AK672" s="189">
        <f>AJ593</f>
        <v/>
      </c>
      <c r="AL672" s="189">
        <f>AK593</f>
        <v/>
      </c>
      <c r="AM672" s="189">
        <f>AL593</f>
        <v/>
      </c>
      <c r="AU672" s="187">
        <f>L633</f>
        <v/>
      </c>
    </row>
    <row r="673">
      <c r="B673" s="189">
        <f>F634</f>
        <v/>
      </c>
      <c r="C673" s="118" t="inlineStr">
        <is>
          <t>=</t>
        </is>
      </c>
      <c r="D673" s="189">
        <f>C594</f>
        <v/>
      </c>
      <c r="E673" s="189">
        <f>D594</f>
        <v/>
      </c>
      <c r="F673" s="189">
        <f>E594</f>
        <v/>
      </c>
      <c r="G673" s="189">
        <f>F594</f>
        <v/>
      </c>
      <c r="H673" s="189">
        <f>G594</f>
        <v/>
      </c>
      <c r="I673" s="189">
        <f>H594</f>
        <v/>
      </c>
      <c r="J673" s="189">
        <f>I594</f>
        <v/>
      </c>
      <c r="K673" s="189">
        <f>J594</f>
        <v/>
      </c>
      <c r="L673" s="189">
        <f>K594</f>
        <v/>
      </c>
      <c r="M673" s="189">
        <f>L594</f>
        <v/>
      </c>
      <c r="N673" s="189">
        <f>M594</f>
        <v/>
      </c>
      <c r="O673" s="189">
        <f>N594</f>
        <v/>
      </c>
      <c r="P673" s="189">
        <f>O594</f>
        <v/>
      </c>
      <c r="Q673" s="189">
        <f>P594</f>
        <v/>
      </c>
      <c r="R673" s="189">
        <f>Q594</f>
        <v/>
      </c>
      <c r="S673" s="189">
        <f>R594</f>
        <v/>
      </c>
      <c r="T673" s="189">
        <f>S594</f>
        <v/>
      </c>
      <c r="U673" s="8">
        <f>T594</f>
        <v/>
      </c>
      <c r="V673" s="189">
        <f>U594</f>
        <v/>
      </c>
      <c r="W673" s="189">
        <f>V594</f>
        <v/>
      </c>
      <c r="X673" s="189">
        <f>W594</f>
        <v/>
      </c>
      <c r="Y673" s="189">
        <f>X594</f>
        <v/>
      </c>
      <c r="Z673" s="189">
        <f>Y594</f>
        <v/>
      </c>
      <c r="AA673" s="189">
        <f>Z594</f>
        <v/>
      </c>
      <c r="AB673" s="189">
        <f>AA594</f>
        <v/>
      </c>
      <c r="AC673" s="189">
        <f>AB594</f>
        <v/>
      </c>
      <c r="AD673" s="189">
        <f>AC594</f>
        <v/>
      </c>
      <c r="AE673" s="189">
        <f>AD594</f>
        <v/>
      </c>
      <c r="AF673" s="189">
        <f>AE594</f>
        <v/>
      </c>
      <c r="AG673" s="189">
        <f>AF594</f>
        <v/>
      </c>
      <c r="AH673" s="189">
        <f>AG594</f>
        <v/>
      </c>
      <c r="AI673" s="189">
        <f>AH594</f>
        <v/>
      </c>
      <c r="AJ673" s="189">
        <f>AI594</f>
        <v/>
      </c>
      <c r="AK673" s="189">
        <f>AJ594</f>
        <v/>
      </c>
      <c r="AL673" s="189">
        <f>AK594</f>
        <v/>
      </c>
      <c r="AM673" s="189">
        <f>AL594</f>
        <v/>
      </c>
      <c r="AU673" s="187">
        <f>L634</f>
        <v/>
      </c>
    </row>
    <row r="674">
      <c r="B674" s="189">
        <f>F635</f>
        <v/>
      </c>
      <c r="C674" s="118" t="inlineStr">
        <is>
          <t>=</t>
        </is>
      </c>
      <c r="D674" s="189">
        <f>C595</f>
        <v/>
      </c>
      <c r="E674" s="189">
        <f>D595</f>
        <v/>
      </c>
      <c r="F674" s="189">
        <f>E595</f>
        <v/>
      </c>
      <c r="G674" s="189">
        <f>F595</f>
        <v/>
      </c>
      <c r="H674" s="189">
        <f>G595</f>
        <v/>
      </c>
      <c r="I674" s="189">
        <f>H595</f>
        <v/>
      </c>
      <c r="J674" s="189">
        <f>I595</f>
        <v/>
      </c>
      <c r="K674" s="189">
        <f>J595</f>
        <v/>
      </c>
      <c r="L674" s="189">
        <f>K595</f>
        <v/>
      </c>
      <c r="M674" s="189">
        <f>L595</f>
        <v/>
      </c>
      <c r="N674" s="189">
        <f>M595</f>
        <v/>
      </c>
      <c r="O674" s="189">
        <f>N595</f>
        <v/>
      </c>
      <c r="P674" s="189">
        <f>O595</f>
        <v/>
      </c>
      <c r="Q674" s="189">
        <f>P595</f>
        <v/>
      </c>
      <c r="R674" s="189">
        <f>Q595</f>
        <v/>
      </c>
      <c r="S674" s="189">
        <f>R595</f>
        <v/>
      </c>
      <c r="T674" s="189">
        <f>S595</f>
        <v/>
      </c>
      <c r="U674" s="189">
        <f>T595</f>
        <v/>
      </c>
      <c r="V674" s="8">
        <f>U595</f>
        <v/>
      </c>
      <c r="W674" s="189">
        <f>V595</f>
        <v/>
      </c>
      <c r="X674" s="189">
        <f>W595</f>
        <v/>
      </c>
      <c r="Y674" s="189">
        <f>X595</f>
        <v/>
      </c>
      <c r="Z674" s="189">
        <f>Y595</f>
        <v/>
      </c>
      <c r="AA674" s="189">
        <f>Z595</f>
        <v/>
      </c>
      <c r="AB674" s="189">
        <f>AA595</f>
        <v/>
      </c>
      <c r="AC674" s="189">
        <f>AB595</f>
        <v/>
      </c>
      <c r="AD674" s="189">
        <f>AC595</f>
        <v/>
      </c>
      <c r="AE674" s="189">
        <f>AD595</f>
        <v/>
      </c>
      <c r="AF674" s="189">
        <f>AE595</f>
        <v/>
      </c>
      <c r="AG674" s="189">
        <f>AF595</f>
        <v/>
      </c>
      <c r="AH674" s="189">
        <f>AG595</f>
        <v/>
      </c>
      <c r="AI674" s="189">
        <f>AH595</f>
        <v/>
      </c>
      <c r="AJ674" s="189">
        <f>AI595</f>
        <v/>
      </c>
      <c r="AK674" s="189">
        <f>AJ595</f>
        <v/>
      </c>
      <c r="AL674" s="189">
        <f>AK595</f>
        <v/>
      </c>
      <c r="AM674" s="189">
        <f>AL595</f>
        <v/>
      </c>
      <c r="AU674" s="187">
        <f>L635</f>
        <v/>
      </c>
    </row>
    <row r="675">
      <c r="B675" s="189">
        <f>F636</f>
        <v/>
      </c>
      <c r="C675" s="118" t="inlineStr">
        <is>
          <t>=</t>
        </is>
      </c>
      <c r="D675" s="189">
        <f>C596</f>
        <v/>
      </c>
      <c r="E675" s="189">
        <f>D596</f>
        <v/>
      </c>
      <c r="F675" s="189">
        <f>E596</f>
        <v/>
      </c>
      <c r="G675" s="189">
        <f>F596</f>
        <v/>
      </c>
      <c r="H675" s="189">
        <f>G596</f>
        <v/>
      </c>
      <c r="I675" s="189">
        <f>H596</f>
        <v/>
      </c>
      <c r="J675" s="189">
        <f>I596</f>
        <v/>
      </c>
      <c r="K675" s="189">
        <f>J596</f>
        <v/>
      </c>
      <c r="L675" s="189">
        <f>K596</f>
        <v/>
      </c>
      <c r="M675" s="189">
        <f>L596</f>
        <v/>
      </c>
      <c r="N675" s="189">
        <f>M596</f>
        <v/>
      </c>
      <c r="O675" s="189">
        <f>N596</f>
        <v/>
      </c>
      <c r="P675" s="189">
        <f>O596</f>
        <v/>
      </c>
      <c r="Q675" s="189">
        <f>P596</f>
        <v/>
      </c>
      <c r="R675" s="189">
        <f>Q596</f>
        <v/>
      </c>
      <c r="S675" s="189">
        <f>R596</f>
        <v/>
      </c>
      <c r="T675" s="189">
        <f>S596</f>
        <v/>
      </c>
      <c r="U675" s="189">
        <f>T596</f>
        <v/>
      </c>
      <c r="V675" s="189">
        <f>U596</f>
        <v/>
      </c>
      <c r="W675" s="8">
        <f>V596</f>
        <v/>
      </c>
      <c r="X675" s="189">
        <f>W596</f>
        <v/>
      </c>
      <c r="Y675" s="189">
        <f>X596</f>
        <v/>
      </c>
      <c r="Z675" s="189">
        <f>Y596</f>
        <v/>
      </c>
      <c r="AA675" s="189">
        <f>Z596</f>
        <v/>
      </c>
      <c r="AB675" s="189">
        <f>AA596</f>
        <v/>
      </c>
      <c r="AC675" s="189">
        <f>AB596</f>
        <v/>
      </c>
      <c r="AD675" s="189">
        <f>AC596</f>
        <v/>
      </c>
      <c r="AE675" s="189">
        <f>AD596</f>
        <v/>
      </c>
      <c r="AF675" s="189">
        <f>AE596</f>
        <v/>
      </c>
      <c r="AG675" s="189">
        <f>AF596</f>
        <v/>
      </c>
      <c r="AH675" s="189">
        <f>AG596</f>
        <v/>
      </c>
      <c r="AI675" s="189">
        <f>AH596</f>
        <v/>
      </c>
      <c r="AJ675" s="189">
        <f>AI596</f>
        <v/>
      </c>
      <c r="AK675" s="189">
        <f>AJ596</f>
        <v/>
      </c>
      <c r="AL675" s="189">
        <f>AK596</f>
        <v/>
      </c>
      <c r="AM675" s="189">
        <f>AL596</f>
        <v/>
      </c>
      <c r="AU675" s="187">
        <f>L636</f>
        <v/>
      </c>
    </row>
    <row r="676">
      <c r="B676" s="189">
        <f>F637</f>
        <v/>
      </c>
      <c r="C676" s="118" t="inlineStr">
        <is>
          <t>=</t>
        </is>
      </c>
      <c r="D676" s="189">
        <f>C597</f>
        <v/>
      </c>
      <c r="E676" s="189">
        <f>D597</f>
        <v/>
      </c>
      <c r="F676" s="189">
        <f>E597</f>
        <v/>
      </c>
      <c r="G676" s="189">
        <f>F597</f>
        <v/>
      </c>
      <c r="H676" s="189">
        <f>G597</f>
        <v/>
      </c>
      <c r="I676" s="189">
        <f>H597</f>
        <v/>
      </c>
      <c r="J676" s="189">
        <f>I597</f>
        <v/>
      </c>
      <c r="K676" s="189">
        <f>J597</f>
        <v/>
      </c>
      <c r="L676" s="189">
        <f>K597</f>
        <v/>
      </c>
      <c r="M676" s="189">
        <f>L597</f>
        <v/>
      </c>
      <c r="N676" s="189">
        <f>M597</f>
        <v/>
      </c>
      <c r="O676" s="189">
        <f>N597</f>
        <v/>
      </c>
      <c r="P676" s="189">
        <f>O597</f>
        <v/>
      </c>
      <c r="Q676" s="189">
        <f>P597</f>
        <v/>
      </c>
      <c r="R676" s="189">
        <f>Q597</f>
        <v/>
      </c>
      <c r="S676" s="189">
        <f>R597</f>
        <v/>
      </c>
      <c r="T676" s="189">
        <f>S597</f>
        <v/>
      </c>
      <c r="U676" s="189">
        <f>T597</f>
        <v/>
      </c>
      <c r="V676" s="189">
        <f>U597</f>
        <v/>
      </c>
      <c r="W676" s="189">
        <f>V597</f>
        <v/>
      </c>
      <c r="X676" s="8">
        <f>W597</f>
        <v/>
      </c>
      <c r="Y676" s="189">
        <f>X597</f>
        <v/>
      </c>
      <c r="Z676" s="189">
        <f>Y597</f>
        <v/>
      </c>
      <c r="AA676" s="189">
        <f>Z597</f>
        <v/>
      </c>
      <c r="AB676" s="189">
        <f>AA597</f>
        <v/>
      </c>
      <c r="AC676" s="189">
        <f>AB597</f>
        <v/>
      </c>
      <c r="AD676" s="189">
        <f>AC597</f>
        <v/>
      </c>
      <c r="AE676" s="189">
        <f>AD597</f>
        <v/>
      </c>
      <c r="AF676" s="189">
        <f>AE597</f>
        <v/>
      </c>
      <c r="AG676" s="189">
        <f>AF597</f>
        <v/>
      </c>
      <c r="AH676" s="189">
        <f>AG597</f>
        <v/>
      </c>
      <c r="AI676" s="189">
        <f>AH597</f>
        <v/>
      </c>
      <c r="AJ676" s="189">
        <f>AI597</f>
        <v/>
      </c>
      <c r="AK676" s="189">
        <f>AJ597</f>
        <v/>
      </c>
      <c r="AL676" s="189">
        <f>AK597</f>
        <v/>
      </c>
      <c r="AM676" s="189">
        <f>AL597</f>
        <v/>
      </c>
      <c r="AU676" s="187">
        <f>L637</f>
        <v/>
      </c>
    </row>
    <row r="677">
      <c r="B677" s="189">
        <f>F638</f>
        <v/>
      </c>
      <c r="C677" s="118" t="inlineStr">
        <is>
          <t>=</t>
        </is>
      </c>
      <c r="D677" s="189">
        <f>C598</f>
        <v/>
      </c>
      <c r="E677" s="189">
        <f>D598</f>
        <v/>
      </c>
      <c r="F677" s="189">
        <f>E598</f>
        <v/>
      </c>
      <c r="G677" s="189">
        <f>F598</f>
        <v/>
      </c>
      <c r="H677" s="189">
        <f>G598</f>
        <v/>
      </c>
      <c r="I677" s="189">
        <f>H598</f>
        <v/>
      </c>
      <c r="J677" s="189">
        <f>I598</f>
        <v/>
      </c>
      <c r="K677" s="189">
        <f>J598</f>
        <v/>
      </c>
      <c r="L677" s="189">
        <f>K598</f>
        <v/>
      </c>
      <c r="M677" s="189">
        <f>L598</f>
        <v/>
      </c>
      <c r="N677" s="189">
        <f>M598</f>
        <v/>
      </c>
      <c r="O677" s="189">
        <f>N598</f>
        <v/>
      </c>
      <c r="P677" s="189">
        <f>O598</f>
        <v/>
      </c>
      <c r="Q677" s="189">
        <f>P598</f>
        <v/>
      </c>
      <c r="R677" s="189">
        <f>Q598</f>
        <v/>
      </c>
      <c r="S677" s="189">
        <f>R598</f>
        <v/>
      </c>
      <c r="T677" s="189">
        <f>S598</f>
        <v/>
      </c>
      <c r="U677" s="189">
        <f>T598</f>
        <v/>
      </c>
      <c r="V677" s="189">
        <f>U598</f>
        <v/>
      </c>
      <c r="W677" s="189">
        <f>V598</f>
        <v/>
      </c>
      <c r="X677" s="189">
        <f>W598</f>
        <v/>
      </c>
      <c r="Y677" s="8">
        <f>X598</f>
        <v/>
      </c>
      <c r="Z677" s="189">
        <f>Y598</f>
        <v/>
      </c>
      <c r="AA677" s="189">
        <f>Z598</f>
        <v/>
      </c>
      <c r="AB677" s="189">
        <f>AA598</f>
        <v/>
      </c>
      <c r="AC677" s="189">
        <f>AB598</f>
        <v/>
      </c>
      <c r="AD677" s="189">
        <f>AC598</f>
        <v/>
      </c>
      <c r="AE677" s="189">
        <f>AD598</f>
        <v/>
      </c>
      <c r="AF677" s="189">
        <f>AE598</f>
        <v/>
      </c>
      <c r="AG677" s="189">
        <f>AF598</f>
        <v/>
      </c>
      <c r="AH677" s="189">
        <f>AG598</f>
        <v/>
      </c>
      <c r="AI677" s="189">
        <f>AH598</f>
        <v/>
      </c>
      <c r="AJ677" s="189">
        <f>AI598</f>
        <v/>
      </c>
      <c r="AK677" s="189">
        <f>AJ598</f>
        <v/>
      </c>
      <c r="AL677" s="189">
        <f>AK598</f>
        <v/>
      </c>
      <c r="AM677" s="189">
        <f>AL598</f>
        <v/>
      </c>
      <c r="AU677" s="187">
        <f>L638</f>
        <v/>
      </c>
    </row>
    <row r="678">
      <c r="B678" s="189">
        <f>F639</f>
        <v/>
      </c>
      <c r="C678" s="118" t="inlineStr">
        <is>
          <t>=</t>
        </is>
      </c>
      <c r="D678" s="189">
        <f>C599</f>
        <v/>
      </c>
      <c r="E678" s="189">
        <f>D599</f>
        <v/>
      </c>
      <c r="F678" s="189">
        <f>E599</f>
        <v/>
      </c>
      <c r="G678" s="189">
        <f>F599</f>
        <v/>
      </c>
      <c r="H678" s="189">
        <f>G599</f>
        <v/>
      </c>
      <c r="I678" s="189">
        <f>H599</f>
        <v/>
      </c>
      <c r="J678" s="189">
        <f>I599</f>
        <v/>
      </c>
      <c r="K678" s="189">
        <f>J599</f>
        <v/>
      </c>
      <c r="L678" s="189">
        <f>K599</f>
        <v/>
      </c>
      <c r="M678" s="189">
        <f>L599</f>
        <v/>
      </c>
      <c r="N678" s="189">
        <f>M599</f>
        <v/>
      </c>
      <c r="O678" s="189">
        <f>N599</f>
        <v/>
      </c>
      <c r="P678" s="189">
        <f>O599</f>
        <v/>
      </c>
      <c r="Q678" s="189">
        <f>P599</f>
        <v/>
      </c>
      <c r="R678" s="189">
        <f>Q599</f>
        <v/>
      </c>
      <c r="S678" s="189">
        <f>R599</f>
        <v/>
      </c>
      <c r="T678" s="189">
        <f>S599</f>
        <v/>
      </c>
      <c r="U678" s="189">
        <f>T599</f>
        <v/>
      </c>
      <c r="V678" s="189">
        <f>U599</f>
        <v/>
      </c>
      <c r="W678" s="189">
        <f>V599</f>
        <v/>
      </c>
      <c r="X678" s="189">
        <f>W599</f>
        <v/>
      </c>
      <c r="Y678" s="189">
        <f>X599</f>
        <v/>
      </c>
      <c r="Z678" s="8">
        <f>Y599</f>
        <v/>
      </c>
      <c r="AA678" s="189">
        <f>Z599</f>
        <v/>
      </c>
      <c r="AB678" s="189">
        <f>AA599</f>
        <v/>
      </c>
      <c r="AC678" s="189">
        <f>AB599</f>
        <v/>
      </c>
      <c r="AD678" s="189">
        <f>AC599</f>
        <v/>
      </c>
      <c r="AE678" s="189">
        <f>AD599</f>
        <v/>
      </c>
      <c r="AF678" s="189">
        <f>AE599</f>
        <v/>
      </c>
      <c r="AG678" s="189">
        <f>AF599</f>
        <v/>
      </c>
      <c r="AH678" s="189">
        <f>AG599</f>
        <v/>
      </c>
      <c r="AI678" s="189">
        <f>AH599</f>
        <v/>
      </c>
      <c r="AJ678" s="189">
        <f>AI599</f>
        <v/>
      </c>
      <c r="AK678" s="189">
        <f>AJ599</f>
        <v/>
      </c>
      <c r="AL678" s="189">
        <f>AK599</f>
        <v/>
      </c>
      <c r="AM678" s="189">
        <f>AL599</f>
        <v/>
      </c>
      <c r="AU678" s="187">
        <f>L639</f>
        <v/>
      </c>
    </row>
    <row r="679">
      <c r="B679" s="189">
        <f>F640</f>
        <v/>
      </c>
      <c r="C679" s="118" t="inlineStr">
        <is>
          <t>=</t>
        </is>
      </c>
      <c r="D679" s="189">
        <f>C600</f>
        <v/>
      </c>
      <c r="E679" s="189">
        <f>D600</f>
        <v/>
      </c>
      <c r="F679" s="189">
        <f>E600</f>
        <v/>
      </c>
      <c r="G679" s="189">
        <f>F600</f>
        <v/>
      </c>
      <c r="H679" s="189">
        <f>G600</f>
        <v/>
      </c>
      <c r="I679" s="189">
        <f>H600</f>
        <v/>
      </c>
      <c r="J679" s="189">
        <f>I600</f>
        <v/>
      </c>
      <c r="K679" s="189">
        <f>J600</f>
        <v/>
      </c>
      <c r="L679" s="189">
        <f>K600</f>
        <v/>
      </c>
      <c r="M679" s="189">
        <f>L600</f>
        <v/>
      </c>
      <c r="N679" s="189">
        <f>M600</f>
        <v/>
      </c>
      <c r="O679" s="189">
        <f>N600</f>
        <v/>
      </c>
      <c r="P679" s="189">
        <f>O600</f>
        <v/>
      </c>
      <c r="Q679" s="189">
        <f>P600</f>
        <v/>
      </c>
      <c r="R679" s="189">
        <f>Q600</f>
        <v/>
      </c>
      <c r="S679" s="189">
        <f>R600</f>
        <v/>
      </c>
      <c r="T679" s="189">
        <f>S600</f>
        <v/>
      </c>
      <c r="U679" s="189">
        <f>T600</f>
        <v/>
      </c>
      <c r="V679" s="189">
        <f>U600</f>
        <v/>
      </c>
      <c r="W679" s="189">
        <f>V600</f>
        <v/>
      </c>
      <c r="X679" s="189">
        <f>W600</f>
        <v/>
      </c>
      <c r="Y679" s="189">
        <f>X600</f>
        <v/>
      </c>
      <c r="Z679" s="189">
        <f>Y600</f>
        <v/>
      </c>
      <c r="AA679" s="8">
        <f>Z600</f>
        <v/>
      </c>
      <c r="AB679" s="189">
        <f>AA600</f>
        <v/>
      </c>
      <c r="AC679" s="189">
        <f>AB600</f>
        <v/>
      </c>
      <c r="AD679" s="189">
        <f>AC600</f>
        <v/>
      </c>
      <c r="AE679" s="189">
        <f>AD600</f>
        <v/>
      </c>
      <c r="AF679" s="189">
        <f>AE600</f>
        <v/>
      </c>
      <c r="AG679" s="189">
        <f>AF600</f>
        <v/>
      </c>
      <c r="AH679" s="189">
        <f>AG600</f>
        <v/>
      </c>
      <c r="AI679" s="189">
        <f>AH600</f>
        <v/>
      </c>
      <c r="AJ679" s="189">
        <f>AI600</f>
        <v/>
      </c>
      <c r="AK679" s="189">
        <f>AJ600</f>
        <v/>
      </c>
      <c r="AL679" s="189">
        <f>AK600</f>
        <v/>
      </c>
      <c r="AM679" s="189">
        <f>AL600</f>
        <v/>
      </c>
      <c r="AU679" s="187">
        <f>L640</f>
        <v/>
      </c>
    </row>
    <row r="680">
      <c r="B680" s="189">
        <f>F641</f>
        <v/>
      </c>
      <c r="C680" s="118" t="inlineStr">
        <is>
          <t>=</t>
        </is>
      </c>
      <c r="D680" s="189">
        <f>C601</f>
        <v/>
      </c>
      <c r="E680" s="189">
        <f>D601</f>
        <v/>
      </c>
      <c r="F680" s="189">
        <f>E601</f>
        <v/>
      </c>
      <c r="G680" s="189">
        <f>F601</f>
        <v/>
      </c>
      <c r="H680" s="189">
        <f>G601</f>
        <v/>
      </c>
      <c r="I680" s="189">
        <f>H601</f>
        <v/>
      </c>
      <c r="J680" s="189">
        <f>I601</f>
        <v/>
      </c>
      <c r="K680" s="189">
        <f>J601</f>
        <v/>
      </c>
      <c r="L680" s="189">
        <f>K601</f>
        <v/>
      </c>
      <c r="M680" s="189">
        <f>L601</f>
        <v/>
      </c>
      <c r="N680" s="189">
        <f>M601</f>
        <v/>
      </c>
      <c r="O680" s="189">
        <f>N601</f>
        <v/>
      </c>
      <c r="P680" s="189">
        <f>O601</f>
        <v/>
      </c>
      <c r="Q680" s="189">
        <f>P601</f>
        <v/>
      </c>
      <c r="R680" s="189">
        <f>Q601</f>
        <v/>
      </c>
      <c r="S680" s="189">
        <f>R601</f>
        <v/>
      </c>
      <c r="T680" s="189">
        <f>S601</f>
        <v/>
      </c>
      <c r="U680" s="189">
        <f>T601</f>
        <v/>
      </c>
      <c r="V680" s="189">
        <f>U601</f>
        <v/>
      </c>
      <c r="W680" s="189">
        <f>V601</f>
        <v/>
      </c>
      <c r="X680" s="189">
        <f>W601</f>
        <v/>
      </c>
      <c r="Y680" s="189">
        <f>X601</f>
        <v/>
      </c>
      <c r="Z680" s="189">
        <f>Y601</f>
        <v/>
      </c>
      <c r="AA680" s="189">
        <f>Z601</f>
        <v/>
      </c>
      <c r="AB680" s="8">
        <f>AA601</f>
        <v/>
      </c>
      <c r="AC680" s="189">
        <f>AB601</f>
        <v/>
      </c>
      <c r="AD680" s="189">
        <f>AC601</f>
        <v/>
      </c>
      <c r="AE680" s="189">
        <f>AD601</f>
        <v/>
      </c>
      <c r="AF680" s="189">
        <f>AE601</f>
        <v/>
      </c>
      <c r="AG680" s="189">
        <f>AF601</f>
        <v/>
      </c>
      <c r="AH680" s="189">
        <f>AG601</f>
        <v/>
      </c>
      <c r="AI680" s="189">
        <f>AH601</f>
        <v/>
      </c>
      <c r="AJ680" s="189">
        <f>AI601</f>
        <v/>
      </c>
      <c r="AK680" s="189">
        <f>AJ601</f>
        <v/>
      </c>
      <c r="AL680" s="189">
        <f>AK601</f>
        <v/>
      </c>
      <c r="AM680" s="189">
        <f>AL601</f>
        <v/>
      </c>
      <c r="AU680" s="187">
        <f>L641</f>
        <v/>
      </c>
    </row>
    <row r="681">
      <c r="B681" s="189">
        <f>F642</f>
        <v/>
      </c>
      <c r="C681" s="118" t="inlineStr">
        <is>
          <t>=</t>
        </is>
      </c>
      <c r="D681" s="189">
        <f>C602</f>
        <v/>
      </c>
      <c r="E681" s="189">
        <f>D602</f>
        <v/>
      </c>
      <c r="F681" s="189">
        <f>E602</f>
        <v/>
      </c>
      <c r="G681" s="189">
        <f>F602</f>
        <v/>
      </c>
      <c r="H681" s="189">
        <f>G602</f>
        <v/>
      </c>
      <c r="I681" s="189">
        <f>H602</f>
        <v/>
      </c>
      <c r="J681" s="189">
        <f>I602</f>
        <v/>
      </c>
      <c r="K681" s="189">
        <f>J602</f>
        <v/>
      </c>
      <c r="L681" s="189">
        <f>K602</f>
        <v/>
      </c>
      <c r="M681" s="189">
        <f>L602</f>
        <v/>
      </c>
      <c r="N681" s="189">
        <f>M602</f>
        <v/>
      </c>
      <c r="O681" s="189">
        <f>N602</f>
        <v/>
      </c>
      <c r="P681" s="189">
        <f>O602</f>
        <v/>
      </c>
      <c r="Q681" s="189">
        <f>P602</f>
        <v/>
      </c>
      <c r="R681" s="189">
        <f>Q602</f>
        <v/>
      </c>
      <c r="S681" s="189">
        <f>R602</f>
        <v/>
      </c>
      <c r="T681" s="189">
        <f>S602</f>
        <v/>
      </c>
      <c r="U681" s="189">
        <f>T602</f>
        <v/>
      </c>
      <c r="V681" s="189">
        <f>U602</f>
        <v/>
      </c>
      <c r="W681" s="189">
        <f>V602</f>
        <v/>
      </c>
      <c r="X681" s="189">
        <f>W602</f>
        <v/>
      </c>
      <c r="Y681" s="189">
        <f>X602</f>
        <v/>
      </c>
      <c r="Z681" s="189">
        <f>Y602</f>
        <v/>
      </c>
      <c r="AA681" s="189">
        <f>Z602</f>
        <v/>
      </c>
      <c r="AB681" s="189">
        <f>AA602</f>
        <v/>
      </c>
      <c r="AC681" s="8">
        <f>AB602</f>
        <v/>
      </c>
      <c r="AD681" s="189">
        <f>AC602</f>
        <v/>
      </c>
      <c r="AE681" s="189">
        <f>AD602</f>
        <v/>
      </c>
      <c r="AF681" s="189">
        <f>AE602</f>
        <v/>
      </c>
      <c r="AG681" s="189">
        <f>AF602</f>
        <v/>
      </c>
      <c r="AH681" s="189">
        <f>AG602</f>
        <v/>
      </c>
      <c r="AI681" s="189">
        <f>AH602</f>
        <v/>
      </c>
      <c r="AJ681" s="189">
        <f>AI602</f>
        <v/>
      </c>
      <c r="AK681" s="189">
        <f>AJ602</f>
        <v/>
      </c>
      <c r="AL681" s="189">
        <f>AK602</f>
        <v/>
      </c>
      <c r="AM681" s="189">
        <f>AL602</f>
        <v/>
      </c>
      <c r="AU681" s="187">
        <f>L642</f>
        <v/>
      </c>
    </row>
    <row r="682">
      <c r="B682" s="189">
        <f>F643</f>
        <v/>
      </c>
      <c r="C682" s="118" t="inlineStr">
        <is>
          <t>=</t>
        </is>
      </c>
      <c r="D682" s="189">
        <f>C603</f>
        <v/>
      </c>
      <c r="E682" s="189">
        <f>D603</f>
        <v/>
      </c>
      <c r="F682" s="189">
        <f>E603</f>
        <v/>
      </c>
      <c r="G682" s="189">
        <f>F603</f>
        <v/>
      </c>
      <c r="H682" s="189">
        <f>G603</f>
        <v/>
      </c>
      <c r="I682" s="189">
        <f>H603</f>
        <v/>
      </c>
      <c r="J682" s="189">
        <f>I603</f>
        <v/>
      </c>
      <c r="K682" s="189">
        <f>J603</f>
        <v/>
      </c>
      <c r="L682" s="189">
        <f>K603</f>
        <v/>
      </c>
      <c r="M682" s="189">
        <f>L603</f>
        <v/>
      </c>
      <c r="N682" s="189">
        <f>M603</f>
        <v/>
      </c>
      <c r="O682" s="189">
        <f>N603</f>
        <v/>
      </c>
      <c r="P682" s="189">
        <f>O603</f>
        <v/>
      </c>
      <c r="Q682" s="189">
        <f>P603</f>
        <v/>
      </c>
      <c r="R682" s="189">
        <f>Q603</f>
        <v/>
      </c>
      <c r="S682" s="189">
        <f>R603</f>
        <v/>
      </c>
      <c r="T682" s="189">
        <f>S603</f>
        <v/>
      </c>
      <c r="U682" s="189">
        <f>T603</f>
        <v/>
      </c>
      <c r="V682" s="189">
        <f>U603</f>
        <v/>
      </c>
      <c r="W682" s="189">
        <f>V603</f>
        <v/>
      </c>
      <c r="X682" s="189">
        <f>W603</f>
        <v/>
      </c>
      <c r="Y682" s="189">
        <f>X603</f>
        <v/>
      </c>
      <c r="Z682" s="189">
        <f>Y603</f>
        <v/>
      </c>
      <c r="AA682" s="189">
        <f>Z603</f>
        <v/>
      </c>
      <c r="AB682" s="189">
        <f>AA603</f>
        <v/>
      </c>
      <c r="AC682" s="189">
        <f>AB603</f>
        <v/>
      </c>
      <c r="AD682" s="8">
        <f>AC603</f>
        <v/>
      </c>
      <c r="AE682" s="189">
        <f>AD603</f>
        <v/>
      </c>
      <c r="AF682" s="189">
        <f>AE603</f>
        <v/>
      </c>
      <c r="AG682" s="189">
        <f>AF603</f>
        <v/>
      </c>
      <c r="AH682" s="189">
        <f>AG603</f>
        <v/>
      </c>
      <c r="AI682" s="189">
        <f>AH603</f>
        <v/>
      </c>
      <c r="AJ682" s="189">
        <f>AI603</f>
        <v/>
      </c>
      <c r="AK682" s="189">
        <f>AJ603</f>
        <v/>
      </c>
      <c r="AL682" s="189">
        <f>AK603</f>
        <v/>
      </c>
      <c r="AM682" s="189">
        <f>AL603</f>
        <v/>
      </c>
      <c r="AU682" s="187">
        <f>L643</f>
        <v/>
      </c>
    </row>
    <row r="683">
      <c r="B683" s="189">
        <f>F644</f>
        <v/>
      </c>
      <c r="C683" s="118" t="inlineStr">
        <is>
          <t>=</t>
        </is>
      </c>
      <c r="D683" s="189">
        <f>C604</f>
        <v/>
      </c>
      <c r="E683" s="189">
        <f>D604</f>
        <v/>
      </c>
      <c r="F683" s="189">
        <f>E604</f>
        <v/>
      </c>
      <c r="G683" s="189">
        <f>F604</f>
        <v/>
      </c>
      <c r="H683" s="189">
        <f>G604</f>
        <v/>
      </c>
      <c r="I683" s="189">
        <f>H604</f>
        <v/>
      </c>
      <c r="J683" s="189">
        <f>I604</f>
        <v/>
      </c>
      <c r="K683" s="189">
        <f>J604</f>
        <v/>
      </c>
      <c r="L683" s="189">
        <f>K604</f>
        <v/>
      </c>
      <c r="M683" s="189">
        <f>L604</f>
        <v/>
      </c>
      <c r="N683" s="189">
        <f>M604</f>
        <v/>
      </c>
      <c r="O683" s="189">
        <f>N604</f>
        <v/>
      </c>
      <c r="P683" s="189">
        <f>O604</f>
        <v/>
      </c>
      <c r="Q683" s="189">
        <f>P604</f>
        <v/>
      </c>
      <c r="R683" s="189">
        <f>Q604</f>
        <v/>
      </c>
      <c r="S683" s="189">
        <f>R604</f>
        <v/>
      </c>
      <c r="T683" s="189">
        <f>S604</f>
        <v/>
      </c>
      <c r="U683" s="189">
        <f>T604</f>
        <v/>
      </c>
      <c r="V683" s="189">
        <f>U604</f>
        <v/>
      </c>
      <c r="W683" s="189">
        <f>V604</f>
        <v/>
      </c>
      <c r="X683" s="189">
        <f>W604</f>
        <v/>
      </c>
      <c r="Y683" s="189">
        <f>X604</f>
        <v/>
      </c>
      <c r="Z683" s="189">
        <f>Y604</f>
        <v/>
      </c>
      <c r="AA683" s="189">
        <f>Z604</f>
        <v/>
      </c>
      <c r="AB683" s="189">
        <f>AA604</f>
        <v/>
      </c>
      <c r="AC683" s="189">
        <f>AB604</f>
        <v/>
      </c>
      <c r="AD683" s="189">
        <f>AC604</f>
        <v/>
      </c>
      <c r="AE683" s="8">
        <f>AD604</f>
        <v/>
      </c>
      <c r="AF683" s="189">
        <f>AE604</f>
        <v/>
      </c>
      <c r="AG683" s="189">
        <f>AF604</f>
        <v/>
      </c>
      <c r="AH683" s="189">
        <f>AG604</f>
        <v/>
      </c>
      <c r="AI683" s="189">
        <f>AH604</f>
        <v/>
      </c>
      <c r="AJ683" s="189">
        <f>AI604</f>
        <v/>
      </c>
      <c r="AK683" s="189">
        <f>AJ604</f>
        <v/>
      </c>
      <c r="AL683" s="189">
        <f>AK604</f>
        <v/>
      </c>
      <c r="AM683" s="189">
        <f>AL604</f>
        <v/>
      </c>
      <c r="AU683" s="187">
        <f>L644</f>
        <v/>
      </c>
    </row>
    <row r="684">
      <c r="B684" s="189">
        <f>F645</f>
        <v/>
      </c>
      <c r="C684" s="118" t="inlineStr">
        <is>
          <t>=</t>
        </is>
      </c>
      <c r="D684" s="189">
        <f>C605</f>
        <v/>
      </c>
      <c r="E684" s="189">
        <f>D605</f>
        <v/>
      </c>
      <c r="F684" s="189">
        <f>E605</f>
        <v/>
      </c>
      <c r="G684" s="189">
        <f>F605</f>
        <v/>
      </c>
      <c r="H684" s="189">
        <f>G605</f>
        <v/>
      </c>
      <c r="I684" s="189">
        <f>H605</f>
        <v/>
      </c>
      <c r="J684" s="189">
        <f>I605</f>
        <v/>
      </c>
      <c r="K684" s="189">
        <f>J605</f>
        <v/>
      </c>
      <c r="L684" s="189">
        <f>K605</f>
        <v/>
      </c>
      <c r="M684" s="189">
        <f>L605</f>
        <v/>
      </c>
      <c r="N684" s="189">
        <f>M605</f>
        <v/>
      </c>
      <c r="O684" s="189">
        <f>N605</f>
        <v/>
      </c>
      <c r="P684" s="189">
        <f>O605</f>
        <v/>
      </c>
      <c r="Q684" s="189">
        <f>P605</f>
        <v/>
      </c>
      <c r="R684" s="189">
        <f>Q605</f>
        <v/>
      </c>
      <c r="S684" s="189">
        <f>R605</f>
        <v/>
      </c>
      <c r="T684" s="189">
        <f>S605</f>
        <v/>
      </c>
      <c r="U684" s="189">
        <f>T605</f>
        <v/>
      </c>
      <c r="V684" s="189">
        <f>U605</f>
        <v/>
      </c>
      <c r="W684" s="189">
        <f>V605</f>
        <v/>
      </c>
      <c r="X684" s="189">
        <f>W605</f>
        <v/>
      </c>
      <c r="Y684" s="189">
        <f>X605</f>
        <v/>
      </c>
      <c r="Z684" s="189">
        <f>Y605</f>
        <v/>
      </c>
      <c r="AA684" s="189">
        <f>Z605</f>
        <v/>
      </c>
      <c r="AB684" s="189">
        <f>AA605</f>
        <v/>
      </c>
      <c r="AC684" s="189">
        <f>AB605</f>
        <v/>
      </c>
      <c r="AD684" s="189">
        <f>AC605</f>
        <v/>
      </c>
      <c r="AE684" s="189">
        <f>AD605</f>
        <v/>
      </c>
      <c r="AF684" s="8">
        <f>AE605</f>
        <v/>
      </c>
      <c r="AG684" s="189">
        <f>AF605</f>
        <v/>
      </c>
      <c r="AH684" s="189">
        <f>AG605</f>
        <v/>
      </c>
      <c r="AI684" s="189">
        <f>AH605</f>
        <v/>
      </c>
      <c r="AJ684" s="189">
        <f>AI605</f>
        <v/>
      </c>
      <c r="AK684" s="189">
        <f>AJ605</f>
        <v/>
      </c>
      <c r="AL684" s="189">
        <f>AK605</f>
        <v/>
      </c>
      <c r="AM684" s="189">
        <f>AL605</f>
        <v/>
      </c>
      <c r="AU684" s="187">
        <f>L645</f>
        <v/>
      </c>
    </row>
    <row r="685">
      <c r="B685" s="189">
        <f>F646</f>
        <v/>
      </c>
      <c r="C685" s="118" t="inlineStr">
        <is>
          <t>=</t>
        </is>
      </c>
      <c r="D685" s="189">
        <f>C606</f>
        <v/>
      </c>
      <c r="E685" s="189">
        <f>D606</f>
        <v/>
      </c>
      <c r="F685" s="189">
        <f>E606</f>
        <v/>
      </c>
      <c r="G685" s="189">
        <f>F606</f>
        <v/>
      </c>
      <c r="H685" s="189">
        <f>G606</f>
        <v/>
      </c>
      <c r="I685" s="189">
        <f>H606</f>
        <v/>
      </c>
      <c r="J685" s="189">
        <f>I606</f>
        <v/>
      </c>
      <c r="K685" s="189">
        <f>J606</f>
        <v/>
      </c>
      <c r="L685" s="189">
        <f>K606</f>
        <v/>
      </c>
      <c r="M685" s="189">
        <f>L606</f>
        <v/>
      </c>
      <c r="N685" s="189">
        <f>M606</f>
        <v/>
      </c>
      <c r="O685" s="189">
        <f>N606</f>
        <v/>
      </c>
      <c r="P685" s="189">
        <f>O606</f>
        <v/>
      </c>
      <c r="Q685" s="189">
        <f>P606</f>
        <v/>
      </c>
      <c r="R685" s="189">
        <f>Q606</f>
        <v/>
      </c>
      <c r="S685" s="189">
        <f>R606</f>
        <v/>
      </c>
      <c r="T685" s="189">
        <f>S606</f>
        <v/>
      </c>
      <c r="U685" s="189">
        <f>T606</f>
        <v/>
      </c>
      <c r="V685" s="189">
        <f>U606</f>
        <v/>
      </c>
      <c r="W685" s="189">
        <f>V606</f>
        <v/>
      </c>
      <c r="X685" s="189">
        <f>W606</f>
        <v/>
      </c>
      <c r="Y685" s="189">
        <f>X606</f>
        <v/>
      </c>
      <c r="Z685" s="189">
        <f>Y606</f>
        <v/>
      </c>
      <c r="AA685" s="189">
        <f>Z606</f>
        <v/>
      </c>
      <c r="AB685" s="189">
        <f>AA606</f>
        <v/>
      </c>
      <c r="AC685" s="189">
        <f>AB606</f>
        <v/>
      </c>
      <c r="AD685" s="189">
        <f>AC606</f>
        <v/>
      </c>
      <c r="AE685" s="189">
        <f>AD606</f>
        <v/>
      </c>
      <c r="AF685" s="189">
        <f>AE606</f>
        <v/>
      </c>
      <c r="AG685" s="8">
        <f>AF606</f>
        <v/>
      </c>
      <c r="AH685" s="189">
        <f>AG606</f>
        <v/>
      </c>
      <c r="AI685" s="189">
        <f>AH606</f>
        <v/>
      </c>
      <c r="AJ685" s="189">
        <f>AI606</f>
        <v/>
      </c>
      <c r="AK685" s="189">
        <f>AJ606</f>
        <v/>
      </c>
      <c r="AL685" s="189">
        <f>AK606</f>
        <v/>
      </c>
      <c r="AM685" s="189">
        <f>AL606</f>
        <v/>
      </c>
      <c r="AU685" s="187">
        <f>L646</f>
        <v/>
      </c>
    </row>
    <row r="686">
      <c r="B686" s="189">
        <f>F647</f>
        <v/>
      </c>
      <c r="C686" s="118" t="inlineStr">
        <is>
          <t>=</t>
        </is>
      </c>
      <c r="D686" s="189">
        <f>C607</f>
        <v/>
      </c>
      <c r="E686" s="189">
        <f>D607</f>
        <v/>
      </c>
      <c r="F686" s="189">
        <f>E607</f>
        <v/>
      </c>
      <c r="G686" s="189">
        <f>F607</f>
        <v/>
      </c>
      <c r="H686" s="189">
        <f>G607</f>
        <v/>
      </c>
      <c r="I686" s="189">
        <f>H607</f>
        <v/>
      </c>
      <c r="J686" s="189">
        <f>I607</f>
        <v/>
      </c>
      <c r="K686" s="189">
        <f>J607</f>
        <v/>
      </c>
      <c r="L686" s="189">
        <f>K607</f>
        <v/>
      </c>
      <c r="M686" s="189">
        <f>L607</f>
        <v/>
      </c>
      <c r="N686" s="189">
        <f>M607</f>
        <v/>
      </c>
      <c r="O686" s="189">
        <f>N607</f>
        <v/>
      </c>
      <c r="P686" s="189">
        <f>O607</f>
        <v/>
      </c>
      <c r="Q686" s="189">
        <f>P607</f>
        <v/>
      </c>
      <c r="R686" s="189">
        <f>Q607</f>
        <v/>
      </c>
      <c r="S686" s="189">
        <f>R607</f>
        <v/>
      </c>
      <c r="T686" s="189">
        <f>S607</f>
        <v/>
      </c>
      <c r="U686" s="189">
        <f>T607</f>
        <v/>
      </c>
      <c r="V686" s="189">
        <f>U607</f>
        <v/>
      </c>
      <c r="W686" s="189">
        <f>V607</f>
        <v/>
      </c>
      <c r="X686" s="189">
        <f>W607</f>
        <v/>
      </c>
      <c r="Y686" s="189">
        <f>X607</f>
        <v/>
      </c>
      <c r="Z686" s="189">
        <f>Y607</f>
        <v/>
      </c>
      <c r="AA686" s="189">
        <f>Z607</f>
        <v/>
      </c>
      <c r="AB686" s="189">
        <f>AA607</f>
        <v/>
      </c>
      <c r="AC686" s="189">
        <f>AB607</f>
        <v/>
      </c>
      <c r="AD686" s="189">
        <f>AC607</f>
        <v/>
      </c>
      <c r="AE686" s="189">
        <f>AD607</f>
        <v/>
      </c>
      <c r="AF686" s="189">
        <f>AE607</f>
        <v/>
      </c>
      <c r="AG686" s="189">
        <f>AF607</f>
        <v/>
      </c>
      <c r="AH686" s="8">
        <f>AG607</f>
        <v/>
      </c>
      <c r="AI686" s="189">
        <f>AH607</f>
        <v/>
      </c>
      <c r="AJ686" s="189">
        <f>AI607</f>
        <v/>
      </c>
      <c r="AK686" s="189">
        <f>AJ607</f>
        <v/>
      </c>
      <c r="AL686" s="189">
        <f>AK607</f>
        <v/>
      </c>
      <c r="AM686" s="189">
        <f>AL607</f>
        <v/>
      </c>
      <c r="AU686" s="187">
        <f>L647</f>
        <v/>
      </c>
    </row>
    <row r="687">
      <c r="B687" s="189">
        <f>F648</f>
        <v/>
      </c>
      <c r="C687" s="118" t="inlineStr">
        <is>
          <t>=</t>
        </is>
      </c>
      <c r="D687" s="189">
        <f>C608</f>
        <v/>
      </c>
      <c r="E687" s="189">
        <f>D608</f>
        <v/>
      </c>
      <c r="F687" s="189">
        <f>E608</f>
        <v/>
      </c>
      <c r="G687" s="189">
        <f>F608</f>
        <v/>
      </c>
      <c r="H687" s="189">
        <f>G608</f>
        <v/>
      </c>
      <c r="I687" s="189">
        <f>H608</f>
        <v/>
      </c>
      <c r="J687" s="189">
        <f>I608</f>
        <v/>
      </c>
      <c r="K687" s="189">
        <f>J608</f>
        <v/>
      </c>
      <c r="L687" s="189">
        <f>K608</f>
        <v/>
      </c>
      <c r="M687" s="189">
        <f>L608</f>
        <v/>
      </c>
      <c r="N687" s="189">
        <f>M608</f>
        <v/>
      </c>
      <c r="O687" s="189">
        <f>N608</f>
        <v/>
      </c>
      <c r="P687" s="189">
        <f>O608</f>
        <v/>
      </c>
      <c r="Q687" s="189">
        <f>P608</f>
        <v/>
      </c>
      <c r="R687" s="189">
        <f>Q608</f>
        <v/>
      </c>
      <c r="S687" s="189">
        <f>R608</f>
        <v/>
      </c>
      <c r="T687" s="189">
        <f>S608</f>
        <v/>
      </c>
      <c r="U687" s="189">
        <f>T608</f>
        <v/>
      </c>
      <c r="V687" s="189">
        <f>U608</f>
        <v/>
      </c>
      <c r="W687" s="189">
        <f>V608</f>
        <v/>
      </c>
      <c r="X687" s="189">
        <f>W608</f>
        <v/>
      </c>
      <c r="Y687" s="189">
        <f>X608</f>
        <v/>
      </c>
      <c r="Z687" s="189">
        <f>Y608</f>
        <v/>
      </c>
      <c r="AA687" s="189">
        <f>Z608</f>
        <v/>
      </c>
      <c r="AB687" s="189">
        <f>AA608</f>
        <v/>
      </c>
      <c r="AC687" s="189">
        <f>AB608</f>
        <v/>
      </c>
      <c r="AD687" s="189">
        <f>AC608</f>
        <v/>
      </c>
      <c r="AE687" s="189">
        <f>AD608</f>
        <v/>
      </c>
      <c r="AF687" s="189">
        <f>AE608</f>
        <v/>
      </c>
      <c r="AG687" s="189">
        <f>AF608</f>
        <v/>
      </c>
      <c r="AH687" s="189">
        <f>AG608</f>
        <v/>
      </c>
      <c r="AI687" s="8">
        <f>AH608</f>
        <v/>
      </c>
      <c r="AJ687" s="189">
        <f>AI608</f>
        <v/>
      </c>
      <c r="AK687" s="189">
        <f>AJ608</f>
        <v/>
      </c>
      <c r="AL687" s="189">
        <f>AK608</f>
        <v/>
      </c>
      <c r="AM687" s="189">
        <f>AL608</f>
        <v/>
      </c>
      <c r="AU687" s="187">
        <f>L648</f>
        <v/>
      </c>
    </row>
    <row r="688">
      <c r="B688" s="189">
        <f>F649</f>
        <v/>
      </c>
      <c r="C688" s="118" t="inlineStr">
        <is>
          <t>=</t>
        </is>
      </c>
      <c r="D688" s="189">
        <f>C609</f>
        <v/>
      </c>
      <c r="E688" s="189">
        <f>D609</f>
        <v/>
      </c>
      <c r="F688" s="189">
        <f>E609</f>
        <v/>
      </c>
      <c r="G688" s="189">
        <f>F609</f>
        <v/>
      </c>
      <c r="H688" s="189">
        <f>G609</f>
        <v/>
      </c>
      <c r="I688" s="189">
        <f>H609</f>
        <v/>
      </c>
      <c r="J688" s="189">
        <f>I609</f>
        <v/>
      </c>
      <c r="K688" s="189">
        <f>J609</f>
        <v/>
      </c>
      <c r="L688" s="189">
        <f>K609</f>
        <v/>
      </c>
      <c r="M688" s="189">
        <f>L609</f>
        <v/>
      </c>
      <c r="N688" s="189">
        <f>M609</f>
        <v/>
      </c>
      <c r="O688" s="189">
        <f>N609</f>
        <v/>
      </c>
      <c r="P688" s="189">
        <f>O609</f>
        <v/>
      </c>
      <c r="Q688" s="189">
        <f>P609</f>
        <v/>
      </c>
      <c r="R688" s="189">
        <f>Q609</f>
        <v/>
      </c>
      <c r="S688" s="189">
        <f>R609</f>
        <v/>
      </c>
      <c r="T688" s="189">
        <f>S609</f>
        <v/>
      </c>
      <c r="U688" s="189">
        <f>T609</f>
        <v/>
      </c>
      <c r="V688" s="189">
        <f>U609</f>
        <v/>
      </c>
      <c r="W688" s="189">
        <f>V609</f>
        <v/>
      </c>
      <c r="X688" s="189">
        <f>W609</f>
        <v/>
      </c>
      <c r="Y688" s="189">
        <f>X609</f>
        <v/>
      </c>
      <c r="Z688" s="189">
        <f>Y609</f>
        <v/>
      </c>
      <c r="AA688" s="189">
        <f>Z609</f>
        <v/>
      </c>
      <c r="AB688" s="189">
        <f>AA609</f>
        <v/>
      </c>
      <c r="AC688" s="189">
        <f>AB609</f>
        <v/>
      </c>
      <c r="AD688" s="189">
        <f>AC609</f>
        <v/>
      </c>
      <c r="AE688" s="189">
        <f>AD609</f>
        <v/>
      </c>
      <c r="AF688" s="189">
        <f>AE609</f>
        <v/>
      </c>
      <c r="AG688" s="189">
        <f>AF609</f>
        <v/>
      </c>
      <c r="AH688" s="189">
        <f>AG609</f>
        <v/>
      </c>
      <c r="AI688" s="189">
        <f>AH609</f>
        <v/>
      </c>
      <c r="AJ688" s="8">
        <f>AI609</f>
        <v/>
      </c>
      <c r="AK688" s="189">
        <f>AJ609</f>
        <v/>
      </c>
      <c r="AL688" s="189">
        <f>AK609</f>
        <v/>
      </c>
      <c r="AM688" s="189">
        <f>AL609</f>
        <v/>
      </c>
      <c r="AU688" s="187">
        <f>L649</f>
        <v/>
      </c>
    </row>
    <row r="689">
      <c r="B689" s="189">
        <f>F650</f>
        <v/>
      </c>
      <c r="C689" s="118" t="inlineStr">
        <is>
          <t>=</t>
        </is>
      </c>
      <c r="D689" s="189">
        <f>C610</f>
        <v/>
      </c>
      <c r="E689" s="189">
        <f>D610</f>
        <v/>
      </c>
      <c r="F689" s="189">
        <f>E610</f>
        <v/>
      </c>
      <c r="G689" s="189">
        <f>F610</f>
        <v/>
      </c>
      <c r="H689" s="189">
        <f>G610</f>
        <v/>
      </c>
      <c r="I689" s="189">
        <f>H610</f>
        <v/>
      </c>
      <c r="J689" s="189">
        <f>I610</f>
        <v/>
      </c>
      <c r="K689" s="189">
        <f>J610</f>
        <v/>
      </c>
      <c r="L689" s="189">
        <f>K610</f>
        <v/>
      </c>
      <c r="M689" s="189">
        <f>L610</f>
        <v/>
      </c>
      <c r="N689" s="189">
        <f>M610</f>
        <v/>
      </c>
      <c r="O689" s="189">
        <f>N610</f>
        <v/>
      </c>
      <c r="P689" s="189">
        <f>O610</f>
        <v/>
      </c>
      <c r="Q689" s="189">
        <f>P610</f>
        <v/>
      </c>
      <c r="R689" s="189">
        <f>Q610</f>
        <v/>
      </c>
      <c r="S689" s="189">
        <f>R610</f>
        <v/>
      </c>
      <c r="T689" s="189">
        <f>S610</f>
        <v/>
      </c>
      <c r="U689" s="189">
        <f>T610</f>
        <v/>
      </c>
      <c r="V689" s="189">
        <f>U610</f>
        <v/>
      </c>
      <c r="W689" s="189">
        <f>V610</f>
        <v/>
      </c>
      <c r="X689" s="189">
        <f>W610</f>
        <v/>
      </c>
      <c r="Y689" s="189">
        <f>X610</f>
        <v/>
      </c>
      <c r="Z689" s="189">
        <f>Y610</f>
        <v/>
      </c>
      <c r="AA689" s="189">
        <f>Z610</f>
        <v/>
      </c>
      <c r="AB689" s="189">
        <f>AA610</f>
        <v/>
      </c>
      <c r="AC689" s="189">
        <f>AB610</f>
        <v/>
      </c>
      <c r="AD689" s="189">
        <f>AC610</f>
        <v/>
      </c>
      <c r="AE689" s="189">
        <f>AD610</f>
        <v/>
      </c>
      <c r="AF689" s="189">
        <f>AE610</f>
        <v/>
      </c>
      <c r="AG689" s="189">
        <f>AF610</f>
        <v/>
      </c>
      <c r="AH689" s="189">
        <f>AG610</f>
        <v/>
      </c>
      <c r="AI689" s="189">
        <f>AH610</f>
        <v/>
      </c>
      <c r="AJ689" s="189">
        <f>AI610</f>
        <v/>
      </c>
      <c r="AK689" s="8">
        <f>AJ610</f>
        <v/>
      </c>
      <c r="AL689" s="189">
        <f>AK610</f>
        <v/>
      </c>
      <c r="AM689" s="189">
        <f>AL610</f>
        <v/>
      </c>
      <c r="AU689" s="187">
        <f>L650</f>
        <v/>
      </c>
    </row>
    <row r="690">
      <c r="B690" s="189">
        <f>F651</f>
        <v/>
      </c>
      <c r="C690" s="118" t="inlineStr">
        <is>
          <t>=</t>
        </is>
      </c>
      <c r="D690" s="189">
        <f>C611</f>
        <v/>
      </c>
      <c r="E690" s="189">
        <f>D611</f>
        <v/>
      </c>
      <c r="F690" s="189">
        <f>E611</f>
        <v/>
      </c>
      <c r="G690" s="189">
        <f>F611</f>
        <v/>
      </c>
      <c r="H690" s="189">
        <f>G611</f>
        <v/>
      </c>
      <c r="I690" s="189">
        <f>H611</f>
        <v/>
      </c>
      <c r="J690" s="189">
        <f>I611</f>
        <v/>
      </c>
      <c r="K690" s="189">
        <f>J611</f>
        <v/>
      </c>
      <c r="L690" s="189">
        <f>K611</f>
        <v/>
      </c>
      <c r="M690" s="189">
        <f>L611</f>
        <v/>
      </c>
      <c r="N690" s="189">
        <f>M611</f>
        <v/>
      </c>
      <c r="O690" s="189">
        <f>N611</f>
        <v/>
      </c>
      <c r="P690" s="189">
        <f>O611</f>
        <v/>
      </c>
      <c r="Q690" s="189">
        <f>P611</f>
        <v/>
      </c>
      <c r="R690" s="189">
        <f>Q611</f>
        <v/>
      </c>
      <c r="S690" s="189">
        <f>R611</f>
        <v/>
      </c>
      <c r="T690" s="189">
        <f>S611</f>
        <v/>
      </c>
      <c r="U690" s="189">
        <f>T611</f>
        <v/>
      </c>
      <c r="V690" s="189">
        <f>U611</f>
        <v/>
      </c>
      <c r="W690" s="189">
        <f>V611</f>
        <v/>
      </c>
      <c r="X690" s="189">
        <f>W611</f>
        <v/>
      </c>
      <c r="Y690" s="189">
        <f>X611</f>
        <v/>
      </c>
      <c r="Z690" s="189">
        <f>Y611</f>
        <v/>
      </c>
      <c r="AA690" s="189">
        <f>Z611</f>
        <v/>
      </c>
      <c r="AB690" s="189">
        <f>AA611</f>
        <v/>
      </c>
      <c r="AC690" s="189">
        <f>AB611</f>
        <v/>
      </c>
      <c r="AD690" s="189">
        <f>AC611</f>
        <v/>
      </c>
      <c r="AE690" s="189">
        <f>AD611</f>
        <v/>
      </c>
      <c r="AF690" s="189">
        <f>AE611</f>
        <v/>
      </c>
      <c r="AG690" s="189">
        <f>AF611</f>
        <v/>
      </c>
      <c r="AH690" s="189">
        <f>AG611</f>
        <v/>
      </c>
      <c r="AI690" s="189">
        <f>AH611</f>
        <v/>
      </c>
      <c r="AJ690" s="189">
        <f>AI611</f>
        <v/>
      </c>
      <c r="AK690" s="189">
        <f>AJ611</f>
        <v/>
      </c>
      <c r="AL690" s="8">
        <f>AK611</f>
        <v/>
      </c>
      <c r="AM690" s="189">
        <f>AL611</f>
        <v/>
      </c>
      <c r="AU690" s="187">
        <f>L651</f>
        <v/>
      </c>
    </row>
    <row r="691">
      <c r="B691" s="189">
        <f>F652</f>
        <v/>
      </c>
      <c r="C691" s="118" t="inlineStr">
        <is>
          <t>=</t>
        </is>
      </c>
      <c r="D691" s="189">
        <f>C612</f>
        <v/>
      </c>
      <c r="E691" s="189">
        <f>D612</f>
        <v/>
      </c>
      <c r="F691" s="189">
        <f>E612</f>
        <v/>
      </c>
      <c r="G691" s="189">
        <f>F612</f>
        <v/>
      </c>
      <c r="H691" s="189">
        <f>G612</f>
        <v/>
      </c>
      <c r="I691" s="189">
        <f>H612</f>
        <v/>
      </c>
      <c r="J691" s="189">
        <f>I612</f>
        <v/>
      </c>
      <c r="K691" s="189">
        <f>J612</f>
        <v/>
      </c>
      <c r="L691" s="189">
        <f>K612</f>
        <v/>
      </c>
      <c r="M691" s="189">
        <f>L612</f>
        <v/>
      </c>
      <c r="N691" s="189">
        <f>M612</f>
        <v/>
      </c>
      <c r="O691" s="189">
        <f>N612</f>
        <v/>
      </c>
      <c r="P691" s="189">
        <f>O612</f>
        <v/>
      </c>
      <c r="Q691" s="189">
        <f>P612</f>
        <v/>
      </c>
      <c r="R691" s="189">
        <f>Q612</f>
        <v/>
      </c>
      <c r="S691" s="189">
        <f>R612</f>
        <v/>
      </c>
      <c r="T691" s="189">
        <f>S612</f>
        <v/>
      </c>
      <c r="U691" s="189">
        <f>T612</f>
        <v/>
      </c>
      <c r="V691" s="189">
        <f>U612</f>
        <v/>
      </c>
      <c r="W691" s="189">
        <f>V612</f>
        <v/>
      </c>
      <c r="X691" s="189">
        <f>W612</f>
        <v/>
      </c>
      <c r="Y691" s="189">
        <f>X612</f>
        <v/>
      </c>
      <c r="Z691" s="189">
        <f>Y612</f>
        <v/>
      </c>
      <c r="AA691" s="189">
        <f>Z612</f>
        <v/>
      </c>
      <c r="AB691" s="189">
        <f>AA612</f>
        <v/>
      </c>
      <c r="AC691" s="189">
        <f>AB612</f>
        <v/>
      </c>
      <c r="AD691" s="189">
        <f>AC612</f>
        <v/>
      </c>
      <c r="AE691" s="189">
        <f>AD612</f>
        <v/>
      </c>
      <c r="AF691" s="189">
        <f>AE612</f>
        <v/>
      </c>
      <c r="AG691" s="189">
        <f>AF612</f>
        <v/>
      </c>
      <c r="AH691" s="189">
        <f>AG612</f>
        <v/>
      </c>
      <c r="AI691" s="189">
        <f>AH612</f>
        <v/>
      </c>
      <c r="AJ691" s="189">
        <f>AI612</f>
        <v/>
      </c>
      <c r="AK691" s="189">
        <f>AJ612</f>
        <v/>
      </c>
      <c r="AL691" s="189">
        <f>AK612</f>
        <v/>
      </c>
      <c r="AM691" s="8">
        <f>AL612</f>
        <v/>
      </c>
      <c r="AU691" s="187">
        <f>L652</f>
        <v/>
      </c>
    </row>
    <row r="695">
      <c r="C695" s="58" t="inlineStr">
        <is>
          <t>BLOQUE TÉCNICO DE RESOLUCIÓN AUTOMÁTICA [K_SOLVER] (INVERSIÓN POR PENALIZACIÓN/IDENTIDAD)</t>
        </is>
      </c>
      <c r="D695" s="190" t="n"/>
      <c r="E695" s="190" t="n"/>
      <c r="F695" s="190" t="n"/>
      <c r="G695" s="190" t="n"/>
      <c r="H695" s="190" t="n"/>
      <c r="I695" s="190" t="n"/>
      <c r="J695" s="190" t="n"/>
      <c r="K695" s="190" t="n"/>
      <c r="L695" s="190" t="n"/>
      <c r="M695" s="190" t="n"/>
      <c r="N695" s="190" t="n"/>
      <c r="O695" s="190" t="n"/>
      <c r="P695" s="190" t="n"/>
      <c r="Q695" s="190" t="n"/>
      <c r="R695" s="190" t="n"/>
      <c r="S695" s="190" t="n"/>
      <c r="T695" s="190" t="n"/>
      <c r="U695" s="190" t="n"/>
      <c r="V695" s="190" t="n"/>
      <c r="W695" s="190" t="n"/>
      <c r="X695" s="190" t="n"/>
      <c r="Y695" s="190" t="n"/>
      <c r="Z695" s="190" t="n"/>
      <c r="AA695" s="190" t="n"/>
      <c r="AB695" s="190" t="n"/>
      <c r="AC695" s="190" t="n"/>
      <c r="AD695" s="190" t="n"/>
      <c r="AE695" s="190" t="n"/>
      <c r="AF695" s="190" t="n"/>
      <c r="AG695" s="190" t="n"/>
      <c r="AH695" s="190" t="n"/>
      <c r="AI695" s="190" t="n"/>
      <c r="AJ695" s="190" t="n"/>
      <c r="AK695" s="190" t="n"/>
      <c r="AL695" s="191" t="n"/>
    </row>
    <row r="696" ht="79.2" customHeight="1" s="183">
      <c r="AN696" s="58" t="inlineStr">
        <is>
          <t>D_CALCULADO</t>
        </is>
      </c>
      <c r="AP696" s="58" t="inlineStr">
        <is>
          <t>REACCIONES_CALCULADAS</t>
        </is>
      </c>
    </row>
    <row r="697">
      <c r="C697" s="189">
        <f>IF($O617="RESTRINGIDO", 1, IF(OR($O617="", $C577=""), 1, C577))</f>
        <v/>
      </c>
      <c r="D697" s="189">
        <f>IF(OR($O617="RESTRINGIDO", $O618="RESTRINGIDO"), 0, D577)</f>
        <v/>
      </c>
      <c r="E697" s="189">
        <f>IF(OR($O617="RESTRINGIDO", $O619="RESTRINGIDO"), 0, E577)</f>
        <v/>
      </c>
      <c r="F697" s="189">
        <f>IF(OR($O617="RESTRINGIDO", $O620="RESTRINGIDO"), 0, F577)</f>
        <v/>
      </c>
      <c r="G697" s="189">
        <f>IF(OR($O617="RESTRINGIDO", $O621="RESTRINGIDO"), 0, G577)</f>
        <v/>
      </c>
      <c r="H697" s="189">
        <f>IF(OR($O617="RESTRINGIDO", $O622="RESTRINGIDO"), 0, H577)</f>
        <v/>
      </c>
      <c r="I697" s="189">
        <f>IF(OR($O617="RESTRINGIDO", $O623="RESTRINGIDO"), 0, I577)</f>
        <v/>
      </c>
      <c r="J697" s="189">
        <f>IF(OR($O617="RESTRINGIDO", $O624="RESTRINGIDO"), 0, J577)</f>
        <v/>
      </c>
      <c r="K697" s="189">
        <f>IF(OR($O617="RESTRINGIDO", $O625="RESTRINGIDO"), 0, K577)</f>
        <v/>
      </c>
      <c r="L697" s="189">
        <f>IF(OR($O617="RESTRINGIDO", $O626="RESTRINGIDO"), 0, L577)</f>
        <v/>
      </c>
      <c r="M697" s="189">
        <f>IF(OR($O617="RESTRINGIDO", $O627="RESTRINGIDO"), 0, M577)</f>
        <v/>
      </c>
      <c r="N697" s="189">
        <f>IF(OR($O617="RESTRINGIDO", $O628="RESTRINGIDO"), 0, N577)</f>
        <v/>
      </c>
      <c r="O697" s="189">
        <f>IF(OR($O617="RESTRINGIDO", $O629="RESTRINGIDO"), 0, O577)</f>
        <v/>
      </c>
      <c r="P697" s="189">
        <f>IF(OR($O617="RESTRINGIDO", $O630="RESTRINGIDO"), 0, P577)</f>
        <v/>
      </c>
      <c r="Q697" s="189">
        <f>IF(OR($O617="RESTRINGIDO", $O631="RESTRINGIDO"), 0, Q577)</f>
        <v/>
      </c>
      <c r="R697" s="189">
        <f>IF(OR($O617="RESTRINGIDO", $O632="RESTRINGIDO"), 0, R577)</f>
        <v/>
      </c>
      <c r="S697" s="189">
        <f>IF(OR($O617="RESTRINGIDO", $O633="RESTRINGIDO"), 0, S577)</f>
        <v/>
      </c>
      <c r="T697" s="189">
        <f>IF(OR($O617="RESTRINGIDO", $O634="RESTRINGIDO"), 0, T577)</f>
        <v/>
      </c>
      <c r="U697" s="189">
        <f>IF(OR($O617="RESTRINGIDO", $O635="RESTRINGIDO"), 0, U577)</f>
        <v/>
      </c>
      <c r="V697" s="189">
        <f>IF(OR($O617="RESTRINGIDO", $O636="RESTRINGIDO"), 0, V577)</f>
        <v/>
      </c>
      <c r="W697" s="189">
        <f>IF(OR($O617="RESTRINGIDO", $O637="RESTRINGIDO"), 0, W577)</f>
        <v/>
      </c>
      <c r="X697" s="189">
        <f>IF(OR($O617="RESTRINGIDO", $O638="RESTRINGIDO"), 0, X577)</f>
        <v/>
      </c>
      <c r="Y697" s="189">
        <f>IF(OR($O617="RESTRINGIDO", $O639="RESTRINGIDO"), 0, Y577)</f>
        <v/>
      </c>
      <c r="Z697" s="189">
        <f>IF(OR($O617="RESTRINGIDO", $O640="RESTRINGIDO"), 0, Z577)</f>
        <v/>
      </c>
      <c r="AA697" s="189">
        <f>IF(OR($O617="RESTRINGIDO", $O641="RESTRINGIDO"), 0, AA577)</f>
        <v/>
      </c>
      <c r="AB697" s="189">
        <f>IF(OR($O617="RESTRINGIDO", $O642="RESTRINGIDO"), 0, AB577)</f>
        <v/>
      </c>
      <c r="AC697" s="189">
        <f>IF(OR($O617="RESTRINGIDO", $O643="RESTRINGIDO"), 0, AC577)</f>
        <v/>
      </c>
      <c r="AD697" s="189">
        <f>IF(OR($O617="RESTRINGIDO", $O644="RESTRINGIDO"), 0, AD577)</f>
        <v/>
      </c>
      <c r="AE697" s="189">
        <f>IF(OR($O617="RESTRINGIDO", $O645="RESTRINGIDO"), 0, AE577)</f>
        <v/>
      </c>
      <c r="AF697" s="189">
        <f>IF(OR($O617="RESTRINGIDO", $O646="RESTRINGIDO"), 0, AF577)</f>
        <v/>
      </c>
      <c r="AG697" s="189">
        <f>IF(OR($O617="RESTRINGIDO", $O647="RESTRINGIDO"), 0, AG577)</f>
        <v/>
      </c>
      <c r="AH697" s="189">
        <f>IF(OR($O617="RESTRINGIDO", $O648="RESTRINGIDO"), 0, AH577)</f>
        <v/>
      </c>
      <c r="AI697" s="189">
        <f>IF(OR($O617="RESTRINGIDO", $O649="RESTRINGIDO"), 0, AI577)</f>
        <v/>
      </c>
      <c r="AJ697" s="189">
        <f>IF(OR($O617="RESTRINGIDO", $O650="RESTRINGIDO"), 0, AJ577)</f>
        <v/>
      </c>
      <c r="AK697" s="189">
        <f>IF(OR($O617="RESTRINGIDO", $O651="RESTRINGIDO"), 0, AK577)</f>
        <v/>
      </c>
      <c r="AL697" s="189">
        <f>IF(OR($O617="RESTRINGIDO", $O652="RESTRINGIDO"), 0, AL577)</f>
        <v/>
      </c>
      <c r="AM697" s="189">
        <f>IF($O617="LIBRE", IF(ISNUMBER(F617), F617, 0), 0)</f>
        <v/>
      </c>
      <c r="AN697" s="188">
        <f t="array" ref="AN697:AN732">MMULT(MINVERSE(C697:AL732), AM697:AM732)</f>
        <v/>
      </c>
      <c r="AP697" s="188">
        <f t="array" ref="AP697:AP732">MMULT(C577:AL612, AN697:AN732) - IF(ISNUMBER(F617:F652), F617:F652, 0)</f>
        <v/>
      </c>
    </row>
    <row r="698">
      <c r="C698" s="189">
        <f>IF(OR($O618="RESTRINGIDO", $O617="RESTRINGIDO"), 0, C578)</f>
        <v/>
      </c>
      <c r="D698" s="189">
        <f>IF($O618="RESTRINGIDO", 1, IF(OR($O618="", $C578=""), 1, D578))</f>
        <v/>
      </c>
      <c r="E698" s="189">
        <f>IF(OR($O618="RESTRINGIDO", $O619="RESTRINGIDO"), 0, E578)</f>
        <v/>
      </c>
      <c r="F698" s="189">
        <f>IF(OR($O618="RESTRINGIDO", $O620="RESTRINGIDO"), 0, F578)</f>
        <v/>
      </c>
      <c r="G698" s="189">
        <f>IF(OR($O618="RESTRINGIDO", $O621="RESTRINGIDO"), 0, G578)</f>
        <v/>
      </c>
      <c r="H698" s="189">
        <f>IF(OR($O618="RESTRINGIDO", $O622="RESTRINGIDO"), 0, H578)</f>
        <v/>
      </c>
      <c r="I698" s="189">
        <f>IF(OR($O618="RESTRINGIDO", $O623="RESTRINGIDO"), 0, I578)</f>
        <v/>
      </c>
      <c r="J698" s="189">
        <f>IF(OR($O618="RESTRINGIDO", $O624="RESTRINGIDO"), 0, J578)</f>
        <v/>
      </c>
      <c r="K698" s="189">
        <f>IF(OR($O618="RESTRINGIDO", $O625="RESTRINGIDO"), 0, K578)</f>
        <v/>
      </c>
      <c r="L698" s="189">
        <f>IF(OR($O618="RESTRINGIDO", $O626="RESTRINGIDO"), 0, L578)</f>
        <v/>
      </c>
      <c r="M698" s="189">
        <f>IF(OR($O618="RESTRINGIDO", $O627="RESTRINGIDO"), 0, M578)</f>
        <v/>
      </c>
      <c r="N698" s="189">
        <f>IF(OR($O618="RESTRINGIDO", $O628="RESTRINGIDO"), 0, N578)</f>
        <v/>
      </c>
      <c r="O698" s="189">
        <f>IF(OR($O618="RESTRINGIDO", $O629="RESTRINGIDO"), 0, O578)</f>
        <v/>
      </c>
      <c r="P698" s="189">
        <f>IF(OR($O618="RESTRINGIDO", $O630="RESTRINGIDO"), 0, P578)</f>
        <v/>
      </c>
      <c r="Q698" s="189">
        <f>IF(OR($O618="RESTRINGIDO", $O631="RESTRINGIDO"), 0, Q578)</f>
        <v/>
      </c>
      <c r="R698" s="189">
        <f>IF(OR($O618="RESTRINGIDO", $O632="RESTRINGIDO"), 0, R578)</f>
        <v/>
      </c>
      <c r="S698" s="189">
        <f>IF(OR($O618="RESTRINGIDO", $O633="RESTRINGIDO"), 0, S578)</f>
        <v/>
      </c>
      <c r="T698" s="189">
        <f>IF(OR($O618="RESTRINGIDO", $O634="RESTRINGIDO"), 0, T578)</f>
        <v/>
      </c>
      <c r="U698" s="189">
        <f>IF(OR($O618="RESTRINGIDO", $O635="RESTRINGIDO"), 0, U578)</f>
        <v/>
      </c>
      <c r="V698" s="189">
        <f>IF(OR($O618="RESTRINGIDO", $O636="RESTRINGIDO"), 0, V578)</f>
        <v/>
      </c>
      <c r="W698" s="189">
        <f>IF(OR($O618="RESTRINGIDO", $O637="RESTRINGIDO"), 0, W578)</f>
        <v/>
      </c>
      <c r="X698" s="189">
        <f>IF(OR($O618="RESTRINGIDO", $O638="RESTRINGIDO"), 0, X578)</f>
        <v/>
      </c>
      <c r="Y698" s="189">
        <f>IF(OR($O618="RESTRINGIDO", $O639="RESTRINGIDO"), 0, Y578)</f>
        <v/>
      </c>
      <c r="Z698" s="189">
        <f>IF(OR($O618="RESTRINGIDO", $O640="RESTRINGIDO"), 0, Z578)</f>
        <v/>
      </c>
      <c r="AA698" s="189">
        <f>IF(OR($O618="RESTRINGIDO", $O641="RESTRINGIDO"), 0, AA578)</f>
        <v/>
      </c>
      <c r="AB698" s="189">
        <f>IF(OR($O618="RESTRINGIDO", $O642="RESTRINGIDO"), 0, AB578)</f>
        <v/>
      </c>
      <c r="AC698" s="189">
        <f>IF(OR($O618="RESTRINGIDO", $O643="RESTRINGIDO"), 0, AC578)</f>
        <v/>
      </c>
      <c r="AD698" s="189">
        <f>IF(OR($O618="RESTRINGIDO", $O644="RESTRINGIDO"), 0, AD578)</f>
        <v/>
      </c>
      <c r="AE698" s="189">
        <f>IF(OR($O618="RESTRINGIDO", $O645="RESTRINGIDO"), 0, AE578)</f>
        <v/>
      </c>
      <c r="AF698" s="189">
        <f>IF(OR($O618="RESTRINGIDO", $O646="RESTRINGIDO"), 0, AF578)</f>
        <v/>
      </c>
      <c r="AG698" s="189">
        <f>IF(OR($O618="RESTRINGIDO", $O647="RESTRINGIDO"), 0, AG578)</f>
        <v/>
      </c>
      <c r="AH698" s="189">
        <f>IF(OR($O618="RESTRINGIDO", $O648="RESTRINGIDO"), 0, AH578)</f>
        <v/>
      </c>
      <c r="AI698" s="189">
        <f>IF(OR($O618="RESTRINGIDO", $O649="RESTRINGIDO"), 0, AI578)</f>
        <v/>
      </c>
      <c r="AJ698" s="189">
        <f>IF(OR($O618="RESTRINGIDO", $O650="RESTRINGIDO"), 0, AJ578)</f>
        <v/>
      </c>
      <c r="AK698" s="189">
        <f>IF(OR($O618="RESTRINGIDO", $O651="RESTRINGIDO"), 0, AK578)</f>
        <v/>
      </c>
      <c r="AL698" s="189">
        <f>IF(OR($O618="RESTRINGIDO", $O652="RESTRINGIDO"), 0, AL578)</f>
        <v/>
      </c>
      <c r="AM698" s="189">
        <f>IF($O618="LIBRE", IF(ISNUMBER(F618), F618, 0), 0)</f>
        <v/>
      </c>
      <c r="AN698" s="188" t="n">
        <v>0</v>
      </c>
      <c r="AP698" s="188" t="n">
        <v>0</v>
      </c>
    </row>
    <row r="699">
      <c r="C699" s="189">
        <f>IF(OR($O619="RESTRINGIDO", $O617="RESTRINGIDO"), 0, C579)</f>
        <v/>
      </c>
      <c r="D699" s="189">
        <f>IF(OR($O619="RESTRINGIDO", $O618="RESTRINGIDO"), 0, D579)</f>
        <v/>
      </c>
      <c r="E699" s="189">
        <f>IF($O619="RESTRINGIDO", 1, IF(OR($O619="", $C579=""), 1, E579))</f>
        <v/>
      </c>
      <c r="F699" s="189">
        <f>IF(OR($O619="RESTRINGIDO", $O620="RESTRINGIDO"), 0, F579)</f>
        <v/>
      </c>
      <c r="G699" s="189">
        <f>IF(OR($O619="RESTRINGIDO", $O621="RESTRINGIDO"), 0, G579)</f>
        <v/>
      </c>
      <c r="H699" s="189">
        <f>IF(OR($O619="RESTRINGIDO", $O622="RESTRINGIDO"), 0, H579)</f>
        <v/>
      </c>
      <c r="I699" s="189">
        <f>IF(OR($O619="RESTRINGIDO", $O623="RESTRINGIDO"), 0, I579)</f>
        <v/>
      </c>
      <c r="J699" s="189">
        <f>IF(OR($O619="RESTRINGIDO", $O624="RESTRINGIDO"), 0, J579)</f>
        <v/>
      </c>
      <c r="K699" s="189">
        <f>IF(OR($O619="RESTRINGIDO", $O625="RESTRINGIDO"), 0, K579)</f>
        <v/>
      </c>
      <c r="L699" s="189">
        <f>IF(OR($O619="RESTRINGIDO", $O626="RESTRINGIDO"), 0, L579)</f>
        <v/>
      </c>
      <c r="M699" s="189">
        <f>IF(OR($O619="RESTRINGIDO", $O627="RESTRINGIDO"), 0, M579)</f>
        <v/>
      </c>
      <c r="N699" s="189">
        <f>IF(OR($O619="RESTRINGIDO", $O628="RESTRINGIDO"), 0, N579)</f>
        <v/>
      </c>
      <c r="O699" s="189">
        <f>IF(OR($O619="RESTRINGIDO", $O629="RESTRINGIDO"), 0, O579)</f>
        <v/>
      </c>
      <c r="P699" s="189">
        <f>IF(OR($O619="RESTRINGIDO", $O630="RESTRINGIDO"), 0, P579)</f>
        <v/>
      </c>
      <c r="Q699" s="189">
        <f>IF(OR($O619="RESTRINGIDO", $O631="RESTRINGIDO"), 0, Q579)</f>
        <v/>
      </c>
      <c r="R699" s="189">
        <f>IF(OR($O619="RESTRINGIDO", $O632="RESTRINGIDO"), 0, R579)</f>
        <v/>
      </c>
      <c r="S699" s="189">
        <f>IF(OR($O619="RESTRINGIDO", $O633="RESTRINGIDO"), 0, S579)</f>
        <v/>
      </c>
      <c r="T699" s="189">
        <f>IF(OR($O619="RESTRINGIDO", $O634="RESTRINGIDO"), 0, T579)</f>
        <v/>
      </c>
      <c r="U699" s="189">
        <f>IF(OR($O619="RESTRINGIDO", $O635="RESTRINGIDO"), 0, U579)</f>
        <v/>
      </c>
      <c r="V699" s="189">
        <f>IF(OR($O619="RESTRINGIDO", $O636="RESTRINGIDO"), 0, V579)</f>
        <v/>
      </c>
      <c r="W699" s="189">
        <f>IF(OR($O619="RESTRINGIDO", $O637="RESTRINGIDO"), 0, W579)</f>
        <v/>
      </c>
      <c r="X699" s="189">
        <f>IF(OR($O619="RESTRINGIDO", $O638="RESTRINGIDO"), 0, X579)</f>
        <v/>
      </c>
      <c r="Y699" s="189">
        <f>IF(OR($O619="RESTRINGIDO", $O639="RESTRINGIDO"), 0, Y579)</f>
        <v/>
      </c>
      <c r="Z699" s="189">
        <f>IF(OR($O619="RESTRINGIDO", $O640="RESTRINGIDO"), 0, Z579)</f>
        <v/>
      </c>
      <c r="AA699" s="189">
        <f>IF(OR($O619="RESTRINGIDO", $O641="RESTRINGIDO"), 0, AA579)</f>
        <v/>
      </c>
      <c r="AB699" s="189">
        <f>IF(OR($O619="RESTRINGIDO", $O642="RESTRINGIDO"), 0, AB579)</f>
        <v/>
      </c>
      <c r="AC699" s="189">
        <f>IF(OR($O619="RESTRINGIDO", $O643="RESTRINGIDO"), 0, AC579)</f>
        <v/>
      </c>
      <c r="AD699" s="189">
        <f>IF(OR($O619="RESTRINGIDO", $O644="RESTRINGIDO"), 0, AD579)</f>
        <v/>
      </c>
      <c r="AE699" s="189">
        <f>IF(OR($O619="RESTRINGIDO", $O645="RESTRINGIDO"), 0, AE579)</f>
        <v/>
      </c>
      <c r="AF699" s="189">
        <f>IF(OR($O619="RESTRINGIDO", $O646="RESTRINGIDO"), 0, AF579)</f>
        <v/>
      </c>
      <c r="AG699" s="189">
        <f>IF(OR($O619="RESTRINGIDO", $O647="RESTRINGIDO"), 0, AG579)</f>
        <v/>
      </c>
      <c r="AH699" s="189">
        <f>IF(OR($O619="RESTRINGIDO", $O648="RESTRINGIDO"), 0, AH579)</f>
        <v/>
      </c>
      <c r="AI699" s="189">
        <f>IF(OR($O619="RESTRINGIDO", $O649="RESTRINGIDO"), 0, AI579)</f>
        <v/>
      </c>
      <c r="AJ699" s="189">
        <f>IF(OR($O619="RESTRINGIDO", $O650="RESTRINGIDO"), 0, AJ579)</f>
        <v/>
      </c>
      <c r="AK699" s="189">
        <f>IF(OR($O619="RESTRINGIDO", $O651="RESTRINGIDO"), 0, AK579)</f>
        <v/>
      </c>
      <c r="AL699" s="189">
        <f>IF(OR($O619="RESTRINGIDO", $O652="RESTRINGIDO"), 0, AL579)</f>
        <v/>
      </c>
      <c r="AM699" s="189">
        <f>IF($O619="LIBRE", IF(ISNUMBER(F619), F619, 0), 0)</f>
        <v/>
      </c>
      <c r="AN699" s="188" t="n">
        <v>0</v>
      </c>
      <c r="AP699" s="188" t="n">
        <v>0</v>
      </c>
    </row>
    <row r="700">
      <c r="C700" s="189">
        <f>IF(OR($O620="RESTRINGIDO", $O617="RESTRINGIDO"), 0, C580)</f>
        <v/>
      </c>
      <c r="D700" s="189">
        <f>IF(OR($O620="RESTRINGIDO", $O618="RESTRINGIDO"), 0, D580)</f>
        <v/>
      </c>
      <c r="E700" s="189">
        <f>IF(OR($O620="RESTRINGIDO", $O619="RESTRINGIDO"), 0, E580)</f>
        <v/>
      </c>
      <c r="F700" s="189">
        <f>IF($O620="RESTRINGIDO", 1, IF(OR($O620="", $C580=""), 1, F580))</f>
        <v/>
      </c>
      <c r="G700" s="189">
        <f>IF(OR($O620="RESTRINGIDO", $O621="RESTRINGIDO"), 0, G580)</f>
        <v/>
      </c>
      <c r="H700" s="189">
        <f>IF(OR($O620="RESTRINGIDO", $O622="RESTRINGIDO"), 0, H580)</f>
        <v/>
      </c>
      <c r="I700" s="189">
        <f>IF(OR($O620="RESTRINGIDO", $O623="RESTRINGIDO"), 0, I580)</f>
        <v/>
      </c>
      <c r="J700" s="189">
        <f>IF(OR($O620="RESTRINGIDO", $O624="RESTRINGIDO"), 0, J580)</f>
        <v/>
      </c>
      <c r="K700" s="189">
        <f>IF(OR($O620="RESTRINGIDO", $O625="RESTRINGIDO"), 0, K580)</f>
        <v/>
      </c>
      <c r="L700" s="189">
        <f>IF(OR($O620="RESTRINGIDO", $O626="RESTRINGIDO"), 0, L580)</f>
        <v/>
      </c>
      <c r="M700" s="189">
        <f>IF(OR($O620="RESTRINGIDO", $O627="RESTRINGIDO"), 0, M580)</f>
        <v/>
      </c>
      <c r="N700" s="189">
        <f>IF(OR($O620="RESTRINGIDO", $O628="RESTRINGIDO"), 0, N580)</f>
        <v/>
      </c>
      <c r="O700" s="189">
        <f>IF(OR($O620="RESTRINGIDO", $O629="RESTRINGIDO"), 0, O580)</f>
        <v/>
      </c>
      <c r="P700" s="189">
        <f>IF(OR($O620="RESTRINGIDO", $O630="RESTRINGIDO"), 0, P580)</f>
        <v/>
      </c>
      <c r="Q700" s="189">
        <f>IF(OR($O620="RESTRINGIDO", $O631="RESTRINGIDO"), 0, Q580)</f>
        <v/>
      </c>
      <c r="R700" s="189">
        <f>IF(OR($O620="RESTRINGIDO", $O632="RESTRINGIDO"), 0, R580)</f>
        <v/>
      </c>
      <c r="S700" s="189">
        <f>IF(OR($O620="RESTRINGIDO", $O633="RESTRINGIDO"), 0, S580)</f>
        <v/>
      </c>
      <c r="T700" s="189">
        <f>IF(OR($O620="RESTRINGIDO", $O634="RESTRINGIDO"), 0, T580)</f>
        <v/>
      </c>
      <c r="U700" s="189">
        <f>IF(OR($O620="RESTRINGIDO", $O635="RESTRINGIDO"), 0, U580)</f>
        <v/>
      </c>
      <c r="V700" s="189">
        <f>IF(OR($O620="RESTRINGIDO", $O636="RESTRINGIDO"), 0, V580)</f>
        <v/>
      </c>
      <c r="W700" s="189">
        <f>IF(OR($O620="RESTRINGIDO", $O637="RESTRINGIDO"), 0, W580)</f>
        <v/>
      </c>
      <c r="X700" s="189">
        <f>IF(OR($O620="RESTRINGIDO", $O638="RESTRINGIDO"), 0, X580)</f>
        <v/>
      </c>
      <c r="Y700" s="189">
        <f>IF(OR($O620="RESTRINGIDO", $O639="RESTRINGIDO"), 0, Y580)</f>
        <v/>
      </c>
      <c r="Z700" s="189">
        <f>IF(OR($O620="RESTRINGIDO", $O640="RESTRINGIDO"), 0, Z580)</f>
        <v/>
      </c>
      <c r="AA700" s="189">
        <f>IF(OR($O620="RESTRINGIDO", $O641="RESTRINGIDO"), 0, AA580)</f>
        <v/>
      </c>
      <c r="AB700" s="189">
        <f>IF(OR($O620="RESTRINGIDO", $O642="RESTRINGIDO"), 0, AB580)</f>
        <v/>
      </c>
      <c r="AC700" s="189">
        <f>IF(OR($O620="RESTRINGIDO", $O643="RESTRINGIDO"), 0, AC580)</f>
        <v/>
      </c>
      <c r="AD700" s="189">
        <f>IF(OR($O620="RESTRINGIDO", $O644="RESTRINGIDO"), 0, AD580)</f>
        <v/>
      </c>
      <c r="AE700" s="189">
        <f>IF(OR($O620="RESTRINGIDO", $O645="RESTRINGIDO"), 0, AE580)</f>
        <v/>
      </c>
      <c r="AF700" s="189">
        <f>IF(OR($O620="RESTRINGIDO", $O646="RESTRINGIDO"), 0, AF580)</f>
        <v/>
      </c>
      <c r="AG700" s="189">
        <f>IF(OR($O620="RESTRINGIDO", $O647="RESTRINGIDO"), 0, AG580)</f>
        <v/>
      </c>
      <c r="AH700" s="189">
        <f>IF(OR($O620="RESTRINGIDO", $O648="RESTRINGIDO"), 0, AH580)</f>
        <v/>
      </c>
      <c r="AI700" s="189">
        <f>IF(OR($O620="RESTRINGIDO", $O649="RESTRINGIDO"), 0, AI580)</f>
        <v/>
      </c>
      <c r="AJ700" s="189">
        <f>IF(OR($O620="RESTRINGIDO", $O650="RESTRINGIDO"), 0, AJ580)</f>
        <v/>
      </c>
      <c r="AK700" s="189">
        <f>IF(OR($O620="RESTRINGIDO", $O651="RESTRINGIDO"), 0, AK580)</f>
        <v/>
      </c>
      <c r="AL700" s="189">
        <f>IF(OR($O620="RESTRINGIDO", $O652="RESTRINGIDO"), 0, AL580)</f>
        <v/>
      </c>
      <c r="AM700" s="189">
        <f>IF($O620="LIBRE", IF(ISNUMBER(F620), F620, 0), 0)</f>
        <v/>
      </c>
      <c r="AN700" s="188" t="n">
        <v>0</v>
      </c>
      <c r="AP700" s="188" t="n">
        <v>0</v>
      </c>
    </row>
    <row r="701">
      <c r="C701" s="189">
        <f>IF(OR($O621="RESTRINGIDO", $O617="RESTRINGIDO"), 0, C581)</f>
        <v/>
      </c>
      <c r="D701" s="189">
        <f>IF(OR($O621="RESTRINGIDO", $O618="RESTRINGIDO"), 0, D581)</f>
        <v/>
      </c>
      <c r="E701" s="189">
        <f>IF(OR($O621="RESTRINGIDO", $O619="RESTRINGIDO"), 0, E581)</f>
        <v/>
      </c>
      <c r="F701" s="189">
        <f>IF(OR($O621="RESTRINGIDO", $O620="RESTRINGIDO"), 0, F581)</f>
        <v/>
      </c>
      <c r="G701" s="189">
        <f>IF($O621="RESTRINGIDO", 1, IF(OR($O621="", $C581=""), 1, G581))</f>
        <v/>
      </c>
      <c r="H701" s="189">
        <f>IF(OR($O621="RESTRINGIDO", $O622="RESTRINGIDO"), 0, H581)</f>
        <v/>
      </c>
      <c r="I701" s="189">
        <f>IF(OR($O621="RESTRINGIDO", $O623="RESTRINGIDO"), 0, I581)</f>
        <v/>
      </c>
      <c r="J701" s="189">
        <f>IF(OR($O621="RESTRINGIDO", $O624="RESTRINGIDO"), 0, J581)</f>
        <v/>
      </c>
      <c r="K701" s="189">
        <f>IF(OR($O621="RESTRINGIDO", $O625="RESTRINGIDO"), 0, K581)</f>
        <v/>
      </c>
      <c r="L701" s="189">
        <f>IF(OR($O621="RESTRINGIDO", $O626="RESTRINGIDO"), 0, L581)</f>
        <v/>
      </c>
      <c r="M701" s="189">
        <f>IF(OR($O621="RESTRINGIDO", $O627="RESTRINGIDO"), 0, M581)</f>
        <v/>
      </c>
      <c r="N701" s="189">
        <f>IF(OR($O621="RESTRINGIDO", $O628="RESTRINGIDO"), 0, N581)</f>
        <v/>
      </c>
      <c r="O701" s="189">
        <f>IF(OR($O621="RESTRINGIDO", $O629="RESTRINGIDO"), 0, O581)</f>
        <v/>
      </c>
      <c r="P701" s="189">
        <f>IF(OR($O621="RESTRINGIDO", $O630="RESTRINGIDO"), 0, P581)</f>
        <v/>
      </c>
      <c r="Q701" s="189">
        <f>IF(OR($O621="RESTRINGIDO", $O631="RESTRINGIDO"), 0, Q581)</f>
        <v/>
      </c>
      <c r="R701" s="189">
        <f>IF(OR($O621="RESTRINGIDO", $O632="RESTRINGIDO"), 0, R581)</f>
        <v/>
      </c>
      <c r="S701" s="189">
        <f>IF(OR($O621="RESTRINGIDO", $O633="RESTRINGIDO"), 0, S581)</f>
        <v/>
      </c>
      <c r="T701" s="189">
        <f>IF(OR($O621="RESTRINGIDO", $O634="RESTRINGIDO"), 0, T581)</f>
        <v/>
      </c>
      <c r="U701" s="189">
        <f>IF(OR($O621="RESTRINGIDO", $O635="RESTRINGIDO"), 0, U581)</f>
        <v/>
      </c>
      <c r="V701" s="189">
        <f>IF(OR($O621="RESTRINGIDO", $O636="RESTRINGIDO"), 0, V581)</f>
        <v/>
      </c>
      <c r="W701" s="189">
        <f>IF(OR($O621="RESTRINGIDO", $O637="RESTRINGIDO"), 0, W581)</f>
        <v/>
      </c>
      <c r="X701" s="189">
        <f>IF(OR($O621="RESTRINGIDO", $O638="RESTRINGIDO"), 0, X581)</f>
        <v/>
      </c>
      <c r="Y701" s="189">
        <f>IF(OR($O621="RESTRINGIDO", $O639="RESTRINGIDO"), 0, Y581)</f>
        <v/>
      </c>
      <c r="Z701" s="189">
        <f>IF(OR($O621="RESTRINGIDO", $O640="RESTRINGIDO"), 0, Z581)</f>
        <v/>
      </c>
      <c r="AA701" s="189">
        <f>IF(OR($O621="RESTRINGIDO", $O641="RESTRINGIDO"), 0, AA581)</f>
        <v/>
      </c>
      <c r="AB701" s="189">
        <f>IF(OR($O621="RESTRINGIDO", $O642="RESTRINGIDO"), 0, AB581)</f>
        <v/>
      </c>
      <c r="AC701" s="189">
        <f>IF(OR($O621="RESTRINGIDO", $O643="RESTRINGIDO"), 0, AC581)</f>
        <v/>
      </c>
      <c r="AD701" s="189">
        <f>IF(OR($O621="RESTRINGIDO", $O644="RESTRINGIDO"), 0, AD581)</f>
        <v/>
      </c>
      <c r="AE701" s="189">
        <f>IF(OR($O621="RESTRINGIDO", $O645="RESTRINGIDO"), 0, AE581)</f>
        <v/>
      </c>
      <c r="AF701" s="189">
        <f>IF(OR($O621="RESTRINGIDO", $O646="RESTRINGIDO"), 0, AF581)</f>
        <v/>
      </c>
      <c r="AG701" s="189">
        <f>IF(OR($O621="RESTRINGIDO", $O647="RESTRINGIDO"), 0, AG581)</f>
        <v/>
      </c>
      <c r="AH701" s="189">
        <f>IF(OR($O621="RESTRINGIDO", $O648="RESTRINGIDO"), 0, AH581)</f>
        <v/>
      </c>
      <c r="AI701" s="189">
        <f>IF(OR($O621="RESTRINGIDO", $O649="RESTRINGIDO"), 0, AI581)</f>
        <v/>
      </c>
      <c r="AJ701" s="189">
        <f>IF(OR($O621="RESTRINGIDO", $O650="RESTRINGIDO"), 0, AJ581)</f>
        <v/>
      </c>
      <c r="AK701" s="189">
        <f>IF(OR($O621="RESTRINGIDO", $O651="RESTRINGIDO"), 0, AK581)</f>
        <v/>
      </c>
      <c r="AL701" s="189">
        <f>IF(OR($O621="RESTRINGIDO", $O652="RESTRINGIDO"), 0, AL581)</f>
        <v/>
      </c>
      <c r="AM701" s="189">
        <f>IF($O621="LIBRE", IF(ISNUMBER(F621), F621, 0), 0)</f>
        <v/>
      </c>
      <c r="AN701" s="188" t="n">
        <v>0</v>
      </c>
      <c r="AP701" s="188" t="n">
        <v>0</v>
      </c>
    </row>
    <row r="702">
      <c r="C702" s="189">
        <f>IF(OR($O622="RESTRINGIDO", $O617="RESTRINGIDO"), 0, C582)</f>
        <v/>
      </c>
      <c r="D702" s="189">
        <f>IF(OR($O622="RESTRINGIDO", $O618="RESTRINGIDO"), 0, D582)</f>
        <v/>
      </c>
      <c r="E702" s="189">
        <f>IF(OR($O622="RESTRINGIDO", $O619="RESTRINGIDO"), 0, E582)</f>
        <v/>
      </c>
      <c r="F702" s="189">
        <f>IF(OR($O622="RESTRINGIDO", $O620="RESTRINGIDO"), 0, F582)</f>
        <v/>
      </c>
      <c r="G702" s="189">
        <f>IF(OR($O622="RESTRINGIDO", $O621="RESTRINGIDO"), 0, G582)</f>
        <v/>
      </c>
      <c r="H702" s="189">
        <f>IF($O622="RESTRINGIDO", 1, IF(OR($O622="", $C582=""), 1, H582))</f>
        <v/>
      </c>
      <c r="I702" s="189">
        <f>IF(OR($O622="RESTRINGIDO", $O623="RESTRINGIDO"), 0, I582)</f>
        <v/>
      </c>
      <c r="J702" s="189">
        <f>IF(OR($O622="RESTRINGIDO", $O624="RESTRINGIDO"), 0, J582)</f>
        <v/>
      </c>
      <c r="K702" s="189">
        <f>IF(OR($O622="RESTRINGIDO", $O625="RESTRINGIDO"), 0, K582)</f>
        <v/>
      </c>
      <c r="L702" s="189">
        <f>IF(OR($O622="RESTRINGIDO", $O626="RESTRINGIDO"), 0, L582)</f>
        <v/>
      </c>
      <c r="M702" s="189">
        <f>IF(OR($O622="RESTRINGIDO", $O627="RESTRINGIDO"), 0, M582)</f>
        <v/>
      </c>
      <c r="N702" s="189">
        <f>IF(OR($O622="RESTRINGIDO", $O628="RESTRINGIDO"), 0, N582)</f>
        <v/>
      </c>
      <c r="O702" s="189">
        <f>IF(OR($O622="RESTRINGIDO", $O629="RESTRINGIDO"), 0, O582)</f>
        <v/>
      </c>
      <c r="P702" s="189">
        <f>IF(OR($O622="RESTRINGIDO", $O630="RESTRINGIDO"), 0, P582)</f>
        <v/>
      </c>
      <c r="Q702" s="189">
        <f>IF(OR($O622="RESTRINGIDO", $O631="RESTRINGIDO"), 0, Q582)</f>
        <v/>
      </c>
      <c r="R702" s="189">
        <f>IF(OR($O622="RESTRINGIDO", $O632="RESTRINGIDO"), 0, R582)</f>
        <v/>
      </c>
      <c r="S702" s="189">
        <f>IF(OR($O622="RESTRINGIDO", $O633="RESTRINGIDO"), 0, S582)</f>
        <v/>
      </c>
      <c r="T702" s="189">
        <f>IF(OR($O622="RESTRINGIDO", $O634="RESTRINGIDO"), 0, T582)</f>
        <v/>
      </c>
      <c r="U702" s="189">
        <f>IF(OR($O622="RESTRINGIDO", $O635="RESTRINGIDO"), 0, U582)</f>
        <v/>
      </c>
      <c r="V702" s="189">
        <f>IF(OR($O622="RESTRINGIDO", $O636="RESTRINGIDO"), 0, V582)</f>
        <v/>
      </c>
      <c r="W702" s="189">
        <f>IF(OR($O622="RESTRINGIDO", $O637="RESTRINGIDO"), 0, W582)</f>
        <v/>
      </c>
      <c r="X702" s="189">
        <f>IF(OR($O622="RESTRINGIDO", $O638="RESTRINGIDO"), 0, X582)</f>
        <v/>
      </c>
      <c r="Y702" s="189">
        <f>IF(OR($O622="RESTRINGIDO", $O639="RESTRINGIDO"), 0, Y582)</f>
        <v/>
      </c>
      <c r="Z702" s="189">
        <f>IF(OR($O622="RESTRINGIDO", $O640="RESTRINGIDO"), 0, Z582)</f>
        <v/>
      </c>
      <c r="AA702" s="189">
        <f>IF(OR($O622="RESTRINGIDO", $O641="RESTRINGIDO"), 0, AA582)</f>
        <v/>
      </c>
      <c r="AB702" s="189">
        <f>IF(OR($O622="RESTRINGIDO", $O642="RESTRINGIDO"), 0, AB582)</f>
        <v/>
      </c>
      <c r="AC702" s="189">
        <f>IF(OR($O622="RESTRINGIDO", $O643="RESTRINGIDO"), 0, AC582)</f>
        <v/>
      </c>
      <c r="AD702" s="189">
        <f>IF(OR($O622="RESTRINGIDO", $O644="RESTRINGIDO"), 0, AD582)</f>
        <v/>
      </c>
      <c r="AE702" s="189">
        <f>IF(OR($O622="RESTRINGIDO", $O645="RESTRINGIDO"), 0, AE582)</f>
        <v/>
      </c>
      <c r="AF702" s="189">
        <f>IF(OR($O622="RESTRINGIDO", $O646="RESTRINGIDO"), 0, AF582)</f>
        <v/>
      </c>
      <c r="AG702" s="189">
        <f>IF(OR($O622="RESTRINGIDO", $O647="RESTRINGIDO"), 0, AG582)</f>
        <v/>
      </c>
      <c r="AH702" s="189">
        <f>IF(OR($O622="RESTRINGIDO", $O648="RESTRINGIDO"), 0, AH582)</f>
        <v/>
      </c>
      <c r="AI702" s="189">
        <f>IF(OR($O622="RESTRINGIDO", $O649="RESTRINGIDO"), 0, AI582)</f>
        <v/>
      </c>
      <c r="AJ702" s="189">
        <f>IF(OR($O622="RESTRINGIDO", $O650="RESTRINGIDO"), 0, AJ582)</f>
        <v/>
      </c>
      <c r="AK702" s="189">
        <f>IF(OR($O622="RESTRINGIDO", $O651="RESTRINGIDO"), 0, AK582)</f>
        <v/>
      </c>
      <c r="AL702" s="189">
        <f>IF(OR($O622="RESTRINGIDO", $O652="RESTRINGIDO"), 0, AL582)</f>
        <v/>
      </c>
      <c r="AM702" s="189">
        <f>IF($O622="LIBRE", IF(ISNUMBER(F622), F622, 0), 0)</f>
        <v/>
      </c>
      <c r="AN702" s="188" t="n">
        <v>0</v>
      </c>
      <c r="AP702" s="188" t="n">
        <v>0</v>
      </c>
    </row>
    <row r="703">
      <c r="C703" s="189">
        <f>IF(OR($O623="RESTRINGIDO", $O617="RESTRINGIDO"), 0, C583)</f>
        <v/>
      </c>
      <c r="D703" s="189">
        <f>IF(OR($O623="RESTRINGIDO", $O618="RESTRINGIDO"), 0, D583)</f>
        <v/>
      </c>
      <c r="E703" s="189">
        <f>IF(OR($O623="RESTRINGIDO", $O619="RESTRINGIDO"), 0, E583)</f>
        <v/>
      </c>
      <c r="F703" s="189">
        <f>IF(OR($O623="RESTRINGIDO", $O620="RESTRINGIDO"), 0, F583)</f>
        <v/>
      </c>
      <c r="G703" s="189">
        <f>IF(OR($O623="RESTRINGIDO", $O621="RESTRINGIDO"), 0, G583)</f>
        <v/>
      </c>
      <c r="H703" s="189">
        <f>IF(OR($O623="RESTRINGIDO", $O622="RESTRINGIDO"), 0, H583)</f>
        <v/>
      </c>
      <c r="I703" s="189">
        <f>IF($O623="RESTRINGIDO", 1, IF(OR($O623="", $C583=""), 1, I583))</f>
        <v/>
      </c>
      <c r="J703" s="189">
        <f>IF(OR($O623="RESTRINGIDO", $O624="RESTRINGIDO"), 0, J583)</f>
        <v/>
      </c>
      <c r="K703" s="189">
        <f>IF(OR($O623="RESTRINGIDO", $O625="RESTRINGIDO"), 0, K583)</f>
        <v/>
      </c>
      <c r="L703" s="189">
        <f>IF(OR($O623="RESTRINGIDO", $O626="RESTRINGIDO"), 0, L583)</f>
        <v/>
      </c>
      <c r="M703" s="189">
        <f>IF(OR($O623="RESTRINGIDO", $O627="RESTRINGIDO"), 0, M583)</f>
        <v/>
      </c>
      <c r="N703" s="189">
        <f>IF(OR($O623="RESTRINGIDO", $O628="RESTRINGIDO"), 0, N583)</f>
        <v/>
      </c>
      <c r="O703" s="189">
        <f>IF(OR($O623="RESTRINGIDO", $O629="RESTRINGIDO"), 0, O583)</f>
        <v/>
      </c>
      <c r="P703" s="189">
        <f>IF(OR($O623="RESTRINGIDO", $O630="RESTRINGIDO"), 0, P583)</f>
        <v/>
      </c>
      <c r="Q703" s="189">
        <f>IF(OR($O623="RESTRINGIDO", $O631="RESTRINGIDO"), 0, Q583)</f>
        <v/>
      </c>
      <c r="R703" s="189">
        <f>IF(OR($O623="RESTRINGIDO", $O632="RESTRINGIDO"), 0, R583)</f>
        <v/>
      </c>
      <c r="S703" s="189">
        <f>IF(OR($O623="RESTRINGIDO", $O633="RESTRINGIDO"), 0, S583)</f>
        <v/>
      </c>
      <c r="T703" s="189">
        <f>IF(OR($O623="RESTRINGIDO", $O634="RESTRINGIDO"), 0, T583)</f>
        <v/>
      </c>
      <c r="U703" s="189">
        <f>IF(OR($O623="RESTRINGIDO", $O635="RESTRINGIDO"), 0, U583)</f>
        <v/>
      </c>
      <c r="V703" s="189">
        <f>IF(OR($O623="RESTRINGIDO", $O636="RESTRINGIDO"), 0, V583)</f>
        <v/>
      </c>
      <c r="W703" s="189">
        <f>IF(OR($O623="RESTRINGIDO", $O637="RESTRINGIDO"), 0, W583)</f>
        <v/>
      </c>
      <c r="X703" s="189">
        <f>IF(OR($O623="RESTRINGIDO", $O638="RESTRINGIDO"), 0, X583)</f>
        <v/>
      </c>
      <c r="Y703" s="189">
        <f>IF(OR($O623="RESTRINGIDO", $O639="RESTRINGIDO"), 0, Y583)</f>
        <v/>
      </c>
      <c r="Z703" s="189">
        <f>IF(OR($O623="RESTRINGIDO", $O640="RESTRINGIDO"), 0, Z583)</f>
        <v/>
      </c>
      <c r="AA703" s="189">
        <f>IF(OR($O623="RESTRINGIDO", $O641="RESTRINGIDO"), 0, AA583)</f>
        <v/>
      </c>
      <c r="AB703" s="189">
        <f>IF(OR($O623="RESTRINGIDO", $O642="RESTRINGIDO"), 0, AB583)</f>
        <v/>
      </c>
      <c r="AC703" s="189">
        <f>IF(OR($O623="RESTRINGIDO", $O643="RESTRINGIDO"), 0, AC583)</f>
        <v/>
      </c>
      <c r="AD703" s="189">
        <f>IF(OR($O623="RESTRINGIDO", $O644="RESTRINGIDO"), 0, AD583)</f>
        <v/>
      </c>
      <c r="AE703" s="189">
        <f>IF(OR($O623="RESTRINGIDO", $O645="RESTRINGIDO"), 0, AE583)</f>
        <v/>
      </c>
      <c r="AF703" s="189">
        <f>IF(OR($O623="RESTRINGIDO", $O646="RESTRINGIDO"), 0, AF583)</f>
        <v/>
      </c>
      <c r="AG703" s="189">
        <f>IF(OR($O623="RESTRINGIDO", $O647="RESTRINGIDO"), 0, AG583)</f>
        <v/>
      </c>
      <c r="AH703" s="189">
        <f>IF(OR($O623="RESTRINGIDO", $O648="RESTRINGIDO"), 0, AH583)</f>
        <v/>
      </c>
      <c r="AI703" s="189">
        <f>IF(OR($O623="RESTRINGIDO", $O649="RESTRINGIDO"), 0, AI583)</f>
        <v/>
      </c>
      <c r="AJ703" s="189">
        <f>IF(OR($O623="RESTRINGIDO", $O650="RESTRINGIDO"), 0, AJ583)</f>
        <v/>
      </c>
      <c r="AK703" s="189">
        <f>IF(OR($O623="RESTRINGIDO", $O651="RESTRINGIDO"), 0, AK583)</f>
        <v/>
      </c>
      <c r="AL703" s="189">
        <f>IF(OR($O623="RESTRINGIDO", $O652="RESTRINGIDO"), 0, AL583)</f>
        <v/>
      </c>
      <c r="AM703" s="189">
        <f>IF($O623="LIBRE", IF(ISNUMBER(F623), F623, 0), 0)</f>
        <v/>
      </c>
      <c r="AN703" s="188" t="n">
        <v>0</v>
      </c>
      <c r="AP703" s="188" t="n">
        <v>0</v>
      </c>
    </row>
    <row r="704">
      <c r="C704" s="189">
        <f>IF(OR($O624="RESTRINGIDO", $O617="RESTRINGIDO"), 0, C584)</f>
        <v/>
      </c>
      <c r="D704" s="189">
        <f>IF(OR($O624="RESTRINGIDO", $O618="RESTRINGIDO"), 0, D584)</f>
        <v/>
      </c>
      <c r="E704" s="189">
        <f>IF(OR($O624="RESTRINGIDO", $O619="RESTRINGIDO"), 0, E584)</f>
        <v/>
      </c>
      <c r="F704" s="189">
        <f>IF(OR($O624="RESTRINGIDO", $O620="RESTRINGIDO"), 0, F584)</f>
        <v/>
      </c>
      <c r="G704" s="189">
        <f>IF(OR($O624="RESTRINGIDO", $O621="RESTRINGIDO"), 0, G584)</f>
        <v/>
      </c>
      <c r="H704" s="189">
        <f>IF(OR($O624="RESTRINGIDO", $O622="RESTRINGIDO"), 0, H584)</f>
        <v/>
      </c>
      <c r="I704" s="189">
        <f>IF(OR($O624="RESTRINGIDO", $O623="RESTRINGIDO"), 0, I584)</f>
        <v/>
      </c>
      <c r="J704" s="189">
        <f>IF($O624="RESTRINGIDO", 1, IF(OR($O624="", $C584=""), 1, J584))</f>
        <v/>
      </c>
      <c r="K704" s="189">
        <f>IF(OR($O624="RESTRINGIDO", $O625="RESTRINGIDO"), 0, K584)</f>
        <v/>
      </c>
      <c r="L704" s="189">
        <f>IF(OR($O624="RESTRINGIDO", $O626="RESTRINGIDO"), 0, L584)</f>
        <v/>
      </c>
      <c r="M704" s="189">
        <f>IF(OR($O624="RESTRINGIDO", $O627="RESTRINGIDO"), 0, M584)</f>
        <v/>
      </c>
      <c r="N704" s="189">
        <f>IF(OR($O624="RESTRINGIDO", $O628="RESTRINGIDO"), 0, N584)</f>
        <v/>
      </c>
      <c r="O704" s="189">
        <f>IF(OR($O624="RESTRINGIDO", $O629="RESTRINGIDO"), 0, O584)</f>
        <v/>
      </c>
      <c r="P704" s="189">
        <f>IF(OR($O624="RESTRINGIDO", $O630="RESTRINGIDO"), 0, P584)</f>
        <v/>
      </c>
      <c r="Q704" s="189">
        <f>IF(OR($O624="RESTRINGIDO", $O631="RESTRINGIDO"), 0, Q584)</f>
        <v/>
      </c>
      <c r="R704" s="189">
        <f>IF(OR($O624="RESTRINGIDO", $O632="RESTRINGIDO"), 0, R584)</f>
        <v/>
      </c>
      <c r="S704" s="189">
        <f>IF(OR($O624="RESTRINGIDO", $O633="RESTRINGIDO"), 0, S584)</f>
        <v/>
      </c>
      <c r="T704" s="189">
        <f>IF(OR($O624="RESTRINGIDO", $O634="RESTRINGIDO"), 0, T584)</f>
        <v/>
      </c>
      <c r="U704" s="189">
        <f>IF(OR($O624="RESTRINGIDO", $O635="RESTRINGIDO"), 0, U584)</f>
        <v/>
      </c>
      <c r="V704" s="189">
        <f>IF(OR($O624="RESTRINGIDO", $O636="RESTRINGIDO"), 0, V584)</f>
        <v/>
      </c>
      <c r="W704" s="189">
        <f>IF(OR($O624="RESTRINGIDO", $O637="RESTRINGIDO"), 0, W584)</f>
        <v/>
      </c>
      <c r="X704" s="189">
        <f>IF(OR($O624="RESTRINGIDO", $O638="RESTRINGIDO"), 0, X584)</f>
        <v/>
      </c>
      <c r="Y704" s="189">
        <f>IF(OR($O624="RESTRINGIDO", $O639="RESTRINGIDO"), 0, Y584)</f>
        <v/>
      </c>
      <c r="Z704" s="189">
        <f>IF(OR($O624="RESTRINGIDO", $O640="RESTRINGIDO"), 0, Z584)</f>
        <v/>
      </c>
      <c r="AA704" s="189">
        <f>IF(OR($O624="RESTRINGIDO", $O641="RESTRINGIDO"), 0, AA584)</f>
        <v/>
      </c>
      <c r="AB704" s="189">
        <f>IF(OR($O624="RESTRINGIDO", $O642="RESTRINGIDO"), 0, AB584)</f>
        <v/>
      </c>
      <c r="AC704" s="189">
        <f>IF(OR($O624="RESTRINGIDO", $O643="RESTRINGIDO"), 0, AC584)</f>
        <v/>
      </c>
      <c r="AD704" s="189">
        <f>IF(OR($O624="RESTRINGIDO", $O644="RESTRINGIDO"), 0, AD584)</f>
        <v/>
      </c>
      <c r="AE704" s="189">
        <f>IF(OR($O624="RESTRINGIDO", $O645="RESTRINGIDO"), 0, AE584)</f>
        <v/>
      </c>
      <c r="AF704" s="189">
        <f>IF(OR($O624="RESTRINGIDO", $O646="RESTRINGIDO"), 0, AF584)</f>
        <v/>
      </c>
      <c r="AG704" s="189">
        <f>IF(OR($O624="RESTRINGIDO", $O647="RESTRINGIDO"), 0, AG584)</f>
        <v/>
      </c>
      <c r="AH704" s="189">
        <f>IF(OR($O624="RESTRINGIDO", $O648="RESTRINGIDO"), 0, AH584)</f>
        <v/>
      </c>
      <c r="AI704" s="189">
        <f>IF(OR($O624="RESTRINGIDO", $O649="RESTRINGIDO"), 0, AI584)</f>
        <v/>
      </c>
      <c r="AJ704" s="189">
        <f>IF(OR($O624="RESTRINGIDO", $O650="RESTRINGIDO"), 0, AJ584)</f>
        <v/>
      </c>
      <c r="AK704" s="189">
        <f>IF(OR($O624="RESTRINGIDO", $O651="RESTRINGIDO"), 0, AK584)</f>
        <v/>
      </c>
      <c r="AL704" s="189">
        <f>IF(OR($O624="RESTRINGIDO", $O652="RESTRINGIDO"), 0, AL584)</f>
        <v/>
      </c>
      <c r="AM704" s="189">
        <f>IF($O624="LIBRE", IF(ISNUMBER(F624), F624, 0), 0)</f>
        <v/>
      </c>
      <c r="AN704" s="188" t="n">
        <v>0</v>
      </c>
      <c r="AP704" s="188" t="n">
        <v>0</v>
      </c>
    </row>
    <row r="705">
      <c r="C705" s="189">
        <f>IF(OR($O625="RESTRINGIDO", $O617="RESTRINGIDO"), 0, C585)</f>
        <v/>
      </c>
      <c r="D705" s="189">
        <f>IF(OR($O625="RESTRINGIDO", $O618="RESTRINGIDO"), 0, D585)</f>
        <v/>
      </c>
      <c r="E705" s="189">
        <f>IF(OR($O625="RESTRINGIDO", $O619="RESTRINGIDO"), 0, E585)</f>
        <v/>
      </c>
      <c r="F705" s="189">
        <f>IF(OR($O625="RESTRINGIDO", $O620="RESTRINGIDO"), 0, F585)</f>
        <v/>
      </c>
      <c r="G705" s="189">
        <f>IF(OR($O625="RESTRINGIDO", $O621="RESTRINGIDO"), 0, G585)</f>
        <v/>
      </c>
      <c r="H705" s="189">
        <f>IF(OR($O625="RESTRINGIDO", $O622="RESTRINGIDO"), 0, H585)</f>
        <v/>
      </c>
      <c r="I705" s="189">
        <f>IF(OR($O625="RESTRINGIDO", $O623="RESTRINGIDO"), 0, I585)</f>
        <v/>
      </c>
      <c r="J705" s="189">
        <f>IF(OR($O625="RESTRINGIDO", $O624="RESTRINGIDO"), 0, J585)</f>
        <v/>
      </c>
      <c r="K705" s="189">
        <f>IF($O625="RESTRINGIDO", 1, IF(OR($O625="", $C585=""), 1, K585))</f>
        <v/>
      </c>
      <c r="L705" s="189">
        <f>IF(OR($O625="RESTRINGIDO", $O626="RESTRINGIDO"), 0, L585)</f>
        <v/>
      </c>
      <c r="M705" s="189">
        <f>IF(OR($O625="RESTRINGIDO", $O627="RESTRINGIDO"), 0, M585)</f>
        <v/>
      </c>
      <c r="N705" s="189">
        <f>IF(OR($O625="RESTRINGIDO", $O628="RESTRINGIDO"), 0, N585)</f>
        <v/>
      </c>
      <c r="O705" s="189">
        <f>IF(OR($O625="RESTRINGIDO", $O629="RESTRINGIDO"), 0, O585)</f>
        <v/>
      </c>
      <c r="P705" s="189">
        <f>IF(OR($O625="RESTRINGIDO", $O630="RESTRINGIDO"), 0, P585)</f>
        <v/>
      </c>
      <c r="Q705" s="189">
        <f>IF(OR($O625="RESTRINGIDO", $O631="RESTRINGIDO"), 0, Q585)</f>
        <v/>
      </c>
      <c r="R705" s="189">
        <f>IF(OR($O625="RESTRINGIDO", $O632="RESTRINGIDO"), 0, R585)</f>
        <v/>
      </c>
      <c r="S705" s="189">
        <f>IF(OR($O625="RESTRINGIDO", $O633="RESTRINGIDO"), 0, S585)</f>
        <v/>
      </c>
      <c r="T705" s="189">
        <f>IF(OR($O625="RESTRINGIDO", $O634="RESTRINGIDO"), 0, T585)</f>
        <v/>
      </c>
      <c r="U705" s="189">
        <f>IF(OR($O625="RESTRINGIDO", $O635="RESTRINGIDO"), 0, U585)</f>
        <v/>
      </c>
      <c r="V705" s="189">
        <f>IF(OR($O625="RESTRINGIDO", $O636="RESTRINGIDO"), 0, V585)</f>
        <v/>
      </c>
      <c r="W705" s="189">
        <f>IF(OR($O625="RESTRINGIDO", $O637="RESTRINGIDO"), 0, W585)</f>
        <v/>
      </c>
      <c r="X705" s="189">
        <f>IF(OR($O625="RESTRINGIDO", $O638="RESTRINGIDO"), 0, X585)</f>
        <v/>
      </c>
      <c r="Y705" s="189">
        <f>IF(OR($O625="RESTRINGIDO", $O639="RESTRINGIDO"), 0, Y585)</f>
        <v/>
      </c>
      <c r="Z705" s="189">
        <f>IF(OR($O625="RESTRINGIDO", $O640="RESTRINGIDO"), 0, Z585)</f>
        <v/>
      </c>
      <c r="AA705" s="189">
        <f>IF(OR($O625="RESTRINGIDO", $O641="RESTRINGIDO"), 0, AA585)</f>
        <v/>
      </c>
      <c r="AB705" s="189">
        <f>IF(OR($O625="RESTRINGIDO", $O642="RESTRINGIDO"), 0, AB585)</f>
        <v/>
      </c>
      <c r="AC705" s="189">
        <f>IF(OR($O625="RESTRINGIDO", $O643="RESTRINGIDO"), 0, AC585)</f>
        <v/>
      </c>
      <c r="AD705" s="189">
        <f>IF(OR($O625="RESTRINGIDO", $O644="RESTRINGIDO"), 0, AD585)</f>
        <v/>
      </c>
      <c r="AE705" s="189">
        <f>IF(OR($O625="RESTRINGIDO", $O645="RESTRINGIDO"), 0, AE585)</f>
        <v/>
      </c>
      <c r="AF705" s="189">
        <f>IF(OR($O625="RESTRINGIDO", $O646="RESTRINGIDO"), 0, AF585)</f>
        <v/>
      </c>
      <c r="AG705" s="189">
        <f>IF(OR($O625="RESTRINGIDO", $O647="RESTRINGIDO"), 0, AG585)</f>
        <v/>
      </c>
      <c r="AH705" s="189">
        <f>IF(OR($O625="RESTRINGIDO", $O648="RESTRINGIDO"), 0, AH585)</f>
        <v/>
      </c>
      <c r="AI705" s="189">
        <f>IF(OR($O625="RESTRINGIDO", $O649="RESTRINGIDO"), 0, AI585)</f>
        <v/>
      </c>
      <c r="AJ705" s="189">
        <f>IF(OR($O625="RESTRINGIDO", $O650="RESTRINGIDO"), 0, AJ585)</f>
        <v/>
      </c>
      <c r="AK705" s="189">
        <f>IF(OR($O625="RESTRINGIDO", $O651="RESTRINGIDO"), 0, AK585)</f>
        <v/>
      </c>
      <c r="AL705" s="189">
        <f>IF(OR($O625="RESTRINGIDO", $O652="RESTRINGIDO"), 0, AL585)</f>
        <v/>
      </c>
      <c r="AM705" s="189">
        <f>IF($O625="LIBRE", IF(ISNUMBER(F625), F625, 0), 0)</f>
        <v/>
      </c>
      <c r="AN705" s="188" t="n">
        <v>0</v>
      </c>
      <c r="AP705" s="188" t="n">
        <v>0</v>
      </c>
    </row>
    <row r="706">
      <c r="C706" s="189">
        <f>IF(OR($O626="RESTRINGIDO", $O617="RESTRINGIDO"), 0, C586)</f>
        <v/>
      </c>
      <c r="D706" s="189">
        <f>IF(OR($O626="RESTRINGIDO", $O618="RESTRINGIDO"), 0, D586)</f>
        <v/>
      </c>
      <c r="E706" s="189">
        <f>IF(OR($O626="RESTRINGIDO", $O619="RESTRINGIDO"), 0, E586)</f>
        <v/>
      </c>
      <c r="F706" s="189">
        <f>IF(OR($O626="RESTRINGIDO", $O620="RESTRINGIDO"), 0, F586)</f>
        <v/>
      </c>
      <c r="G706" s="189">
        <f>IF(OR($O626="RESTRINGIDO", $O621="RESTRINGIDO"), 0, G586)</f>
        <v/>
      </c>
      <c r="H706" s="189">
        <f>IF(OR($O626="RESTRINGIDO", $O622="RESTRINGIDO"), 0, H586)</f>
        <v/>
      </c>
      <c r="I706" s="189">
        <f>IF(OR($O626="RESTRINGIDO", $O623="RESTRINGIDO"), 0, I586)</f>
        <v/>
      </c>
      <c r="J706" s="189">
        <f>IF(OR($O626="RESTRINGIDO", $O624="RESTRINGIDO"), 0, J586)</f>
        <v/>
      </c>
      <c r="K706" s="189">
        <f>IF(OR($O626="RESTRINGIDO", $O625="RESTRINGIDO"), 0, K586)</f>
        <v/>
      </c>
      <c r="L706" s="189">
        <f>IF($O626="RESTRINGIDO", 1, IF(OR($O626="", $C586=""), 1, L586))</f>
        <v/>
      </c>
      <c r="M706" s="189">
        <f>IF(OR($O626="RESTRINGIDO", $O627="RESTRINGIDO"), 0, M586)</f>
        <v/>
      </c>
      <c r="N706" s="189">
        <f>IF(OR($O626="RESTRINGIDO", $O628="RESTRINGIDO"), 0, N586)</f>
        <v/>
      </c>
      <c r="O706" s="189">
        <f>IF(OR($O626="RESTRINGIDO", $O629="RESTRINGIDO"), 0, O586)</f>
        <v/>
      </c>
      <c r="P706" s="189">
        <f>IF(OR($O626="RESTRINGIDO", $O630="RESTRINGIDO"), 0, P586)</f>
        <v/>
      </c>
      <c r="Q706" s="189">
        <f>IF(OR($O626="RESTRINGIDO", $O631="RESTRINGIDO"), 0, Q586)</f>
        <v/>
      </c>
      <c r="R706" s="189">
        <f>IF(OR($O626="RESTRINGIDO", $O632="RESTRINGIDO"), 0, R586)</f>
        <v/>
      </c>
      <c r="S706" s="189">
        <f>IF(OR($O626="RESTRINGIDO", $O633="RESTRINGIDO"), 0, S586)</f>
        <v/>
      </c>
      <c r="T706" s="189">
        <f>IF(OR($O626="RESTRINGIDO", $O634="RESTRINGIDO"), 0, T586)</f>
        <v/>
      </c>
      <c r="U706" s="189">
        <f>IF(OR($O626="RESTRINGIDO", $O635="RESTRINGIDO"), 0, U586)</f>
        <v/>
      </c>
      <c r="V706" s="189">
        <f>IF(OR($O626="RESTRINGIDO", $O636="RESTRINGIDO"), 0, V586)</f>
        <v/>
      </c>
      <c r="W706" s="189">
        <f>IF(OR($O626="RESTRINGIDO", $O637="RESTRINGIDO"), 0, W586)</f>
        <v/>
      </c>
      <c r="X706" s="189">
        <f>IF(OR($O626="RESTRINGIDO", $O638="RESTRINGIDO"), 0, X586)</f>
        <v/>
      </c>
      <c r="Y706" s="189">
        <f>IF(OR($O626="RESTRINGIDO", $O639="RESTRINGIDO"), 0, Y586)</f>
        <v/>
      </c>
      <c r="Z706" s="189">
        <f>IF(OR($O626="RESTRINGIDO", $O640="RESTRINGIDO"), 0, Z586)</f>
        <v/>
      </c>
      <c r="AA706" s="189">
        <f>IF(OR($O626="RESTRINGIDO", $O641="RESTRINGIDO"), 0, AA586)</f>
        <v/>
      </c>
      <c r="AB706" s="189">
        <f>IF(OR($O626="RESTRINGIDO", $O642="RESTRINGIDO"), 0, AB586)</f>
        <v/>
      </c>
      <c r="AC706" s="189">
        <f>IF(OR($O626="RESTRINGIDO", $O643="RESTRINGIDO"), 0, AC586)</f>
        <v/>
      </c>
      <c r="AD706" s="189">
        <f>IF(OR($O626="RESTRINGIDO", $O644="RESTRINGIDO"), 0, AD586)</f>
        <v/>
      </c>
      <c r="AE706" s="189">
        <f>IF(OR($O626="RESTRINGIDO", $O645="RESTRINGIDO"), 0, AE586)</f>
        <v/>
      </c>
      <c r="AF706" s="189">
        <f>IF(OR($O626="RESTRINGIDO", $O646="RESTRINGIDO"), 0, AF586)</f>
        <v/>
      </c>
      <c r="AG706" s="189">
        <f>IF(OR($O626="RESTRINGIDO", $O647="RESTRINGIDO"), 0, AG586)</f>
        <v/>
      </c>
      <c r="AH706" s="189">
        <f>IF(OR($O626="RESTRINGIDO", $O648="RESTRINGIDO"), 0, AH586)</f>
        <v/>
      </c>
      <c r="AI706" s="189">
        <f>IF(OR($O626="RESTRINGIDO", $O649="RESTRINGIDO"), 0, AI586)</f>
        <v/>
      </c>
      <c r="AJ706" s="189">
        <f>IF(OR($O626="RESTRINGIDO", $O650="RESTRINGIDO"), 0, AJ586)</f>
        <v/>
      </c>
      <c r="AK706" s="189">
        <f>IF(OR($O626="RESTRINGIDO", $O651="RESTRINGIDO"), 0, AK586)</f>
        <v/>
      </c>
      <c r="AL706" s="189">
        <f>IF(OR($O626="RESTRINGIDO", $O652="RESTRINGIDO"), 0, AL586)</f>
        <v/>
      </c>
      <c r="AM706" s="189">
        <f>IF($O626="LIBRE", IF(ISNUMBER(F626), F626, 0), 0)</f>
        <v/>
      </c>
      <c r="AN706" s="188" t="n">
        <v>0</v>
      </c>
      <c r="AP706" s="188" t="n">
        <v>0</v>
      </c>
    </row>
    <row r="707">
      <c r="C707" s="189">
        <f>IF(OR($O627="RESTRINGIDO", $O617="RESTRINGIDO"), 0, C587)</f>
        <v/>
      </c>
      <c r="D707" s="189">
        <f>IF(OR($O627="RESTRINGIDO", $O618="RESTRINGIDO"), 0, D587)</f>
        <v/>
      </c>
      <c r="E707" s="189">
        <f>IF(OR($O627="RESTRINGIDO", $O619="RESTRINGIDO"), 0, E587)</f>
        <v/>
      </c>
      <c r="F707" s="189">
        <f>IF(OR($O627="RESTRINGIDO", $O620="RESTRINGIDO"), 0, F587)</f>
        <v/>
      </c>
      <c r="G707" s="189">
        <f>IF(OR($O627="RESTRINGIDO", $O621="RESTRINGIDO"), 0, G587)</f>
        <v/>
      </c>
      <c r="H707" s="189">
        <f>IF(OR($O627="RESTRINGIDO", $O622="RESTRINGIDO"), 0, H587)</f>
        <v/>
      </c>
      <c r="I707" s="189">
        <f>IF(OR($O627="RESTRINGIDO", $O623="RESTRINGIDO"), 0, I587)</f>
        <v/>
      </c>
      <c r="J707" s="189">
        <f>IF(OR($O627="RESTRINGIDO", $O624="RESTRINGIDO"), 0, J587)</f>
        <v/>
      </c>
      <c r="K707" s="189">
        <f>IF(OR($O627="RESTRINGIDO", $O625="RESTRINGIDO"), 0, K587)</f>
        <v/>
      </c>
      <c r="L707" s="189">
        <f>IF(OR($O627="RESTRINGIDO", $O626="RESTRINGIDO"), 0, L587)</f>
        <v/>
      </c>
      <c r="M707" s="189">
        <f>IF($O627="RESTRINGIDO", 1, IF(OR($O627="", $C587=""), 1, M587))</f>
        <v/>
      </c>
      <c r="N707" s="189">
        <f>IF(OR($O627="RESTRINGIDO", $O628="RESTRINGIDO"), 0, N587)</f>
        <v/>
      </c>
      <c r="O707" s="189">
        <f>IF(OR($O627="RESTRINGIDO", $O629="RESTRINGIDO"), 0, O587)</f>
        <v/>
      </c>
      <c r="P707" s="189">
        <f>IF(OR($O627="RESTRINGIDO", $O630="RESTRINGIDO"), 0, P587)</f>
        <v/>
      </c>
      <c r="Q707" s="189">
        <f>IF(OR($O627="RESTRINGIDO", $O631="RESTRINGIDO"), 0, Q587)</f>
        <v/>
      </c>
      <c r="R707" s="189">
        <f>IF(OR($O627="RESTRINGIDO", $O632="RESTRINGIDO"), 0, R587)</f>
        <v/>
      </c>
      <c r="S707" s="189">
        <f>IF(OR($O627="RESTRINGIDO", $O633="RESTRINGIDO"), 0, S587)</f>
        <v/>
      </c>
      <c r="T707" s="189">
        <f>IF(OR($O627="RESTRINGIDO", $O634="RESTRINGIDO"), 0, T587)</f>
        <v/>
      </c>
      <c r="U707" s="189">
        <f>IF(OR($O627="RESTRINGIDO", $O635="RESTRINGIDO"), 0, U587)</f>
        <v/>
      </c>
      <c r="V707" s="189">
        <f>IF(OR($O627="RESTRINGIDO", $O636="RESTRINGIDO"), 0, V587)</f>
        <v/>
      </c>
      <c r="W707" s="189">
        <f>IF(OR($O627="RESTRINGIDO", $O637="RESTRINGIDO"), 0, W587)</f>
        <v/>
      </c>
      <c r="X707" s="189">
        <f>IF(OR($O627="RESTRINGIDO", $O638="RESTRINGIDO"), 0, X587)</f>
        <v/>
      </c>
      <c r="Y707" s="189">
        <f>IF(OR($O627="RESTRINGIDO", $O639="RESTRINGIDO"), 0, Y587)</f>
        <v/>
      </c>
      <c r="Z707" s="189">
        <f>IF(OR($O627="RESTRINGIDO", $O640="RESTRINGIDO"), 0, Z587)</f>
        <v/>
      </c>
      <c r="AA707" s="189">
        <f>IF(OR($O627="RESTRINGIDO", $O641="RESTRINGIDO"), 0, AA587)</f>
        <v/>
      </c>
      <c r="AB707" s="189">
        <f>IF(OR($O627="RESTRINGIDO", $O642="RESTRINGIDO"), 0, AB587)</f>
        <v/>
      </c>
      <c r="AC707" s="189">
        <f>IF(OR($O627="RESTRINGIDO", $O643="RESTRINGIDO"), 0, AC587)</f>
        <v/>
      </c>
      <c r="AD707" s="189">
        <f>IF(OR($O627="RESTRINGIDO", $O644="RESTRINGIDO"), 0, AD587)</f>
        <v/>
      </c>
      <c r="AE707" s="189">
        <f>IF(OR($O627="RESTRINGIDO", $O645="RESTRINGIDO"), 0, AE587)</f>
        <v/>
      </c>
      <c r="AF707" s="189">
        <f>IF(OR($O627="RESTRINGIDO", $O646="RESTRINGIDO"), 0, AF587)</f>
        <v/>
      </c>
      <c r="AG707" s="189">
        <f>IF(OR($O627="RESTRINGIDO", $O647="RESTRINGIDO"), 0, AG587)</f>
        <v/>
      </c>
      <c r="AH707" s="189">
        <f>IF(OR($O627="RESTRINGIDO", $O648="RESTRINGIDO"), 0, AH587)</f>
        <v/>
      </c>
      <c r="AI707" s="189">
        <f>IF(OR($O627="RESTRINGIDO", $O649="RESTRINGIDO"), 0, AI587)</f>
        <v/>
      </c>
      <c r="AJ707" s="189">
        <f>IF(OR($O627="RESTRINGIDO", $O650="RESTRINGIDO"), 0, AJ587)</f>
        <v/>
      </c>
      <c r="AK707" s="189">
        <f>IF(OR($O627="RESTRINGIDO", $O651="RESTRINGIDO"), 0, AK587)</f>
        <v/>
      </c>
      <c r="AL707" s="189">
        <f>IF(OR($O627="RESTRINGIDO", $O652="RESTRINGIDO"), 0, AL587)</f>
        <v/>
      </c>
      <c r="AM707" s="189">
        <f>IF($O627="LIBRE", IF(ISNUMBER(F627), F627, 0), 0)</f>
        <v/>
      </c>
      <c r="AN707" s="188" t="n">
        <v>0</v>
      </c>
      <c r="AP707" s="188" t="n">
        <v>0</v>
      </c>
    </row>
    <row r="708">
      <c r="C708" s="189">
        <f>IF(OR($O628="RESTRINGIDO", $O617="RESTRINGIDO"), 0, C588)</f>
        <v/>
      </c>
      <c r="D708" s="189">
        <f>IF(OR($O628="RESTRINGIDO", $O618="RESTRINGIDO"), 0, D588)</f>
        <v/>
      </c>
      <c r="E708" s="189">
        <f>IF(OR($O628="RESTRINGIDO", $O619="RESTRINGIDO"), 0, E588)</f>
        <v/>
      </c>
      <c r="F708" s="189">
        <f>IF(OR($O628="RESTRINGIDO", $O620="RESTRINGIDO"), 0, F588)</f>
        <v/>
      </c>
      <c r="G708" s="189">
        <f>IF(OR($O628="RESTRINGIDO", $O621="RESTRINGIDO"), 0, G588)</f>
        <v/>
      </c>
      <c r="H708" s="189">
        <f>IF(OR($O628="RESTRINGIDO", $O622="RESTRINGIDO"), 0, H588)</f>
        <v/>
      </c>
      <c r="I708" s="189">
        <f>IF(OR($O628="RESTRINGIDO", $O623="RESTRINGIDO"), 0, I588)</f>
        <v/>
      </c>
      <c r="J708" s="189">
        <f>IF(OR($O628="RESTRINGIDO", $O624="RESTRINGIDO"), 0, J588)</f>
        <v/>
      </c>
      <c r="K708" s="189">
        <f>IF(OR($O628="RESTRINGIDO", $O625="RESTRINGIDO"), 0, K588)</f>
        <v/>
      </c>
      <c r="L708" s="189">
        <f>IF(OR($O628="RESTRINGIDO", $O626="RESTRINGIDO"), 0, L588)</f>
        <v/>
      </c>
      <c r="M708" s="189">
        <f>IF(OR($O628="RESTRINGIDO", $O627="RESTRINGIDO"), 0, M588)</f>
        <v/>
      </c>
      <c r="N708" s="189">
        <f>IF($O628="RESTRINGIDO", 1, IF(OR($O628="", $C588=""), 1, N588))</f>
        <v/>
      </c>
      <c r="O708" s="189">
        <f>IF(OR($O628="RESTRINGIDO", $O629="RESTRINGIDO"), 0, O588)</f>
        <v/>
      </c>
      <c r="P708" s="189">
        <f>IF(OR($O628="RESTRINGIDO", $O630="RESTRINGIDO"), 0, P588)</f>
        <v/>
      </c>
      <c r="Q708" s="189">
        <f>IF(OR($O628="RESTRINGIDO", $O631="RESTRINGIDO"), 0, Q588)</f>
        <v/>
      </c>
      <c r="R708" s="189">
        <f>IF(OR($O628="RESTRINGIDO", $O632="RESTRINGIDO"), 0, R588)</f>
        <v/>
      </c>
      <c r="S708" s="189">
        <f>IF(OR($O628="RESTRINGIDO", $O633="RESTRINGIDO"), 0, S588)</f>
        <v/>
      </c>
      <c r="T708" s="189">
        <f>IF(OR($O628="RESTRINGIDO", $O634="RESTRINGIDO"), 0, T588)</f>
        <v/>
      </c>
      <c r="U708" s="189">
        <f>IF(OR($O628="RESTRINGIDO", $O635="RESTRINGIDO"), 0, U588)</f>
        <v/>
      </c>
      <c r="V708" s="189">
        <f>IF(OR($O628="RESTRINGIDO", $O636="RESTRINGIDO"), 0, V588)</f>
        <v/>
      </c>
      <c r="W708" s="189">
        <f>IF(OR($O628="RESTRINGIDO", $O637="RESTRINGIDO"), 0, W588)</f>
        <v/>
      </c>
      <c r="X708" s="189">
        <f>IF(OR($O628="RESTRINGIDO", $O638="RESTRINGIDO"), 0, X588)</f>
        <v/>
      </c>
      <c r="Y708" s="189">
        <f>IF(OR($O628="RESTRINGIDO", $O639="RESTRINGIDO"), 0, Y588)</f>
        <v/>
      </c>
      <c r="Z708" s="189">
        <f>IF(OR($O628="RESTRINGIDO", $O640="RESTRINGIDO"), 0, Z588)</f>
        <v/>
      </c>
      <c r="AA708" s="189">
        <f>IF(OR($O628="RESTRINGIDO", $O641="RESTRINGIDO"), 0, AA588)</f>
        <v/>
      </c>
      <c r="AB708" s="189">
        <f>IF(OR($O628="RESTRINGIDO", $O642="RESTRINGIDO"), 0, AB588)</f>
        <v/>
      </c>
      <c r="AC708" s="189">
        <f>IF(OR($O628="RESTRINGIDO", $O643="RESTRINGIDO"), 0, AC588)</f>
        <v/>
      </c>
      <c r="AD708" s="189">
        <f>IF(OR($O628="RESTRINGIDO", $O644="RESTRINGIDO"), 0, AD588)</f>
        <v/>
      </c>
      <c r="AE708" s="189">
        <f>IF(OR($O628="RESTRINGIDO", $O645="RESTRINGIDO"), 0, AE588)</f>
        <v/>
      </c>
      <c r="AF708" s="189">
        <f>IF(OR($O628="RESTRINGIDO", $O646="RESTRINGIDO"), 0, AF588)</f>
        <v/>
      </c>
      <c r="AG708" s="189">
        <f>IF(OR($O628="RESTRINGIDO", $O647="RESTRINGIDO"), 0, AG588)</f>
        <v/>
      </c>
      <c r="AH708" s="189">
        <f>IF(OR($O628="RESTRINGIDO", $O648="RESTRINGIDO"), 0, AH588)</f>
        <v/>
      </c>
      <c r="AI708" s="189">
        <f>IF(OR($O628="RESTRINGIDO", $O649="RESTRINGIDO"), 0, AI588)</f>
        <v/>
      </c>
      <c r="AJ708" s="189">
        <f>IF(OR($O628="RESTRINGIDO", $O650="RESTRINGIDO"), 0, AJ588)</f>
        <v/>
      </c>
      <c r="AK708" s="189">
        <f>IF(OR($O628="RESTRINGIDO", $O651="RESTRINGIDO"), 0, AK588)</f>
        <v/>
      </c>
      <c r="AL708" s="189">
        <f>IF(OR($O628="RESTRINGIDO", $O652="RESTRINGIDO"), 0, AL588)</f>
        <v/>
      </c>
      <c r="AM708" s="189">
        <f>IF($O628="LIBRE", IF(ISNUMBER(F628), F628, 0), 0)</f>
        <v/>
      </c>
      <c r="AN708" s="188" t="n">
        <v>0</v>
      </c>
      <c r="AP708" s="188" t="n">
        <v>0</v>
      </c>
    </row>
    <row r="709">
      <c r="C709" s="189">
        <f>IF(OR($O629="RESTRINGIDO", $O617="RESTRINGIDO"), 0, C589)</f>
        <v/>
      </c>
      <c r="D709" s="189">
        <f>IF(OR($O629="RESTRINGIDO", $O618="RESTRINGIDO"), 0, D589)</f>
        <v/>
      </c>
      <c r="E709" s="189">
        <f>IF(OR($O629="RESTRINGIDO", $O619="RESTRINGIDO"), 0, E589)</f>
        <v/>
      </c>
      <c r="F709" s="189">
        <f>IF(OR($O629="RESTRINGIDO", $O620="RESTRINGIDO"), 0, F589)</f>
        <v/>
      </c>
      <c r="G709" s="189">
        <f>IF(OR($O629="RESTRINGIDO", $O621="RESTRINGIDO"), 0, G589)</f>
        <v/>
      </c>
      <c r="H709" s="189">
        <f>IF(OR($O629="RESTRINGIDO", $O622="RESTRINGIDO"), 0, H589)</f>
        <v/>
      </c>
      <c r="I709" s="189">
        <f>IF(OR($O629="RESTRINGIDO", $O623="RESTRINGIDO"), 0, I589)</f>
        <v/>
      </c>
      <c r="J709" s="189">
        <f>IF(OR($O629="RESTRINGIDO", $O624="RESTRINGIDO"), 0, J589)</f>
        <v/>
      </c>
      <c r="K709" s="189">
        <f>IF(OR($O629="RESTRINGIDO", $O625="RESTRINGIDO"), 0, K589)</f>
        <v/>
      </c>
      <c r="L709" s="189">
        <f>IF(OR($O629="RESTRINGIDO", $O626="RESTRINGIDO"), 0, L589)</f>
        <v/>
      </c>
      <c r="M709" s="189">
        <f>IF(OR($O629="RESTRINGIDO", $O627="RESTRINGIDO"), 0, M589)</f>
        <v/>
      </c>
      <c r="N709" s="189">
        <f>IF(OR($O629="RESTRINGIDO", $O628="RESTRINGIDO"), 0, N589)</f>
        <v/>
      </c>
      <c r="O709" s="189">
        <f>IF($O629="RESTRINGIDO", 1, IF(OR($O629="", $C589=""), 1, O589))</f>
        <v/>
      </c>
      <c r="P709" s="189">
        <f>IF(OR($O629="RESTRINGIDO", $O630="RESTRINGIDO"), 0, P589)</f>
        <v/>
      </c>
      <c r="Q709" s="189">
        <f>IF(OR($O629="RESTRINGIDO", $O631="RESTRINGIDO"), 0, Q589)</f>
        <v/>
      </c>
      <c r="R709" s="189">
        <f>IF(OR($O629="RESTRINGIDO", $O632="RESTRINGIDO"), 0, R589)</f>
        <v/>
      </c>
      <c r="S709" s="189">
        <f>IF(OR($O629="RESTRINGIDO", $O633="RESTRINGIDO"), 0, S589)</f>
        <v/>
      </c>
      <c r="T709" s="189">
        <f>IF(OR($O629="RESTRINGIDO", $O634="RESTRINGIDO"), 0, T589)</f>
        <v/>
      </c>
      <c r="U709" s="189">
        <f>IF(OR($O629="RESTRINGIDO", $O635="RESTRINGIDO"), 0, U589)</f>
        <v/>
      </c>
      <c r="V709" s="189">
        <f>IF(OR($O629="RESTRINGIDO", $O636="RESTRINGIDO"), 0, V589)</f>
        <v/>
      </c>
      <c r="W709" s="189">
        <f>IF(OR($O629="RESTRINGIDO", $O637="RESTRINGIDO"), 0, W589)</f>
        <v/>
      </c>
      <c r="X709" s="189">
        <f>IF(OR($O629="RESTRINGIDO", $O638="RESTRINGIDO"), 0, X589)</f>
        <v/>
      </c>
      <c r="Y709" s="189">
        <f>IF(OR($O629="RESTRINGIDO", $O639="RESTRINGIDO"), 0, Y589)</f>
        <v/>
      </c>
      <c r="Z709" s="189">
        <f>IF(OR($O629="RESTRINGIDO", $O640="RESTRINGIDO"), 0, Z589)</f>
        <v/>
      </c>
      <c r="AA709" s="189">
        <f>IF(OR($O629="RESTRINGIDO", $O641="RESTRINGIDO"), 0, AA589)</f>
        <v/>
      </c>
      <c r="AB709" s="189">
        <f>IF(OR($O629="RESTRINGIDO", $O642="RESTRINGIDO"), 0, AB589)</f>
        <v/>
      </c>
      <c r="AC709" s="189">
        <f>IF(OR($O629="RESTRINGIDO", $O643="RESTRINGIDO"), 0, AC589)</f>
        <v/>
      </c>
      <c r="AD709" s="189">
        <f>IF(OR($O629="RESTRINGIDO", $O644="RESTRINGIDO"), 0, AD589)</f>
        <v/>
      </c>
      <c r="AE709" s="189">
        <f>IF(OR($O629="RESTRINGIDO", $O645="RESTRINGIDO"), 0, AE589)</f>
        <v/>
      </c>
      <c r="AF709" s="189">
        <f>IF(OR($O629="RESTRINGIDO", $O646="RESTRINGIDO"), 0, AF589)</f>
        <v/>
      </c>
      <c r="AG709" s="189">
        <f>IF(OR($O629="RESTRINGIDO", $O647="RESTRINGIDO"), 0, AG589)</f>
        <v/>
      </c>
      <c r="AH709" s="189">
        <f>IF(OR($O629="RESTRINGIDO", $O648="RESTRINGIDO"), 0, AH589)</f>
        <v/>
      </c>
      <c r="AI709" s="189">
        <f>IF(OR($O629="RESTRINGIDO", $O649="RESTRINGIDO"), 0, AI589)</f>
        <v/>
      </c>
      <c r="AJ709" s="189">
        <f>IF(OR($O629="RESTRINGIDO", $O650="RESTRINGIDO"), 0, AJ589)</f>
        <v/>
      </c>
      <c r="AK709" s="189">
        <f>IF(OR($O629="RESTRINGIDO", $O651="RESTRINGIDO"), 0, AK589)</f>
        <v/>
      </c>
      <c r="AL709" s="189">
        <f>IF(OR($O629="RESTRINGIDO", $O652="RESTRINGIDO"), 0, AL589)</f>
        <v/>
      </c>
      <c r="AM709" s="189">
        <f>IF($O629="LIBRE", IF(ISNUMBER(F629), F629, 0), 0)</f>
        <v/>
      </c>
      <c r="AN709" s="188" t="n">
        <v>0</v>
      </c>
      <c r="AP709" s="188" t="n">
        <v>0</v>
      </c>
    </row>
    <row r="710">
      <c r="C710" s="189">
        <f>IF(OR($O630="RESTRINGIDO", $O617="RESTRINGIDO"), 0, C590)</f>
        <v/>
      </c>
      <c r="D710" s="189">
        <f>IF(OR($O630="RESTRINGIDO", $O618="RESTRINGIDO"), 0, D590)</f>
        <v/>
      </c>
      <c r="E710" s="189">
        <f>IF(OR($O630="RESTRINGIDO", $O619="RESTRINGIDO"), 0, E590)</f>
        <v/>
      </c>
      <c r="F710" s="189">
        <f>IF(OR($O630="RESTRINGIDO", $O620="RESTRINGIDO"), 0, F590)</f>
        <v/>
      </c>
      <c r="G710" s="189">
        <f>IF(OR($O630="RESTRINGIDO", $O621="RESTRINGIDO"), 0, G590)</f>
        <v/>
      </c>
      <c r="H710" s="189">
        <f>IF(OR($O630="RESTRINGIDO", $O622="RESTRINGIDO"), 0, H590)</f>
        <v/>
      </c>
      <c r="I710" s="189">
        <f>IF(OR($O630="RESTRINGIDO", $O623="RESTRINGIDO"), 0, I590)</f>
        <v/>
      </c>
      <c r="J710" s="189">
        <f>IF(OR($O630="RESTRINGIDO", $O624="RESTRINGIDO"), 0, J590)</f>
        <v/>
      </c>
      <c r="K710" s="189">
        <f>IF(OR($O630="RESTRINGIDO", $O625="RESTRINGIDO"), 0, K590)</f>
        <v/>
      </c>
      <c r="L710" s="189">
        <f>IF(OR($O630="RESTRINGIDO", $O626="RESTRINGIDO"), 0, L590)</f>
        <v/>
      </c>
      <c r="M710" s="189">
        <f>IF(OR($O630="RESTRINGIDO", $O627="RESTRINGIDO"), 0, M590)</f>
        <v/>
      </c>
      <c r="N710" s="189">
        <f>IF(OR($O630="RESTRINGIDO", $O628="RESTRINGIDO"), 0, N590)</f>
        <v/>
      </c>
      <c r="O710" s="189">
        <f>IF(OR($O630="RESTRINGIDO", $O629="RESTRINGIDO"), 0, O590)</f>
        <v/>
      </c>
      <c r="P710" s="189">
        <f>IF($O630="RESTRINGIDO", 1, IF(OR($O630="", $C590=""), 1, P590))</f>
        <v/>
      </c>
      <c r="Q710" s="189">
        <f>IF(OR($O630="RESTRINGIDO", $O631="RESTRINGIDO"), 0, Q590)</f>
        <v/>
      </c>
      <c r="R710" s="189">
        <f>IF(OR($O630="RESTRINGIDO", $O632="RESTRINGIDO"), 0, R590)</f>
        <v/>
      </c>
      <c r="S710" s="189">
        <f>IF(OR($O630="RESTRINGIDO", $O633="RESTRINGIDO"), 0, S590)</f>
        <v/>
      </c>
      <c r="T710" s="189">
        <f>IF(OR($O630="RESTRINGIDO", $O634="RESTRINGIDO"), 0, T590)</f>
        <v/>
      </c>
      <c r="U710" s="189">
        <f>IF(OR($O630="RESTRINGIDO", $O635="RESTRINGIDO"), 0, U590)</f>
        <v/>
      </c>
      <c r="V710" s="189">
        <f>IF(OR($O630="RESTRINGIDO", $O636="RESTRINGIDO"), 0, V590)</f>
        <v/>
      </c>
      <c r="W710" s="189">
        <f>IF(OR($O630="RESTRINGIDO", $O637="RESTRINGIDO"), 0, W590)</f>
        <v/>
      </c>
      <c r="X710" s="189">
        <f>IF(OR($O630="RESTRINGIDO", $O638="RESTRINGIDO"), 0, X590)</f>
        <v/>
      </c>
      <c r="Y710" s="189">
        <f>IF(OR($O630="RESTRINGIDO", $O639="RESTRINGIDO"), 0, Y590)</f>
        <v/>
      </c>
      <c r="Z710" s="189">
        <f>IF(OR($O630="RESTRINGIDO", $O640="RESTRINGIDO"), 0, Z590)</f>
        <v/>
      </c>
      <c r="AA710" s="189">
        <f>IF(OR($O630="RESTRINGIDO", $O641="RESTRINGIDO"), 0, AA590)</f>
        <v/>
      </c>
      <c r="AB710" s="189">
        <f>IF(OR($O630="RESTRINGIDO", $O642="RESTRINGIDO"), 0, AB590)</f>
        <v/>
      </c>
      <c r="AC710" s="189">
        <f>IF(OR($O630="RESTRINGIDO", $O643="RESTRINGIDO"), 0, AC590)</f>
        <v/>
      </c>
      <c r="AD710" s="189">
        <f>IF(OR($O630="RESTRINGIDO", $O644="RESTRINGIDO"), 0, AD590)</f>
        <v/>
      </c>
      <c r="AE710" s="189">
        <f>IF(OR($O630="RESTRINGIDO", $O645="RESTRINGIDO"), 0, AE590)</f>
        <v/>
      </c>
      <c r="AF710" s="189">
        <f>IF(OR($O630="RESTRINGIDO", $O646="RESTRINGIDO"), 0, AF590)</f>
        <v/>
      </c>
      <c r="AG710" s="189">
        <f>IF(OR($O630="RESTRINGIDO", $O647="RESTRINGIDO"), 0, AG590)</f>
        <v/>
      </c>
      <c r="AH710" s="189">
        <f>IF(OR($O630="RESTRINGIDO", $O648="RESTRINGIDO"), 0, AH590)</f>
        <v/>
      </c>
      <c r="AI710" s="189">
        <f>IF(OR($O630="RESTRINGIDO", $O649="RESTRINGIDO"), 0, AI590)</f>
        <v/>
      </c>
      <c r="AJ710" s="189">
        <f>IF(OR($O630="RESTRINGIDO", $O650="RESTRINGIDO"), 0, AJ590)</f>
        <v/>
      </c>
      <c r="AK710" s="189">
        <f>IF(OR($O630="RESTRINGIDO", $O651="RESTRINGIDO"), 0, AK590)</f>
        <v/>
      </c>
      <c r="AL710" s="189">
        <f>IF(OR($O630="RESTRINGIDO", $O652="RESTRINGIDO"), 0, AL590)</f>
        <v/>
      </c>
      <c r="AM710" s="189">
        <f>IF($O630="LIBRE", IF(ISNUMBER(F630), F630, 0), 0)</f>
        <v/>
      </c>
      <c r="AN710" s="188" t="n">
        <v>0</v>
      </c>
      <c r="AP710" s="188" t="n">
        <v>0</v>
      </c>
    </row>
    <row r="711">
      <c r="C711" s="189">
        <f>IF(OR($O631="RESTRINGIDO", $O617="RESTRINGIDO"), 0, C591)</f>
        <v/>
      </c>
      <c r="D711" s="189">
        <f>IF(OR($O631="RESTRINGIDO", $O618="RESTRINGIDO"), 0, D591)</f>
        <v/>
      </c>
      <c r="E711" s="189">
        <f>IF(OR($O631="RESTRINGIDO", $O619="RESTRINGIDO"), 0, E591)</f>
        <v/>
      </c>
      <c r="F711" s="189">
        <f>IF(OR($O631="RESTRINGIDO", $O620="RESTRINGIDO"), 0, F591)</f>
        <v/>
      </c>
      <c r="G711" s="189">
        <f>IF(OR($O631="RESTRINGIDO", $O621="RESTRINGIDO"), 0, G591)</f>
        <v/>
      </c>
      <c r="H711" s="189">
        <f>IF(OR($O631="RESTRINGIDO", $O622="RESTRINGIDO"), 0, H591)</f>
        <v/>
      </c>
      <c r="I711" s="189">
        <f>IF(OR($O631="RESTRINGIDO", $O623="RESTRINGIDO"), 0, I591)</f>
        <v/>
      </c>
      <c r="J711" s="189">
        <f>IF(OR($O631="RESTRINGIDO", $O624="RESTRINGIDO"), 0, J591)</f>
        <v/>
      </c>
      <c r="K711" s="189">
        <f>IF(OR($O631="RESTRINGIDO", $O625="RESTRINGIDO"), 0, K591)</f>
        <v/>
      </c>
      <c r="L711" s="189">
        <f>IF(OR($O631="RESTRINGIDO", $O626="RESTRINGIDO"), 0, L591)</f>
        <v/>
      </c>
      <c r="M711" s="189">
        <f>IF(OR($O631="RESTRINGIDO", $O627="RESTRINGIDO"), 0, M591)</f>
        <v/>
      </c>
      <c r="N711" s="189">
        <f>IF(OR($O631="RESTRINGIDO", $O628="RESTRINGIDO"), 0, N591)</f>
        <v/>
      </c>
      <c r="O711" s="189">
        <f>IF(OR($O631="RESTRINGIDO", $O629="RESTRINGIDO"), 0, O591)</f>
        <v/>
      </c>
      <c r="P711" s="189">
        <f>IF(OR($O631="RESTRINGIDO", $O630="RESTRINGIDO"), 0, P591)</f>
        <v/>
      </c>
      <c r="Q711" s="189">
        <f>IF($O631="RESTRINGIDO", 1, IF(OR($O631="", $C591=""), 1, Q591))</f>
        <v/>
      </c>
      <c r="R711" s="189">
        <f>IF(OR($O631="RESTRINGIDO", $O632="RESTRINGIDO"), 0, R591)</f>
        <v/>
      </c>
      <c r="S711" s="189">
        <f>IF(OR($O631="RESTRINGIDO", $O633="RESTRINGIDO"), 0, S591)</f>
        <v/>
      </c>
      <c r="T711" s="189">
        <f>IF(OR($O631="RESTRINGIDO", $O634="RESTRINGIDO"), 0, T591)</f>
        <v/>
      </c>
      <c r="U711" s="189">
        <f>IF(OR($O631="RESTRINGIDO", $O635="RESTRINGIDO"), 0, U591)</f>
        <v/>
      </c>
      <c r="V711" s="189">
        <f>IF(OR($O631="RESTRINGIDO", $O636="RESTRINGIDO"), 0, V591)</f>
        <v/>
      </c>
      <c r="W711" s="189">
        <f>IF(OR($O631="RESTRINGIDO", $O637="RESTRINGIDO"), 0, W591)</f>
        <v/>
      </c>
      <c r="X711" s="189">
        <f>IF(OR($O631="RESTRINGIDO", $O638="RESTRINGIDO"), 0, X591)</f>
        <v/>
      </c>
      <c r="Y711" s="189">
        <f>IF(OR($O631="RESTRINGIDO", $O639="RESTRINGIDO"), 0, Y591)</f>
        <v/>
      </c>
      <c r="Z711" s="189">
        <f>IF(OR($O631="RESTRINGIDO", $O640="RESTRINGIDO"), 0, Z591)</f>
        <v/>
      </c>
      <c r="AA711" s="189">
        <f>IF(OR($O631="RESTRINGIDO", $O641="RESTRINGIDO"), 0, AA591)</f>
        <v/>
      </c>
      <c r="AB711" s="189">
        <f>IF(OR($O631="RESTRINGIDO", $O642="RESTRINGIDO"), 0, AB591)</f>
        <v/>
      </c>
      <c r="AC711" s="189">
        <f>IF(OR($O631="RESTRINGIDO", $O643="RESTRINGIDO"), 0, AC591)</f>
        <v/>
      </c>
      <c r="AD711" s="189">
        <f>IF(OR($O631="RESTRINGIDO", $O644="RESTRINGIDO"), 0, AD591)</f>
        <v/>
      </c>
      <c r="AE711" s="189">
        <f>IF(OR($O631="RESTRINGIDO", $O645="RESTRINGIDO"), 0, AE591)</f>
        <v/>
      </c>
      <c r="AF711" s="189">
        <f>IF(OR($O631="RESTRINGIDO", $O646="RESTRINGIDO"), 0, AF591)</f>
        <v/>
      </c>
      <c r="AG711" s="189">
        <f>IF(OR($O631="RESTRINGIDO", $O647="RESTRINGIDO"), 0, AG591)</f>
        <v/>
      </c>
      <c r="AH711" s="189">
        <f>IF(OR($O631="RESTRINGIDO", $O648="RESTRINGIDO"), 0, AH591)</f>
        <v/>
      </c>
      <c r="AI711" s="189">
        <f>IF(OR($O631="RESTRINGIDO", $O649="RESTRINGIDO"), 0, AI591)</f>
        <v/>
      </c>
      <c r="AJ711" s="189">
        <f>IF(OR($O631="RESTRINGIDO", $O650="RESTRINGIDO"), 0, AJ591)</f>
        <v/>
      </c>
      <c r="AK711" s="189">
        <f>IF(OR($O631="RESTRINGIDO", $O651="RESTRINGIDO"), 0, AK591)</f>
        <v/>
      </c>
      <c r="AL711" s="189">
        <f>IF(OR($O631="RESTRINGIDO", $O652="RESTRINGIDO"), 0, AL591)</f>
        <v/>
      </c>
      <c r="AM711" s="189">
        <f>IF($O631="LIBRE", IF(ISNUMBER(F631), F631, 0), 0)</f>
        <v/>
      </c>
      <c r="AN711" s="188" t="n">
        <v>0</v>
      </c>
      <c r="AP711" s="188" t="n">
        <v>0</v>
      </c>
    </row>
    <row r="712">
      <c r="C712" s="189">
        <f>IF(OR($O632="RESTRINGIDO", $O617="RESTRINGIDO"), 0, C592)</f>
        <v/>
      </c>
      <c r="D712" s="189">
        <f>IF(OR($O632="RESTRINGIDO", $O618="RESTRINGIDO"), 0, D592)</f>
        <v/>
      </c>
      <c r="E712" s="189">
        <f>IF(OR($O632="RESTRINGIDO", $O619="RESTRINGIDO"), 0, E592)</f>
        <v/>
      </c>
      <c r="F712" s="189">
        <f>IF(OR($O632="RESTRINGIDO", $O620="RESTRINGIDO"), 0, F592)</f>
        <v/>
      </c>
      <c r="G712" s="189">
        <f>IF(OR($O632="RESTRINGIDO", $O621="RESTRINGIDO"), 0, G592)</f>
        <v/>
      </c>
      <c r="H712" s="189">
        <f>IF(OR($O632="RESTRINGIDO", $O622="RESTRINGIDO"), 0, H592)</f>
        <v/>
      </c>
      <c r="I712" s="189">
        <f>IF(OR($O632="RESTRINGIDO", $O623="RESTRINGIDO"), 0, I592)</f>
        <v/>
      </c>
      <c r="J712" s="189">
        <f>IF(OR($O632="RESTRINGIDO", $O624="RESTRINGIDO"), 0, J592)</f>
        <v/>
      </c>
      <c r="K712" s="189">
        <f>IF(OR($O632="RESTRINGIDO", $O625="RESTRINGIDO"), 0, K592)</f>
        <v/>
      </c>
      <c r="L712" s="189">
        <f>IF(OR($O632="RESTRINGIDO", $O626="RESTRINGIDO"), 0, L592)</f>
        <v/>
      </c>
      <c r="M712" s="189">
        <f>IF(OR($O632="RESTRINGIDO", $O627="RESTRINGIDO"), 0, M592)</f>
        <v/>
      </c>
      <c r="N712" s="189">
        <f>IF(OR($O632="RESTRINGIDO", $O628="RESTRINGIDO"), 0, N592)</f>
        <v/>
      </c>
      <c r="O712" s="189">
        <f>IF(OR($O632="RESTRINGIDO", $O629="RESTRINGIDO"), 0, O592)</f>
        <v/>
      </c>
      <c r="P712" s="189">
        <f>IF(OR($O632="RESTRINGIDO", $O630="RESTRINGIDO"), 0, P592)</f>
        <v/>
      </c>
      <c r="Q712" s="189">
        <f>IF(OR($O632="RESTRINGIDO", $O631="RESTRINGIDO"), 0, Q592)</f>
        <v/>
      </c>
      <c r="R712" s="189">
        <f>IF($O632="RESTRINGIDO", 1, IF(OR($O632="", $C592=""), 1, R592))</f>
        <v/>
      </c>
      <c r="S712" s="189">
        <f>IF(OR($O632="RESTRINGIDO", $O633="RESTRINGIDO"), 0, S592)</f>
        <v/>
      </c>
      <c r="T712" s="189">
        <f>IF(OR($O632="RESTRINGIDO", $O634="RESTRINGIDO"), 0, T592)</f>
        <v/>
      </c>
      <c r="U712" s="189">
        <f>IF(OR($O632="RESTRINGIDO", $O635="RESTRINGIDO"), 0, U592)</f>
        <v/>
      </c>
      <c r="V712" s="189">
        <f>IF(OR($O632="RESTRINGIDO", $O636="RESTRINGIDO"), 0, V592)</f>
        <v/>
      </c>
      <c r="W712" s="189">
        <f>IF(OR($O632="RESTRINGIDO", $O637="RESTRINGIDO"), 0, W592)</f>
        <v/>
      </c>
      <c r="X712" s="189">
        <f>IF(OR($O632="RESTRINGIDO", $O638="RESTRINGIDO"), 0, X592)</f>
        <v/>
      </c>
      <c r="Y712" s="189">
        <f>IF(OR($O632="RESTRINGIDO", $O639="RESTRINGIDO"), 0, Y592)</f>
        <v/>
      </c>
      <c r="Z712" s="189">
        <f>IF(OR($O632="RESTRINGIDO", $O640="RESTRINGIDO"), 0, Z592)</f>
        <v/>
      </c>
      <c r="AA712" s="189">
        <f>IF(OR($O632="RESTRINGIDO", $O641="RESTRINGIDO"), 0, AA592)</f>
        <v/>
      </c>
      <c r="AB712" s="189">
        <f>IF(OR($O632="RESTRINGIDO", $O642="RESTRINGIDO"), 0, AB592)</f>
        <v/>
      </c>
      <c r="AC712" s="189">
        <f>IF(OR($O632="RESTRINGIDO", $O643="RESTRINGIDO"), 0, AC592)</f>
        <v/>
      </c>
      <c r="AD712" s="189">
        <f>IF(OR($O632="RESTRINGIDO", $O644="RESTRINGIDO"), 0, AD592)</f>
        <v/>
      </c>
      <c r="AE712" s="189">
        <f>IF(OR($O632="RESTRINGIDO", $O645="RESTRINGIDO"), 0, AE592)</f>
        <v/>
      </c>
      <c r="AF712" s="189">
        <f>IF(OR($O632="RESTRINGIDO", $O646="RESTRINGIDO"), 0, AF592)</f>
        <v/>
      </c>
      <c r="AG712" s="189">
        <f>IF(OR($O632="RESTRINGIDO", $O647="RESTRINGIDO"), 0, AG592)</f>
        <v/>
      </c>
      <c r="AH712" s="189">
        <f>IF(OR($O632="RESTRINGIDO", $O648="RESTRINGIDO"), 0, AH592)</f>
        <v/>
      </c>
      <c r="AI712" s="189">
        <f>IF(OR($O632="RESTRINGIDO", $O649="RESTRINGIDO"), 0, AI592)</f>
        <v/>
      </c>
      <c r="AJ712" s="189">
        <f>IF(OR($O632="RESTRINGIDO", $O650="RESTRINGIDO"), 0, AJ592)</f>
        <v/>
      </c>
      <c r="AK712" s="189">
        <f>IF(OR($O632="RESTRINGIDO", $O651="RESTRINGIDO"), 0, AK592)</f>
        <v/>
      </c>
      <c r="AL712" s="189">
        <f>IF(OR($O632="RESTRINGIDO", $O652="RESTRINGIDO"), 0, AL592)</f>
        <v/>
      </c>
      <c r="AM712" s="189">
        <f>IF($O632="LIBRE", IF(ISNUMBER(F632), F632, 0), 0)</f>
        <v/>
      </c>
      <c r="AN712" s="188" t="n">
        <v>0</v>
      </c>
      <c r="AP712" s="188" t="n">
        <v>0</v>
      </c>
    </row>
    <row r="713">
      <c r="C713" s="189">
        <f>IF(OR($O633="RESTRINGIDO", $O617="RESTRINGIDO"), 0, C593)</f>
        <v/>
      </c>
      <c r="D713" s="189">
        <f>IF(OR($O633="RESTRINGIDO", $O618="RESTRINGIDO"), 0, D593)</f>
        <v/>
      </c>
      <c r="E713" s="189">
        <f>IF(OR($O633="RESTRINGIDO", $O619="RESTRINGIDO"), 0, E593)</f>
        <v/>
      </c>
      <c r="F713" s="189">
        <f>IF(OR($O633="RESTRINGIDO", $O620="RESTRINGIDO"), 0, F593)</f>
        <v/>
      </c>
      <c r="G713" s="189">
        <f>IF(OR($O633="RESTRINGIDO", $O621="RESTRINGIDO"), 0, G593)</f>
        <v/>
      </c>
      <c r="H713" s="189">
        <f>IF(OR($O633="RESTRINGIDO", $O622="RESTRINGIDO"), 0, H593)</f>
        <v/>
      </c>
      <c r="I713" s="189">
        <f>IF(OR($O633="RESTRINGIDO", $O623="RESTRINGIDO"), 0, I593)</f>
        <v/>
      </c>
      <c r="J713" s="189">
        <f>IF(OR($O633="RESTRINGIDO", $O624="RESTRINGIDO"), 0, J593)</f>
        <v/>
      </c>
      <c r="K713" s="189">
        <f>IF(OR($O633="RESTRINGIDO", $O625="RESTRINGIDO"), 0, K593)</f>
        <v/>
      </c>
      <c r="L713" s="189">
        <f>IF(OR($O633="RESTRINGIDO", $O626="RESTRINGIDO"), 0, L593)</f>
        <v/>
      </c>
      <c r="M713" s="189">
        <f>IF(OR($O633="RESTRINGIDO", $O627="RESTRINGIDO"), 0, M593)</f>
        <v/>
      </c>
      <c r="N713" s="189">
        <f>IF(OR($O633="RESTRINGIDO", $O628="RESTRINGIDO"), 0, N593)</f>
        <v/>
      </c>
      <c r="O713" s="189">
        <f>IF(OR($O633="RESTRINGIDO", $O629="RESTRINGIDO"), 0, O593)</f>
        <v/>
      </c>
      <c r="P713" s="189">
        <f>IF(OR($O633="RESTRINGIDO", $O630="RESTRINGIDO"), 0, P593)</f>
        <v/>
      </c>
      <c r="Q713" s="189">
        <f>IF(OR($O633="RESTRINGIDO", $O631="RESTRINGIDO"), 0, Q593)</f>
        <v/>
      </c>
      <c r="R713" s="189">
        <f>IF(OR($O633="RESTRINGIDO", $O632="RESTRINGIDO"), 0, R593)</f>
        <v/>
      </c>
      <c r="S713" s="189">
        <f>IF($O633="RESTRINGIDO", 1, IF(OR($O633="", $C593=""), 1, S593))</f>
        <v/>
      </c>
      <c r="T713" s="189">
        <f>IF(OR($O633="RESTRINGIDO", $O634="RESTRINGIDO"), 0, T593)</f>
        <v/>
      </c>
      <c r="U713" s="189">
        <f>IF(OR($O633="RESTRINGIDO", $O635="RESTRINGIDO"), 0, U593)</f>
        <v/>
      </c>
      <c r="V713" s="189">
        <f>IF(OR($O633="RESTRINGIDO", $O636="RESTRINGIDO"), 0, V593)</f>
        <v/>
      </c>
      <c r="W713" s="189">
        <f>IF(OR($O633="RESTRINGIDO", $O637="RESTRINGIDO"), 0, W593)</f>
        <v/>
      </c>
      <c r="X713" s="189">
        <f>IF(OR($O633="RESTRINGIDO", $O638="RESTRINGIDO"), 0, X593)</f>
        <v/>
      </c>
      <c r="Y713" s="189">
        <f>IF(OR($O633="RESTRINGIDO", $O639="RESTRINGIDO"), 0, Y593)</f>
        <v/>
      </c>
      <c r="Z713" s="189">
        <f>IF(OR($O633="RESTRINGIDO", $O640="RESTRINGIDO"), 0, Z593)</f>
        <v/>
      </c>
      <c r="AA713" s="189">
        <f>IF(OR($O633="RESTRINGIDO", $O641="RESTRINGIDO"), 0, AA593)</f>
        <v/>
      </c>
      <c r="AB713" s="189">
        <f>IF(OR($O633="RESTRINGIDO", $O642="RESTRINGIDO"), 0, AB593)</f>
        <v/>
      </c>
      <c r="AC713" s="189">
        <f>IF(OR($O633="RESTRINGIDO", $O643="RESTRINGIDO"), 0, AC593)</f>
        <v/>
      </c>
      <c r="AD713" s="189">
        <f>IF(OR($O633="RESTRINGIDO", $O644="RESTRINGIDO"), 0, AD593)</f>
        <v/>
      </c>
      <c r="AE713" s="189">
        <f>IF(OR($O633="RESTRINGIDO", $O645="RESTRINGIDO"), 0, AE593)</f>
        <v/>
      </c>
      <c r="AF713" s="189">
        <f>IF(OR($O633="RESTRINGIDO", $O646="RESTRINGIDO"), 0, AF593)</f>
        <v/>
      </c>
      <c r="AG713" s="189">
        <f>IF(OR($O633="RESTRINGIDO", $O647="RESTRINGIDO"), 0, AG593)</f>
        <v/>
      </c>
      <c r="AH713" s="189">
        <f>IF(OR($O633="RESTRINGIDO", $O648="RESTRINGIDO"), 0, AH593)</f>
        <v/>
      </c>
      <c r="AI713" s="189">
        <f>IF(OR($O633="RESTRINGIDO", $O649="RESTRINGIDO"), 0, AI593)</f>
        <v/>
      </c>
      <c r="AJ713" s="189">
        <f>IF(OR($O633="RESTRINGIDO", $O650="RESTRINGIDO"), 0, AJ593)</f>
        <v/>
      </c>
      <c r="AK713" s="189">
        <f>IF(OR($O633="RESTRINGIDO", $O651="RESTRINGIDO"), 0, AK593)</f>
        <v/>
      </c>
      <c r="AL713" s="189">
        <f>IF(OR($O633="RESTRINGIDO", $O652="RESTRINGIDO"), 0, AL593)</f>
        <v/>
      </c>
      <c r="AM713" s="189">
        <f>IF($O633="LIBRE", IF(ISNUMBER(F633), F633, 0), 0)</f>
        <v/>
      </c>
      <c r="AN713" s="188" t="n">
        <v>0</v>
      </c>
      <c r="AP713" s="188" t="n">
        <v>0</v>
      </c>
    </row>
    <row r="714">
      <c r="C714" s="189">
        <f>IF(OR($O634="RESTRINGIDO", $O617="RESTRINGIDO"), 0, C594)</f>
        <v/>
      </c>
      <c r="D714" s="189">
        <f>IF(OR($O634="RESTRINGIDO", $O618="RESTRINGIDO"), 0, D594)</f>
        <v/>
      </c>
      <c r="E714" s="189">
        <f>IF(OR($O634="RESTRINGIDO", $O619="RESTRINGIDO"), 0, E594)</f>
        <v/>
      </c>
      <c r="F714" s="189">
        <f>IF(OR($O634="RESTRINGIDO", $O620="RESTRINGIDO"), 0, F594)</f>
        <v/>
      </c>
      <c r="G714" s="189">
        <f>IF(OR($O634="RESTRINGIDO", $O621="RESTRINGIDO"), 0, G594)</f>
        <v/>
      </c>
      <c r="H714" s="189">
        <f>IF(OR($O634="RESTRINGIDO", $O622="RESTRINGIDO"), 0, H594)</f>
        <v/>
      </c>
      <c r="I714" s="189">
        <f>IF(OR($O634="RESTRINGIDO", $O623="RESTRINGIDO"), 0, I594)</f>
        <v/>
      </c>
      <c r="J714" s="189">
        <f>IF(OR($O634="RESTRINGIDO", $O624="RESTRINGIDO"), 0, J594)</f>
        <v/>
      </c>
      <c r="K714" s="189">
        <f>IF(OR($O634="RESTRINGIDO", $O625="RESTRINGIDO"), 0, K594)</f>
        <v/>
      </c>
      <c r="L714" s="189">
        <f>IF(OR($O634="RESTRINGIDO", $O626="RESTRINGIDO"), 0, L594)</f>
        <v/>
      </c>
      <c r="M714" s="189">
        <f>IF(OR($O634="RESTRINGIDO", $O627="RESTRINGIDO"), 0, M594)</f>
        <v/>
      </c>
      <c r="N714" s="189">
        <f>IF(OR($O634="RESTRINGIDO", $O628="RESTRINGIDO"), 0, N594)</f>
        <v/>
      </c>
      <c r="O714" s="189">
        <f>IF(OR($O634="RESTRINGIDO", $O629="RESTRINGIDO"), 0, O594)</f>
        <v/>
      </c>
      <c r="P714" s="189">
        <f>IF(OR($O634="RESTRINGIDO", $O630="RESTRINGIDO"), 0, P594)</f>
        <v/>
      </c>
      <c r="Q714" s="189">
        <f>IF(OR($O634="RESTRINGIDO", $O631="RESTRINGIDO"), 0, Q594)</f>
        <v/>
      </c>
      <c r="R714" s="189">
        <f>IF(OR($O634="RESTRINGIDO", $O632="RESTRINGIDO"), 0, R594)</f>
        <v/>
      </c>
      <c r="S714" s="189">
        <f>IF(OR($O634="RESTRINGIDO", $O633="RESTRINGIDO"), 0, S594)</f>
        <v/>
      </c>
      <c r="T714" s="189">
        <f>IF($O634="RESTRINGIDO", 1, IF(OR($O634="", $C594=""), 1, T594))</f>
        <v/>
      </c>
      <c r="U714" s="189">
        <f>IF(OR($O634="RESTRINGIDO", $O635="RESTRINGIDO"), 0, U594)</f>
        <v/>
      </c>
      <c r="V714" s="189">
        <f>IF(OR($O634="RESTRINGIDO", $O636="RESTRINGIDO"), 0, V594)</f>
        <v/>
      </c>
      <c r="W714" s="189">
        <f>IF(OR($O634="RESTRINGIDO", $O637="RESTRINGIDO"), 0, W594)</f>
        <v/>
      </c>
      <c r="X714" s="189">
        <f>IF(OR($O634="RESTRINGIDO", $O638="RESTRINGIDO"), 0, X594)</f>
        <v/>
      </c>
      <c r="Y714" s="189">
        <f>IF(OR($O634="RESTRINGIDO", $O639="RESTRINGIDO"), 0, Y594)</f>
        <v/>
      </c>
      <c r="Z714" s="189">
        <f>IF(OR($O634="RESTRINGIDO", $O640="RESTRINGIDO"), 0, Z594)</f>
        <v/>
      </c>
      <c r="AA714" s="189">
        <f>IF(OR($O634="RESTRINGIDO", $O641="RESTRINGIDO"), 0, AA594)</f>
        <v/>
      </c>
      <c r="AB714" s="189">
        <f>IF(OR($O634="RESTRINGIDO", $O642="RESTRINGIDO"), 0, AB594)</f>
        <v/>
      </c>
      <c r="AC714" s="189">
        <f>IF(OR($O634="RESTRINGIDO", $O643="RESTRINGIDO"), 0, AC594)</f>
        <v/>
      </c>
      <c r="AD714" s="189">
        <f>IF(OR($O634="RESTRINGIDO", $O644="RESTRINGIDO"), 0, AD594)</f>
        <v/>
      </c>
      <c r="AE714" s="189">
        <f>IF(OR($O634="RESTRINGIDO", $O645="RESTRINGIDO"), 0, AE594)</f>
        <v/>
      </c>
      <c r="AF714" s="189">
        <f>IF(OR($O634="RESTRINGIDO", $O646="RESTRINGIDO"), 0, AF594)</f>
        <v/>
      </c>
      <c r="AG714" s="189">
        <f>IF(OR($O634="RESTRINGIDO", $O647="RESTRINGIDO"), 0, AG594)</f>
        <v/>
      </c>
      <c r="AH714" s="189">
        <f>IF(OR($O634="RESTRINGIDO", $O648="RESTRINGIDO"), 0, AH594)</f>
        <v/>
      </c>
      <c r="AI714" s="189">
        <f>IF(OR($O634="RESTRINGIDO", $O649="RESTRINGIDO"), 0, AI594)</f>
        <v/>
      </c>
      <c r="AJ714" s="189">
        <f>IF(OR($O634="RESTRINGIDO", $O650="RESTRINGIDO"), 0, AJ594)</f>
        <v/>
      </c>
      <c r="AK714" s="189">
        <f>IF(OR($O634="RESTRINGIDO", $O651="RESTRINGIDO"), 0, AK594)</f>
        <v/>
      </c>
      <c r="AL714" s="189">
        <f>IF(OR($O634="RESTRINGIDO", $O652="RESTRINGIDO"), 0, AL594)</f>
        <v/>
      </c>
      <c r="AM714" s="189">
        <f>IF($O634="LIBRE", IF(ISNUMBER(F634), F634, 0), 0)</f>
        <v/>
      </c>
      <c r="AN714" s="188" t="n">
        <v>0</v>
      </c>
      <c r="AP714" s="188" t="n">
        <v>0</v>
      </c>
    </row>
    <row r="715">
      <c r="C715" s="189">
        <f>IF(OR($O635="RESTRINGIDO", $O617="RESTRINGIDO"), 0, C595)</f>
        <v/>
      </c>
      <c r="D715" s="189">
        <f>IF(OR($O635="RESTRINGIDO", $O618="RESTRINGIDO"), 0, D595)</f>
        <v/>
      </c>
      <c r="E715" s="189">
        <f>IF(OR($O635="RESTRINGIDO", $O619="RESTRINGIDO"), 0, E595)</f>
        <v/>
      </c>
      <c r="F715" s="189">
        <f>IF(OR($O635="RESTRINGIDO", $O620="RESTRINGIDO"), 0, F595)</f>
        <v/>
      </c>
      <c r="G715" s="189">
        <f>IF(OR($O635="RESTRINGIDO", $O621="RESTRINGIDO"), 0, G595)</f>
        <v/>
      </c>
      <c r="H715" s="189">
        <f>IF(OR($O635="RESTRINGIDO", $O622="RESTRINGIDO"), 0, H595)</f>
        <v/>
      </c>
      <c r="I715" s="189">
        <f>IF(OR($O635="RESTRINGIDO", $O623="RESTRINGIDO"), 0, I595)</f>
        <v/>
      </c>
      <c r="J715" s="189">
        <f>IF(OR($O635="RESTRINGIDO", $O624="RESTRINGIDO"), 0, J595)</f>
        <v/>
      </c>
      <c r="K715" s="189">
        <f>IF(OR($O635="RESTRINGIDO", $O625="RESTRINGIDO"), 0, K595)</f>
        <v/>
      </c>
      <c r="L715" s="189">
        <f>IF(OR($O635="RESTRINGIDO", $O626="RESTRINGIDO"), 0, L595)</f>
        <v/>
      </c>
      <c r="M715" s="189">
        <f>IF(OR($O635="RESTRINGIDO", $O627="RESTRINGIDO"), 0, M595)</f>
        <v/>
      </c>
      <c r="N715" s="189">
        <f>IF(OR($O635="RESTRINGIDO", $O628="RESTRINGIDO"), 0, N595)</f>
        <v/>
      </c>
      <c r="O715" s="189">
        <f>IF(OR($O635="RESTRINGIDO", $O629="RESTRINGIDO"), 0, O595)</f>
        <v/>
      </c>
      <c r="P715" s="189">
        <f>IF(OR($O635="RESTRINGIDO", $O630="RESTRINGIDO"), 0, P595)</f>
        <v/>
      </c>
      <c r="Q715" s="189">
        <f>IF(OR($O635="RESTRINGIDO", $O631="RESTRINGIDO"), 0, Q595)</f>
        <v/>
      </c>
      <c r="R715" s="189">
        <f>IF(OR($O635="RESTRINGIDO", $O632="RESTRINGIDO"), 0, R595)</f>
        <v/>
      </c>
      <c r="S715" s="189">
        <f>IF(OR($O635="RESTRINGIDO", $O633="RESTRINGIDO"), 0, S595)</f>
        <v/>
      </c>
      <c r="T715" s="189">
        <f>IF(OR($O635="RESTRINGIDO", $O634="RESTRINGIDO"), 0, T595)</f>
        <v/>
      </c>
      <c r="U715" s="189">
        <f>IF($O635="RESTRINGIDO", 1, IF(OR($O635="", $C595=""), 1, U595))</f>
        <v/>
      </c>
      <c r="V715" s="189">
        <f>IF(OR($O635="RESTRINGIDO", $O636="RESTRINGIDO"), 0, V595)</f>
        <v/>
      </c>
      <c r="W715" s="189">
        <f>IF(OR($O635="RESTRINGIDO", $O637="RESTRINGIDO"), 0, W595)</f>
        <v/>
      </c>
      <c r="X715" s="189">
        <f>IF(OR($O635="RESTRINGIDO", $O638="RESTRINGIDO"), 0, X595)</f>
        <v/>
      </c>
      <c r="Y715" s="189">
        <f>IF(OR($O635="RESTRINGIDO", $O639="RESTRINGIDO"), 0, Y595)</f>
        <v/>
      </c>
      <c r="Z715" s="189">
        <f>IF(OR($O635="RESTRINGIDO", $O640="RESTRINGIDO"), 0, Z595)</f>
        <v/>
      </c>
      <c r="AA715" s="189">
        <f>IF(OR($O635="RESTRINGIDO", $O641="RESTRINGIDO"), 0, AA595)</f>
        <v/>
      </c>
      <c r="AB715" s="189">
        <f>IF(OR($O635="RESTRINGIDO", $O642="RESTRINGIDO"), 0, AB595)</f>
        <v/>
      </c>
      <c r="AC715" s="189">
        <f>IF(OR($O635="RESTRINGIDO", $O643="RESTRINGIDO"), 0, AC595)</f>
        <v/>
      </c>
      <c r="AD715" s="189">
        <f>IF(OR($O635="RESTRINGIDO", $O644="RESTRINGIDO"), 0, AD595)</f>
        <v/>
      </c>
      <c r="AE715" s="189">
        <f>IF(OR($O635="RESTRINGIDO", $O645="RESTRINGIDO"), 0, AE595)</f>
        <v/>
      </c>
      <c r="AF715" s="189">
        <f>IF(OR($O635="RESTRINGIDO", $O646="RESTRINGIDO"), 0, AF595)</f>
        <v/>
      </c>
      <c r="AG715" s="189">
        <f>IF(OR($O635="RESTRINGIDO", $O647="RESTRINGIDO"), 0, AG595)</f>
        <v/>
      </c>
      <c r="AH715" s="189">
        <f>IF(OR($O635="RESTRINGIDO", $O648="RESTRINGIDO"), 0, AH595)</f>
        <v/>
      </c>
      <c r="AI715" s="189">
        <f>IF(OR($O635="RESTRINGIDO", $O649="RESTRINGIDO"), 0, AI595)</f>
        <v/>
      </c>
      <c r="AJ715" s="189">
        <f>IF(OR($O635="RESTRINGIDO", $O650="RESTRINGIDO"), 0, AJ595)</f>
        <v/>
      </c>
      <c r="AK715" s="189">
        <f>IF(OR($O635="RESTRINGIDO", $O651="RESTRINGIDO"), 0, AK595)</f>
        <v/>
      </c>
      <c r="AL715" s="189">
        <f>IF(OR($O635="RESTRINGIDO", $O652="RESTRINGIDO"), 0, AL595)</f>
        <v/>
      </c>
      <c r="AM715" s="189">
        <f>IF($O635="LIBRE", IF(ISNUMBER(F635), F635, 0), 0)</f>
        <v/>
      </c>
      <c r="AN715" s="188" t="n">
        <v>0</v>
      </c>
      <c r="AP715" s="188" t="n">
        <v>0</v>
      </c>
    </row>
    <row r="716">
      <c r="C716" s="189">
        <f>IF(OR($O636="RESTRINGIDO", $O617="RESTRINGIDO"), 0, C596)</f>
        <v/>
      </c>
      <c r="D716" s="189">
        <f>IF(OR($O636="RESTRINGIDO", $O618="RESTRINGIDO"), 0, D596)</f>
        <v/>
      </c>
      <c r="E716" s="189">
        <f>IF(OR($O636="RESTRINGIDO", $O619="RESTRINGIDO"), 0, E596)</f>
        <v/>
      </c>
      <c r="F716" s="189">
        <f>IF(OR($O636="RESTRINGIDO", $O620="RESTRINGIDO"), 0, F596)</f>
        <v/>
      </c>
      <c r="G716" s="189">
        <f>IF(OR($O636="RESTRINGIDO", $O621="RESTRINGIDO"), 0, G596)</f>
        <v/>
      </c>
      <c r="H716" s="189">
        <f>IF(OR($O636="RESTRINGIDO", $O622="RESTRINGIDO"), 0, H596)</f>
        <v/>
      </c>
      <c r="I716" s="189">
        <f>IF(OR($O636="RESTRINGIDO", $O623="RESTRINGIDO"), 0, I596)</f>
        <v/>
      </c>
      <c r="J716" s="189">
        <f>IF(OR($O636="RESTRINGIDO", $O624="RESTRINGIDO"), 0, J596)</f>
        <v/>
      </c>
      <c r="K716" s="189">
        <f>IF(OR($O636="RESTRINGIDO", $O625="RESTRINGIDO"), 0, K596)</f>
        <v/>
      </c>
      <c r="L716" s="189">
        <f>IF(OR($O636="RESTRINGIDO", $O626="RESTRINGIDO"), 0, L596)</f>
        <v/>
      </c>
      <c r="M716" s="189">
        <f>IF(OR($O636="RESTRINGIDO", $O627="RESTRINGIDO"), 0, M596)</f>
        <v/>
      </c>
      <c r="N716" s="189">
        <f>IF(OR($O636="RESTRINGIDO", $O628="RESTRINGIDO"), 0, N596)</f>
        <v/>
      </c>
      <c r="O716" s="189">
        <f>IF(OR($O636="RESTRINGIDO", $O629="RESTRINGIDO"), 0, O596)</f>
        <v/>
      </c>
      <c r="P716" s="189">
        <f>IF(OR($O636="RESTRINGIDO", $O630="RESTRINGIDO"), 0, P596)</f>
        <v/>
      </c>
      <c r="Q716" s="189">
        <f>IF(OR($O636="RESTRINGIDO", $O631="RESTRINGIDO"), 0, Q596)</f>
        <v/>
      </c>
      <c r="R716" s="189">
        <f>IF(OR($O636="RESTRINGIDO", $O632="RESTRINGIDO"), 0, R596)</f>
        <v/>
      </c>
      <c r="S716" s="189">
        <f>IF(OR($O636="RESTRINGIDO", $O633="RESTRINGIDO"), 0, S596)</f>
        <v/>
      </c>
      <c r="T716" s="189">
        <f>IF(OR($O636="RESTRINGIDO", $O634="RESTRINGIDO"), 0, T596)</f>
        <v/>
      </c>
      <c r="U716" s="189">
        <f>IF(OR($O636="RESTRINGIDO", $O635="RESTRINGIDO"), 0, U596)</f>
        <v/>
      </c>
      <c r="V716" s="189">
        <f>IF($O636="RESTRINGIDO", 1, IF(OR($O636="", $C596=""), 1, V596))</f>
        <v/>
      </c>
      <c r="W716" s="189">
        <f>IF(OR($O636="RESTRINGIDO", $O637="RESTRINGIDO"), 0, W596)</f>
        <v/>
      </c>
      <c r="X716" s="189">
        <f>IF(OR($O636="RESTRINGIDO", $O638="RESTRINGIDO"), 0, X596)</f>
        <v/>
      </c>
      <c r="Y716" s="189">
        <f>IF(OR($O636="RESTRINGIDO", $O639="RESTRINGIDO"), 0, Y596)</f>
        <v/>
      </c>
      <c r="Z716" s="189">
        <f>IF(OR($O636="RESTRINGIDO", $O640="RESTRINGIDO"), 0, Z596)</f>
        <v/>
      </c>
      <c r="AA716" s="189">
        <f>IF(OR($O636="RESTRINGIDO", $O641="RESTRINGIDO"), 0, AA596)</f>
        <v/>
      </c>
      <c r="AB716" s="189">
        <f>IF(OR($O636="RESTRINGIDO", $O642="RESTRINGIDO"), 0, AB596)</f>
        <v/>
      </c>
      <c r="AC716" s="189">
        <f>IF(OR($O636="RESTRINGIDO", $O643="RESTRINGIDO"), 0, AC596)</f>
        <v/>
      </c>
      <c r="AD716" s="189">
        <f>IF(OR($O636="RESTRINGIDO", $O644="RESTRINGIDO"), 0, AD596)</f>
        <v/>
      </c>
      <c r="AE716" s="189">
        <f>IF(OR($O636="RESTRINGIDO", $O645="RESTRINGIDO"), 0, AE596)</f>
        <v/>
      </c>
      <c r="AF716" s="189">
        <f>IF(OR($O636="RESTRINGIDO", $O646="RESTRINGIDO"), 0, AF596)</f>
        <v/>
      </c>
      <c r="AG716" s="189">
        <f>IF(OR($O636="RESTRINGIDO", $O647="RESTRINGIDO"), 0, AG596)</f>
        <v/>
      </c>
      <c r="AH716" s="189">
        <f>IF(OR($O636="RESTRINGIDO", $O648="RESTRINGIDO"), 0, AH596)</f>
        <v/>
      </c>
      <c r="AI716" s="189">
        <f>IF(OR($O636="RESTRINGIDO", $O649="RESTRINGIDO"), 0, AI596)</f>
        <v/>
      </c>
      <c r="AJ716" s="189">
        <f>IF(OR($O636="RESTRINGIDO", $O650="RESTRINGIDO"), 0, AJ596)</f>
        <v/>
      </c>
      <c r="AK716" s="189">
        <f>IF(OR($O636="RESTRINGIDO", $O651="RESTRINGIDO"), 0, AK596)</f>
        <v/>
      </c>
      <c r="AL716" s="189">
        <f>IF(OR($O636="RESTRINGIDO", $O652="RESTRINGIDO"), 0, AL596)</f>
        <v/>
      </c>
      <c r="AM716" s="189">
        <f>IF($O636="LIBRE", IF(ISNUMBER(F636), F636, 0), 0)</f>
        <v/>
      </c>
      <c r="AN716" s="188" t="n">
        <v>0</v>
      </c>
      <c r="AP716" s="188" t="n">
        <v>0</v>
      </c>
    </row>
    <row r="717">
      <c r="C717" s="189">
        <f>IF(OR($O637="RESTRINGIDO", $O617="RESTRINGIDO"), 0, C597)</f>
        <v/>
      </c>
      <c r="D717" s="189">
        <f>IF(OR($O637="RESTRINGIDO", $O618="RESTRINGIDO"), 0, D597)</f>
        <v/>
      </c>
      <c r="E717" s="189">
        <f>IF(OR($O637="RESTRINGIDO", $O619="RESTRINGIDO"), 0, E597)</f>
        <v/>
      </c>
      <c r="F717" s="189">
        <f>IF(OR($O637="RESTRINGIDO", $O620="RESTRINGIDO"), 0, F597)</f>
        <v/>
      </c>
      <c r="G717" s="189">
        <f>IF(OR($O637="RESTRINGIDO", $O621="RESTRINGIDO"), 0, G597)</f>
        <v/>
      </c>
      <c r="H717" s="189">
        <f>IF(OR($O637="RESTRINGIDO", $O622="RESTRINGIDO"), 0, H597)</f>
        <v/>
      </c>
      <c r="I717" s="189">
        <f>IF(OR($O637="RESTRINGIDO", $O623="RESTRINGIDO"), 0, I597)</f>
        <v/>
      </c>
      <c r="J717" s="189">
        <f>IF(OR($O637="RESTRINGIDO", $O624="RESTRINGIDO"), 0, J597)</f>
        <v/>
      </c>
      <c r="K717" s="189">
        <f>IF(OR($O637="RESTRINGIDO", $O625="RESTRINGIDO"), 0, K597)</f>
        <v/>
      </c>
      <c r="L717" s="189">
        <f>IF(OR($O637="RESTRINGIDO", $O626="RESTRINGIDO"), 0, L597)</f>
        <v/>
      </c>
      <c r="M717" s="189">
        <f>IF(OR($O637="RESTRINGIDO", $O627="RESTRINGIDO"), 0, M597)</f>
        <v/>
      </c>
      <c r="N717" s="189">
        <f>IF(OR($O637="RESTRINGIDO", $O628="RESTRINGIDO"), 0, N597)</f>
        <v/>
      </c>
      <c r="O717" s="189">
        <f>IF(OR($O637="RESTRINGIDO", $O629="RESTRINGIDO"), 0, O597)</f>
        <v/>
      </c>
      <c r="P717" s="189">
        <f>IF(OR($O637="RESTRINGIDO", $O630="RESTRINGIDO"), 0, P597)</f>
        <v/>
      </c>
      <c r="Q717" s="189">
        <f>IF(OR($O637="RESTRINGIDO", $O631="RESTRINGIDO"), 0, Q597)</f>
        <v/>
      </c>
      <c r="R717" s="189">
        <f>IF(OR($O637="RESTRINGIDO", $O632="RESTRINGIDO"), 0, R597)</f>
        <v/>
      </c>
      <c r="S717" s="189">
        <f>IF(OR($O637="RESTRINGIDO", $O633="RESTRINGIDO"), 0, S597)</f>
        <v/>
      </c>
      <c r="T717" s="189">
        <f>IF(OR($O637="RESTRINGIDO", $O634="RESTRINGIDO"), 0, T597)</f>
        <v/>
      </c>
      <c r="U717" s="189">
        <f>IF(OR($O637="RESTRINGIDO", $O635="RESTRINGIDO"), 0, U597)</f>
        <v/>
      </c>
      <c r="V717" s="189">
        <f>IF(OR($O637="RESTRINGIDO", $O636="RESTRINGIDO"), 0, V597)</f>
        <v/>
      </c>
      <c r="W717" s="189">
        <f>IF($O637="RESTRINGIDO", 1, IF(OR($O637="", $C597=""), 1, W597))</f>
        <v/>
      </c>
      <c r="X717" s="189">
        <f>IF(OR($O637="RESTRINGIDO", $O638="RESTRINGIDO"), 0, X597)</f>
        <v/>
      </c>
      <c r="Y717" s="189">
        <f>IF(OR($O637="RESTRINGIDO", $O639="RESTRINGIDO"), 0, Y597)</f>
        <v/>
      </c>
      <c r="Z717" s="189">
        <f>IF(OR($O637="RESTRINGIDO", $O640="RESTRINGIDO"), 0, Z597)</f>
        <v/>
      </c>
      <c r="AA717" s="189">
        <f>IF(OR($O637="RESTRINGIDO", $O641="RESTRINGIDO"), 0, AA597)</f>
        <v/>
      </c>
      <c r="AB717" s="189">
        <f>IF(OR($O637="RESTRINGIDO", $O642="RESTRINGIDO"), 0, AB597)</f>
        <v/>
      </c>
      <c r="AC717" s="189">
        <f>IF(OR($O637="RESTRINGIDO", $O643="RESTRINGIDO"), 0, AC597)</f>
        <v/>
      </c>
      <c r="AD717" s="189">
        <f>IF(OR($O637="RESTRINGIDO", $O644="RESTRINGIDO"), 0, AD597)</f>
        <v/>
      </c>
      <c r="AE717" s="189">
        <f>IF(OR($O637="RESTRINGIDO", $O645="RESTRINGIDO"), 0, AE597)</f>
        <v/>
      </c>
      <c r="AF717" s="189">
        <f>IF(OR($O637="RESTRINGIDO", $O646="RESTRINGIDO"), 0, AF597)</f>
        <v/>
      </c>
      <c r="AG717" s="189">
        <f>IF(OR($O637="RESTRINGIDO", $O647="RESTRINGIDO"), 0, AG597)</f>
        <v/>
      </c>
      <c r="AH717" s="189">
        <f>IF(OR($O637="RESTRINGIDO", $O648="RESTRINGIDO"), 0, AH597)</f>
        <v/>
      </c>
      <c r="AI717" s="189">
        <f>IF(OR($O637="RESTRINGIDO", $O649="RESTRINGIDO"), 0, AI597)</f>
        <v/>
      </c>
      <c r="AJ717" s="189">
        <f>IF(OR($O637="RESTRINGIDO", $O650="RESTRINGIDO"), 0, AJ597)</f>
        <v/>
      </c>
      <c r="AK717" s="189">
        <f>IF(OR($O637="RESTRINGIDO", $O651="RESTRINGIDO"), 0, AK597)</f>
        <v/>
      </c>
      <c r="AL717" s="189">
        <f>IF(OR($O637="RESTRINGIDO", $O652="RESTRINGIDO"), 0, AL597)</f>
        <v/>
      </c>
      <c r="AM717" s="189">
        <f>IF($O637="LIBRE", IF(ISNUMBER(F637), F637, 0), 0)</f>
        <v/>
      </c>
      <c r="AN717" s="188" t="n">
        <v>0</v>
      </c>
      <c r="AP717" s="188" t="n">
        <v>0</v>
      </c>
    </row>
    <row r="718">
      <c r="C718" s="189">
        <f>IF(OR($O638="RESTRINGIDO", $O617="RESTRINGIDO"), 0, C598)</f>
        <v/>
      </c>
      <c r="D718" s="189">
        <f>IF(OR($O638="RESTRINGIDO", $O618="RESTRINGIDO"), 0, D598)</f>
        <v/>
      </c>
      <c r="E718" s="189">
        <f>IF(OR($O638="RESTRINGIDO", $O619="RESTRINGIDO"), 0, E598)</f>
        <v/>
      </c>
      <c r="F718" s="189">
        <f>IF(OR($O638="RESTRINGIDO", $O620="RESTRINGIDO"), 0, F598)</f>
        <v/>
      </c>
      <c r="G718" s="189">
        <f>IF(OR($O638="RESTRINGIDO", $O621="RESTRINGIDO"), 0, G598)</f>
        <v/>
      </c>
      <c r="H718" s="189">
        <f>IF(OR($O638="RESTRINGIDO", $O622="RESTRINGIDO"), 0, H598)</f>
        <v/>
      </c>
      <c r="I718" s="189">
        <f>IF(OR($O638="RESTRINGIDO", $O623="RESTRINGIDO"), 0, I598)</f>
        <v/>
      </c>
      <c r="J718" s="189">
        <f>IF(OR($O638="RESTRINGIDO", $O624="RESTRINGIDO"), 0, J598)</f>
        <v/>
      </c>
      <c r="K718" s="189">
        <f>IF(OR($O638="RESTRINGIDO", $O625="RESTRINGIDO"), 0, K598)</f>
        <v/>
      </c>
      <c r="L718" s="189">
        <f>IF(OR($O638="RESTRINGIDO", $O626="RESTRINGIDO"), 0, L598)</f>
        <v/>
      </c>
      <c r="M718" s="189">
        <f>IF(OR($O638="RESTRINGIDO", $O627="RESTRINGIDO"), 0, M598)</f>
        <v/>
      </c>
      <c r="N718" s="189">
        <f>IF(OR($O638="RESTRINGIDO", $O628="RESTRINGIDO"), 0, N598)</f>
        <v/>
      </c>
      <c r="O718" s="189">
        <f>IF(OR($O638="RESTRINGIDO", $O629="RESTRINGIDO"), 0, O598)</f>
        <v/>
      </c>
      <c r="P718" s="189">
        <f>IF(OR($O638="RESTRINGIDO", $O630="RESTRINGIDO"), 0, P598)</f>
        <v/>
      </c>
      <c r="Q718" s="189">
        <f>IF(OR($O638="RESTRINGIDO", $O631="RESTRINGIDO"), 0, Q598)</f>
        <v/>
      </c>
      <c r="R718" s="189">
        <f>IF(OR($O638="RESTRINGIDO", $O632="RESTRINGIDO"), 0, R598)</f>
        <v/>
      </c>
      <c r="S718" s="189">
        <f>IF(OR($O638="RESTRINGIDO", $O633="RESTRINGIDO"), 0, S598)</f>
        <v/>
      </c>
      <c r="T718" s="189">
        <f>IF(OR($O638="RESTRINGIDO", $O634="RESTRINGIDO"), 0, T598)</f>
        <v/>
      </c>
      <c r="U718" s="189">
        <f>IF(OR($O638="RESTRINGIDO", $O635="RESTRINGIDO"), 0, U598)</f>
        <v/>
      </c>
      <c r="V718" s="189">
        <f>IF(OR($O638="RESTRINGIDO", $O636="RESTRINGIDO"), 0, V598)</f>
        <v/>
      </c>
      <c r="W718" s="189">
        <f>IF(OR($O638="RESTRINGIDO", $O637="RESTRINGIDO"), 0, W598)</f>
        <v/>
      </c>
      <c r="X718" s="189">
        <f>IF($O638="RESTRINGIDO", 1, IF(OR($O638="", $C598=""), 1, X598))</f>
        <v/>
      </c>
      <c r="Y718" s="189">
        <f>IF(OR($O638="RESTRINGIDO", $O639="RESTRINGIDO"), 0, Y598)</f>
        <v/>
      </c>
      <c r="Z718" s="189">
        <f>IF(OR($O638="RESTRINGIDO", $O640="RESTRINGIDO"), 0, Z598)</f>
        <v/>
      </c>
      <c r="AA718" s="189">
        <f>IF(OR($O638="RESTRINGIDO", $O641="RESTRINGIDO"), 0, AA598)</f>
        <v/>
      </c>
      <c r="AB718" s="189">
        <f>IF(OR($O638="RESTRINGIDO", $O642="RESTRINGIDO"), 0, AB598)</f>
        <v/>
      </c>
      <c r="AC718" s="189">
        <f>IF(OR($O638="RESTRINGIDO", $O643="RESTRINGIDO"), 0, AC598)</f>
        <v/>
      </c>
      <c r="AD718" s="189">
        <f>IF(OR($O638="RESTRINGIDO", $O644="RESTRINGIDO"), 0, AD598)</f>
        <v/>
      </c>
      <c r="AE718" s="189">
        <f>IF(OR($O638="RESTRINGIDO", $O645="RESTRINGIDO"), 0, AE598)</f>
        <v/>
      </c>
      <c r="AF718" s="189">
        <f>IF(OR($O638="RESTRINGIDO", $O646="RESTRINGIDO"), 0, AF598)</f>
        <v/>
      </c>
      <c r="AG718" s="189">
        <f>IF(OR($O638="RESTRINGIDO", $O647="RESTRINGIDO"), 0, AG598)</f>
        <v/>
      </c>
      <c r="AH718" s="189">
        <f>IF(OR($O638="RESTRINGIDO", $O648="RESTRINGIDO"), 0, AH598)</f>
        <v/>
      </c>
      <c r="AI718" s="189">
        <f>IF(OR($O638="RESTRINGIDO", $O649="RESTRINGIDO"), 0, AI598)</f>
        <v/>
      </c>
      <c r="AJ718" s="189">
        <f>IF(OR($O638="RESTRINGIDO", $O650="RESTRINGIDO"), 0, AJ598)</f>
        <v/>
      </c>
      <c r="AK718" s="189">
        <f>IF(OR($O638="RESTRINGIDO", $O651="RESTRINGIDO"), 0, AK598)</f>
        <v/>
      </c>
      <c r="AL718" s="189">
        <f>IF(OR($O638="RESTRINGIDO", $O652="RESTRINGIDO"), 0, AL598)</f>
        <v/>
      </c>
      <c r="AM718" s="189">
        <f>IF($O638="LIBRE", IF(ISNUMBER(F638), F638, 0), 0)</f>
        <v/>
      </c>
      <c r="AN718" s="188" t="n">
        <v>0</v>
      </c>
      <c r="AP718" s="188" t="n">
        <v>0</v>
      </c>
    </row>
    <row r="719">
      <c r="C719" s="189">
        <f>IF(OR($O639="RESTRINGIDO", $O617="RESTRINGIDO"), 0, C599)</f>
        <v/>
      </c>
      <c r="D719" s="189">
        <f>IF(OR($O639="RESTRINGIDO", $O618="RESTRINGIDO"), 0, D599)</f>
        <v/>
      </c>
      <c r="E719" s="189">
        <f>IF(OR($O639="RESTRINGIDO", $O619="RESTRINGIDO"), 0, E599)</f>
        <v/>
      </c>
      <c r="F719" s="189">
        <f>IF(OR($O639="RESTRINGIDO", $O620="RESTRINGIDO"), 0, F599)</f>
        <v/>
      </c>
      <c r="G719" s="189">
        <f>IF(OR($O639="RESTRINGIDO", $O621="RESTRINGIDO"), 0, G599)</f>
        <v/>
      </c>
      <c r="H719" s="189">
        <f>IF(OR($O639="RESTRINGIDO", $O622="RESTRINGIDO"), 0, H599)</f>
        <v/>
      </c>
      <c r="I719" s="189">
        <f>IF(OR($O639="RESTRINGIDO", $O623="RESTRINGIDO"), 0, I599)</f>
        <v/>
      </c>
      <c r="J719" s="189">
        <f>IF(OR($O639="RESTRINGIDO", $O624="RESTRINGIDO"), 0, J599)</f>
        <v/>
      </c>
      <c r="K719" s="189">
        <f>IF(OR($O639="RESTRINGIDO", $O625="RESTRINGIDO"), 0, K599)</f>
        <v/>
      </c>
      <c r="L719" s="189">
        <f>IF(OR($O639="RESTRINGIDO", $O626="RESTRINGIDO"), 0, L599)</f>
        <v/>
      </c>
      <c r="M719" s="189">
        <f>IF(OR($O639="RESTRINGIDO", $O627="RESTRINGIDO"), 0, M599)</f>
        <v/>
      </c>
      <c r="N719" s="189">
        <f>IF(OR($O639="RESTRINGIDO", $O628="RESTRINGIDO"), 0, N599)</f>
        <v/>
      </c>
      <c r="O719" s="189">
        <f>IF(OR($O639="RESTRINGIDO", $O629="RESTRINGIDO"), 0, O599)</f>
        <v/>
      </c>
      <c r="P719" s="189">
        <f>IF(OR($O639="RESTRINGIDO", $O630="RESTRINGIDO"), 0, P599)</f>
        <v/>
      </c>
      <c r="Q719" s="189">
        <f>IF(OR($O639="RESTRINGIDO", $O631="RESTRINGIDO"), 0, Q599)</f>
        <v/>
      </c>
      <c r="R719" s="189">
        <f>IF(OR($O639="RESTRINGIDO", $O632="RESTRINGIDO"), 0, R599)</f>
        <v/>
      </c>
      <c r="S719" s="189">
        <f>IF(OR($O639="RESTRINGIDO", $O633="RESTRINGIDO"), 0, S599)</f>
        <v/>
      </c>
      <c r="T719" s="189">
        <f>IF(OR($O639="RESTRINGIDO", $O634="RESTRINGIDO"), 0, T599)</f>
        <v/>
      </c>
      <c r="U719" s="189">
        <f>IF(OR($O639="RESTRINGIDO", $O635="RESTRINGIDO"), 0, U599)</f>
        <v/>
      </c>
      <c r="V719" s="189">
        <f>IF(OR($O639="RESTRINGIDO", $O636="RESTRINGIDO"), 0, V599)</f>
        <v/>
      </c>
      <c r="W719" s="189">
        <f>IF(OR($O639="RESTRINGIDO", $O637="RESTRINGIDO"), 0, W599)</f>
        <v/>
      </c>
      <c r="X719" s="189">
        <f>IF(OR($O639="RESTRINGIDO", $O638="RESTRINGIDO"), 0, X599)</f>
        <v/>
      </c>
      <c r="Y719" s="189">
        <f>IF($O639="RESTRINGIDO", 1, IF(OR($O639="", $C599=""), 1, Y599))</f>
        <v/>
      </c>
      <c r="Z719" s="189">
        <f>IF(OR($O639="RESTRINGIDO", $O640="RESTRINGIDO"), 0, Z599)</f>
        <v/>
      </c>
      <c r="AA719" s="189">
        <f>IF(OR($O639="RESTRINGIDO", $O641="RESTRINGIDO"), 0, AA599)</f>
        <v/>
      </c>
      <c r="AB719" s="189">
        <f>IF(OR($O639="RESTRINGIDO", $O642="RESTRINGIDO"), 0, AB599)</f>
        <v/>
      </c>
      <c r="AC719" s="189">
        <f>IF(OR($O639="RESTRINGIDO", $O643="RESTRINGIDO"), 0, AC599)</f>
        <v/>
      </c>
      <c r="AD719" s="189">
        <f>IF(OR($O639="RESTRINGIDO", $O644="RESTRINGIDO"), 0, AD599)</f>
        <v/>
      </c>
      <c r="AE719" s="189">
        <f>IF(OR($O639="RESTRINGIDO", $O645="RESTRINGIDO"), 0, AE599)</f>
        <v/>
      </c>
      <c r="AF719" s="189">
        <f>IF(OR($O639="RESTRINGIDO", $O646="RESTRINGIDO"), 0, AF599)</f>
        <v/>
      </c>
      <c r="AG719" s="189">
        <f>IF(OR($O639="RESTRINGIDO", $O647="RESTRINGIDO"), 0, AG599)</f>
        <v/>
      </c>
      <c r="AH719" s="189">
        <f>IF(OR($O639="RESTRINGIDO", $O648="RESTRINGIDO"), 0, AH599)</f>
        <v/>
      </c>
      <c r="AI719" s="189">
        <f>IF(OR($O639="RESTRINGIDO", $O649="RESTRINGIDO"), 0, AI599)</f>
        <v/>
      </c>
      <c r="AJ719" s="189">
        <f>IF(OR($O639="RESTRINGIDO", $O650="RESTRINGIDO"), 0, AJ599)</f>
        <v/>
      </c>
      <c r="AK719" s="189">
        <f>IF(OR($O639="RESTRINGIDO", $O651="RESTRINGIDO"), 0, AK599)</f>
        <v/>
      </c>
      <c r="AL719" s="189">
        <f>IF(OR($O639="RESTRINGIDO", $O652="RESTRINGIDO"), 0, AL599)</f>
        <v/>
      </c>
      <c r="AM719" s="189">
        <f>IF($O639="LIBRE", IF(ISNUMBER(F639), F639, 0), 0)</f>
        <v/>
      </c>
      <c r="AN719" s="188" t="n">
        <v>0</v>
      </c>
      <c r="AP719" s="188" t="n">
        <v>0</v>
      </c>
    </row>
    <row r="720">
      <c r="C720" s="189">
        <f>IF(OR($O640="RESTRINGIDO", $O617="RESTRINGIDO"), 0, C600)</f>
        <v/>
      </c>
      <c r="D720" s="189">
        <f>IF(OR($O640="RESTRINGIDO", $O618="RESTRINGIDO"), 0, D600)</f>
        <v/>
      </c>
      <c r="E720" s="189">
        <f>IF(OR($O640="RESTRINGIDO", $O619="RESTRINGIDO"), 0, E600)</f>
        <v/>
      </c>
      <c r="F720" s="189">
        <f>IF(OR($O640="RESTRINGIDO", $O620="RESTRINGIDO"), 0, F600)</f>
        <v/>
      </c>
      <c r="G720" s="189">
        <f>IF(OR($O640="RESTRINGIDO", $O621="RESTRINGIDO"), 0, G600)</f>
        <v/>
      </c>
      <c r="H720" s="189">
        <f>IF(OR($O640="RESTRINGIDO", $O622="RESTRINGIDO"), 0, H600)</f>
        <v/>
      </c>
      <c r="I720" s="189">
        <f>IF(OR($O640="RESTRINGIDO", $O623="RESTRINGIDO"), 0, I600)</f>
        <v/>
      </c>
      <c r="J720" s="189">
        <f>IF(OR($O640="RESTRINGIDO", $O624="RESTRINGIDO"), 0, J600)</f>
        <v/>
      </c>
      <c r="K720" s="189">
        <f>IF(OR($O640="RESTRINGIDO", $O625="RESTRINGIDO"), 0, K600)</f>
        <v/>
      </c>
      <c r="L720" s="189">
        <f>IF(OR($O640="RESTRINGIDO", $O626="RESTRINGIDO"), 0, L600)</f>
        <v/>
      </c>
      <c r="M720" s="189">
        <f>IF(OR($O640="RESTRINGIDO", $O627="RESTRINGIDO"), 0, M600)</f>
        <v/>
      </c>
      <c r="N720" s="189">
        <f>IF(OR($O640="RESTRINGIDO", $O628="RESTRINGIDO"), 0, N600)</f>
        <v/>
      </c>
      <c r="O720" s="189">
        <f>IF(OR($O640="RESTRINGIDO", $O629="RESTRINGIDO"), 0, O600)</f>
        <v/>
      </c>
      <c r="P720" s="189">
        <f>IF(OR($O640="RESTRINGIDO", $O630="RESTRINGIDO"), 0, P600)</f>
        <v/>
      </c>
      <c r="Q720" s="189">
        <f>IF(OR($O640="RESTRINGIDO", $O631="RESTRINGIDO"), 0, Q600)</f>
        <v/>
      </c>
      <c r="R720" s="189">
        <f>IF(OR($O640="RESTRINGIDO", $O632="RESTRINGIDO"), 0, R600)</f>
        <v/>
      </c>
      <c r="S720" s="189">
        <f>IF(OR($O640="RESTRINGIDO", $O633="RESTRINGIDO"), 0, S600)</f>
        <v/>
      </c>
      <c r="T720" s="189">
        <f>IF(OR($O640="RESTRINGIDO", $O634="RESTRINGIDO"), 0, T600)</f>
        <v/>
      </c>
      <c r="U720" s="189">
        <f>IF(OR($O640="RESTRINGIDO", $O635="RESTRINGIDO"), 0, U600)</f>
        <v/>
      </c>
      <c r="V720" s="189">
        <f>IF(OR($O640="RESTRINGIDO", $O636="RESTRINGIDO"), 0, V600)</f>
        <v/>
      </c>
      <c r="W720" s="189">
        <f>IF(OR($O640="RESTRINGIDO", $O637="RESTRINGIDO"), 0, W600)</f>
        <v/>
      </c>
      <c r="X720" s="189">
        <f>IF(OR($O640="RESTRINGIDO", $O638="RESTRINGIDO"), 0, X600)</f>
        <v/>
      </c>
      <c r="Y720" s="189">
        <f>IF(OR($O640="RESTRINGIDO", $O639="RESTRINGIDO"), 0, Y600)</f>
        <v/>
      </c>
      <c r="Z720" s="189">
        <f>IF($O640="RESTRINGIDO", 1, IF(OR($O640="", $C600=""), 1, Z600))</f>
        <v/>
      </c>
      <c r="AA720" s="189">
        <f>IF(OR($O640="RESTRINGIDO", $O641="RESTRINGIDO"), 0, AA600)</f>
        <v/>
      </c>
      <c r="AB720" s="189">
        <f>IF(OR($O640="RESTRINGIDO", $O642="RESTRINGIDO"), 0, AB600)</f>
        <v/>
      </c>
      <c r="AC720" s="189">
        <f>IF(OR($O640="RESTRINGIDO", $O643="RESTRINGIDO"), 0, AC600)</f>
        <v/>
      </c>
      <c r="AD720" s="189">
        <f>IF(OR($O640="RESTRINGIDO", $O644="RESTRINGIDO"), 0, AD600)</f>
        <v/>
      </c>
      <c r="AE720" s="189">
        <f>IF(OR($O640="RESTRINGIDO", $O645="RESTRINGIDO"), 0, AE600)</f>
        <v/>
      </c>
      <c r="AF720" s="189">
        <f>IF(OR($O640="RESTRINGIDO", $O646="RESTRINGIDO"), 0, AF600)</f>
        <v/>
      </c>
      <c r="AG720" s="189">
        <f>IF(OR($O640="RESTRINGIDO", $O647="RESTRINGIDO"), 0, AG600)</f>
        <v/>
      </c>
      <c r="AH720" s="189">
        <f>IF(OR($O640="RESTRINGIDO", $O648="RESTRINGIDO"), 0, AH600)</f>
        <v/>
      </c>
      <c r="AI720" s="189">
        <f>IF(OR($O640="RESTRINGIDO", $O649="RESTRINGIDO"), 0, AI600)</f>
        <v/>
      </c>
      <c r="AJ720" s="189">
        <f>IF(OR($O640="RESTRINGIDO", $O650="RESTRINGIDO"), 0, AJ600)</f>
        <v/>
      </c>
      <c r="AK720" s="189">
        <f>IF(OR($O640="RESTRINGIDO", $O651="RESTRINGIDO"), 0, AK600)</f>
        <v/>
      </c>
      <c r="AL720" s="189">
        <f>IF(OR($O640="RESTRINGIDO", $O652="RESTRINGIDO"), 0, AL600)</f>
        <v/>
      </c>
      <c r="AM720" s="189">
        <f>IF($O640="LIBRE", IF(ISNUMBER(F640), F640, 0), 0)</f>
        <v/>
      </c>
      <c r="AN720" s="188" t="n">
        <v>0</v>
      </c>
      <c r="AP720" s="188" t="n">
        <v>0</v>
      </c>
    </row>
    <row r="721">
      <c r="C721" s="189">
        <f>IF(OR($O641="RESTRINGIDO", $O617="RESTRINGIDO"), 0, C601)</f>
        <v/>
      </c>
      <c r="D721" s="189">
        <f>IF(OR($O641="RESTRINGIDO", $O618="RESTRINGIDO"), 0, D601)</f>
        <v/>
      </c>
      <c r="E721" s="189">
        <f>IF(OR($O641="RESTRINGIDO", $O619="RESTRINGIDO"), 0, E601)</f>
        <v/>
      </c>
      <c r="F721" s="189">
        <f>IF(OR($O641="RESTRINGIDO", $O620="RESTRINGIDO"), 0, F601)</f>
        <v/>
      </c>
      <c r="G721" s="189">
        <f>IF(OR($O641="RESTRINGIDO", $O621="RESTRINGIDO"), 0, G601)</f>
        <v/>
      </c>
      <c r="H721" s="189">
        <f>IF(OR($O641="RESTRINGIDO", $O622="RESTRINGIDO"), 0, H601)</f>
        <v/>
      </c>
      <c r="I721" s="189">
        <f>IF(OR($O641="RESTRINGIDO", $O623="RESTRINGIDO"), 0, I601)</f>
        <v/>
      </c>
      <c r="J721" s="189">
        <f>IF(OR($O641="RESTRINGIDO", $O624="RESTRINGIDO"), 0, J601)</f>
        <v/>
      </c>
      <c r="K721" s="189">
        <f>IF(OR($O641="RESTRINGIDO", $O625="RESTRINGIDO"), 0, K601)</f>
        <v/>
      </c>
      <c r="L721" s="189">
        <f>IF(OR($O641="RESTRINGIDO", $O626="RESTRINGIDO"), 0, L601)</f>
        <v/>
      </c>
      <c r="M721" s="189">
        <f>IF(OR($O641="RESTRINGIDO", $O627="RESTRINGIDO"), 0, M601)</f>
        <v/>
      </c>
      <c r="N721" s="189">
        <f>IF(OR($O641="RESTRINGIDO", $O628="RESTRINGIDO"), 0, N601)</f>
        <v/>
      </c>
      <c r="O721" s="189">
        <f>IF(OR($O641="RESTRINGIDO", $O629="RESTRINGIDO"), 0, O601)</f>
        <v/>
      </c>
      <c r="P721" s="189">
        <f>IF(OR($O641="RESTRINGIDO", $O630="RESTRINGIDO"), 0, P601)</f>
        <v/>
      </c>
      <c r="Q721" s="189">
        <f>IF(OR($O641="RESTRINGIDO", $O631="RESTRINGIDO"), 0, Q601)</f>
        <v/>
      </c>
      <c r="R721" s="189">
        <f>IF(OR($O641="RESTRINGIDO", $O632="RESTRINGIDO"), 0, R601)</f>
        <v/>
      </c>
      <c r="S721" s="189">
        <f>IF(OR($O641="RESTRINGIDO", $O633="RESTRINGIDO"), 0, S601)</f>
        <v/>
      </c>
      <c r="T721" s="189">
        <f>IF(OR($O641="RESTRINGIDO", $O634="RESTRINGIDO"), 0, T601)</f>
        <v/>
      </c>
      <c r="U721" s="189">
        <f>IF(OR($O641="RESTRINGIDO", $O635="RESTRINGIDO"), 0, U601)</f>
        <v/>
      </c>
      <c r="V721" s="189">
        <f>IF(OR($O641="RESTRINGIDO", $O636="RESTRINGIDO"), 0, V601)</f>
        <v/>
      </c>
      <c r="W721" s="189">
        <f>IF(OR($O641="RESTRINGIDO", $O637="RESTRINGIDO"), 0, W601)</f>
        <v/>
      </c>
      <c r="X721" s="189">
        <f>IF(OR($O641="RESTRINGIDO", $O638="RESTRINGIDO"), 0, X601)</f>
        <v/>
      </c>
      <c r="Y721" s="189">
        <f>IF(OR($O641="RESTRINGIDO", $O639="RESTRINGIDO"), 0, Y601)</f>
        <v/>
      </c>
      <c r="Z721" s="189">
        <f>IF(OR($O641="RESTRINGIDO", $O640="RESTRINGIDO"), 0, Z601)</f>
        <v/>
      </c>
      <c r="AA721" s="189">
        <f>IF($O641="RESTRINGIDO", 1, IF(OR($O641="", $C601=""), 1, AA601))</f>
        <v/>
      </c>
      <c r="AB721" s="189">
        <f>IF(OR($O641="RESTRINGIDO", $O642="RESTRINGIDO"), 0, AB601)</f>
        <v/>
      </c>
      <c r="AC721" s="189">
        <f>IF(OR($O641="RESTRINGIDO", $O643="RESTRINGIDO"), 0, AC601)</f>
        <v/>
      </c>
      <c r="AD721" s="189">
        <f>IF(OR($O641="RESTRINGIDO", $O644="RESTRINGIDO"), 0, AD601)</f>
        <v/>
      </c>
      <c r="AE721" s="189">
        <f>IF(OR($O641="RESTRINGIDO", $O645="RESTRINGIDO"), 0, AE601)</f>
        <v/>
      </c>
      <c r="AF721" s="189">
        <f>IF(OR($O641="RESTRINGIDO", $O646="RESTRINGIDO"), 0, AF601)</f>
        <v/>
      </c>
      <c r="AG721" s="189">
        <f>IF(OR($O641="RESTRINGIDO", $O647="RESTRINGIDO"), 0, AG601)</f>
        <v/>
      </c>
      <c r="AH721" s="189">
        <f>IF(OR($O641="RESTRINGIDO", $O648="RESTRINGIDO"), 0, AH601)</f>
        <v/>
      </c>
      <c r="AI721" s="189">
        <f>IF(OR($O641="RESTRINGIDO", $O649="RESTRINGIDO"), 0, AI601)</f>
        <v/>
      </c>
      <c r="AJ721" s="189">
        <f>IF(OR($O641="RESTRINGIDO", $O650="RESTRINGIDO"), 0, AJ601)</f>
        <v/>
      </c>
      <c r="AK721" s="189">
        <f>IF(OR($O641="RESTRINGIDO", $O651="RESTRINGIDO"), 0, AK601)</f>
        <v/>
      </c>
      <c r="AL721" s="189">
        <f>IF(OR($O641="RESTRINGIDO", $O652="RESTRINGIDO"), 0, AL601)</f>
        <v/>
      </c>
      <c r="AM721" s="189">
        <f>IF($O641="LIBRE", IF(ISNUMBER(F641), F641, 0), 0)</f>
        <v/>
      </c>
      <c r="AN721" s="188" t="n">
        <v>0</v>
      </c>
      <c r="AP721" s="188" t="n">
        <v>0</v>
      </c>
    </row>
    <row r="722">
      <c r="C722" s="189">
        <f>IF(OR($O642="RESTRINGIDO", $O617="RESTRINGIDO"), 0, C602)</f>
        <v/>
      </c>
      <c r="D722" s="189">
        <f>IF(OR($O642="RESTRINGIDO", $O618="RESTRINGIDO"), 0, D602)</f>
        <v/>
      </c>
      <c r="E722" s="189">
        <f>IF(OR($O642="RESTRINGIDO", $O619="RESTRINGIDO"), 0, E602)</f>
        <v/>
      </c>
      <c r="F722" s="189">
        <f>IF(OR($O642="RESTRINGIDO", $O620="RESTRINGIDO"), 0, F602)</f>
        <v/>
      </c>
      <c r="G722" s="189">
        <f>IF(OR($O642="RESTRINGIDO", $O621="RESTRINGIDO"), 0, G602)</f>
        <v/>
      </c>
      <c r="H722" s="189">
        <f>IF(OR($O642="RESTRINGIDO", $O622="RESTRINGIDO"), 0, H602)</f>
        <v/>
      </c>
      <c r="I722" s="189">
        <f>IF(OR($O642="RESTRINGIDO", $O623="RESTRINGIDO"), 0, I602)</f>
        <v/>
      </c>
      <c r="J722" s="189">
        <f>IF(OR($O642="RESTRINGIDO", $O624="RESTRINGIDO"), 0, J602)</f>
        <v/>
      </c>
      <c r="K722" s="189">
        <f>IF(OR($O642="RESTRINGIDO", $O625="RESTRINGIDO"), 0, K602)</f>
        <v/>
      </c>
      <c r="L722" s="189">
        <f>IF(OR($O642="RESTRINGIDO", $O626="RESTRINGIDO"), 0, L602)</f>
        <v/>
      </c>
      <c r="M722" s="189">
        <f>IF(OR($O642="RESTRINGIDO", $O627="RESTRINGIDO"), 0, M602)</f>
        <v/>
      </c>
      <c r="N722" s="189">
        <f>IF(OR($O642="RESTRINGIDO", $O628="RESTRINGIDO"), 0, N602)</f>
        <v/>
      </c>
      <c r="O722" s="189">
        <f>IF(OR($O642="RESTRINGIDO", $O629="RESTRINGIDO"), 0, O602)</f>
        <v/>
      </c>
      <c r="P722" s="189">
        <f>IF(OR($O642="RESTRINGIDO", $O630="RESTRINGIDO"), 0, P602)</f>
        <v/>
      </c>
      <c r="Q722" s="189">
        <f>IF(OR($O642="RESTRINGIDO", $O631="RESTRINGIDO"), 0, Q602)</f>
        <v/>
      </c>
      <c r="R722" s="189">
        <f>IF(OR($O642="RESTRINGIDO", $O632="RESTRINGIDO"), 0, R602)</f>
        <v/>
      </c>
      <c r="S722" s="189">
        <f>IF(OR($O642="RESTRINGIDO", $O633="RESTRINGIDO"), 0, S602)</f>
        <v/>
      </c>
      <c r="T722" s="189">
        <f>IF(OR($O642="RESTRINGIDO", $O634="RESTRINGIDO"), 0, T602)</f>
        <v/>
      </c>
      <c r="U722" s="189">
        <f>IF(OR($O642="RESTRINGIDO", $O635="RESTRINGIDO"), 0, U602)</f>
        <v/>
      </c>
      <c r="V722" s="189">
        <f>IF(OR($O642="RESTRINGIDO", $O636="RESTRINGIDO"), 0, V602)</f>
        <v/>
      </c>
      <c r="W722" s="189">
        <f>IF(OR($O642="RESTRINGIDO", $O637="RESTRINGIDO"), 0, W602)</f>
        <v/>
      </c>
      <c r="X722" s="189">
        <f>IF(OR($O642="RESTRINGIDO", $O638="RESTRINGIDO"), 0, X602)</f>
        <v/>
      </c>
      <c r="Y722" s="189">
        <f>IF(OR($O642="RESTRINGIDO", $O639="RESTRINGIDO"), 0, Y602)</f>
        <v/>
      </c>
      <c r="Z722" s="189">
        <f>IF(OR($O642="RESTRINGIDO", $O640="RESTRINGIDO"), 0, Z602)</f>
        <v/>
      </c>
      <c r="AA722" s="189">
        <f>IF(OR($O642="RESTRINGIDO", $O641="RESTRINGIDO"), 0, AA602)</f>
        <v/>
      </c>
      <c r="AB722" s="189">
        <f>IF($O642="RESTRINGIDO", 1, IF(OR($O642="", $C602=""), 1, AB602))</f>
        <v/>
      </c>
      <c r="AC722" s="189">
        <f>IF(OR($O642="RESTRINGIDO", $O643="RESTRINGIDO"), 0, AC602)</f>
        <v/>
      </c>
      <c r="AD722" s="189">
        <f>IF(OR($O642="RESTRINGIDO", $O644="RESTRINGIDO"), 0, AD602)</f>
        <v/>
      </c>
      <c r="AE722" s="189">
        <f>IF(OR($O642="RESTRINGIDO", $O645="RESTRINGIDO"), 0, AE602)</f>
        <v/>
      </c>
      <c r="AF722" s="189">
        <f>IF(OR($O642="RESTRINGIDO", $O646="RESTRINGIDO"), 0, AF602)</f>
        <v/>
      </c>
      <c r="AG722" s="189">
        <f>IF(OR($O642="RESTRINGIDO", $O647="RESTRINGIDO"), 0, AG602)</f>
        <v/>
      </c>
      <c r="AH722" s="189">
        <f>IF(OR($O642="RESTRINGIDO", $O648="RESTRINGIDO"), 0, AH602)</f>
        <v/>
      </c>
      <c r="AI722" s="189">
        <f>IF(OR($O642="RESTRINGIDO", $O649="RESTRINGIDO"), 0, AI602)</f>
        <v/>
      </c>
      <c r="AJ722" s="189">
        <f>IF(OR($O642="RESTRINGIDO", $O650="RESTRINGIDO"), 0, AJ602)</f>
        <v/>
      </c>
      <c r="AK722" s="189">
        <f>IF(OR($O642="RESTRINGIDO", $O651="RESTRINGIDO"), 0, AK602)</f>
        <v/>
      </c>
      <c r="AL722" s="189">
        <f>IF(OR($O642="RESTRINGIDO", $O652="RESTRINGIDO"), 0, AL602)</f>
        <v/>
      </c>
      <c r="AM722" s="189">
        <f>IF($O642="LIBRE", IF(ISNUMBER(F642), F642, 0), 0)</f>
        <v/>
      </c>
      <c r="AN722" s="188" t="n">
        <v>0</v>
      </c>
      <c r="AP722" s="188" t="n">
        <v>0</v>
      </c>
    </row>
    <row r="723">
      <c r="C723" s="189">
        <f>IF(OR($O643="RESTRINGIDO", $O617="RESTRINGIDO"), 0, C603)</f>
        <v/>
      </c>
      <c r="D723" s="189">
        <f>IF(OR($O643="RESTRINGIDO", $O618="RESTRINGIDO"), 0, D603)</f>
        <v/>
      </c>
      <c r="E723" s="189">
        <f>IF(OR($O643="RESTRINGIDO", $O619="RESTRINGIDO"), 0, E603)</f>
        <v/>
      </c>
      <c r="F723" s="189">
        <f>IF(OR($O643="RESTRINGIDO", $O620="RESTRINGIDO"), 0, F603)</f>
        <v/>
      </c>
      <c r="G723" s="189">
        <f>IF(OR($O643="RESTRINGIDO", $O621="RESTRINGIDO"), 0, G603)</f>
        <v/>
      </c>
      <c r="H723" s="189">
        <f>IF(OR($O643="RESTRINGIDO", $O622="RESTRINGIDO"), 0, H603)</f>
        <v/>
      </c>
      <c r="I723" s="189">
        <f>IF(OR($O643="RESTRINGIDO", $O623="RESTRINGIDO"), 0, I603)</f>
        <v/>
      </c>
      <c r="J723" s="189">
        <f>IF(OR($O643="RESTRINGIDO", $O624="RESTRINGIDO"), 0, J603)</f>
        <v/>
      </c>
      <c r="K723" s="189">
        <f>IF(OR($O643="RESTRINGIDO", $O625="RESTRINGIDO"), 0, K603)</f>
        <v/>
      </c>
      <c r="L723" s="189">
        <f>IF(OR($O643="RESTRINGIDO", $O626="RESTRINGIDO"), 0, L603)</f>
        <v/>
      </c>
      <c r="M723" s="189">
        <f>IF(OR($O643="RESTRINGIDO", $O627="RESTRINGIDO"), 0, M603)</f>
        <v/>
      </c>
      <c r="N723" s="189">
        <f>IF(OR($O643="RESTRINGIDO", $O628="RESTRINGIDO"), 0, N603)</f>
        <v/>
      </c>
      <c r="O723" s="189">
        <f>IF(OR($O643="RESTRINGIDO", $O629="RESTRINGIDO"), 0, O603)</f>
        <v/>
      </c>
      <c r="P723" s="189">
        <f>IF(OR($O643="RESTRINGIDO", $O630="RESTRINGIDO"), 0, P603)</f>
        <v/>
      </c>
      <c r="Q723" s="189">
        <f>IF(OR($O643="RESTRINGIDO", $O631="RESTRINGIDO"), 0, Q603)</f>
        <v/>
      </c>
      <c r="R723" s="189">
        <f>IF(OR($O643="RESTRINGIDO", $O632="RESTRINGIDO"), 0, R603)</f>
        <v/>
      </c>
      <c r="S723" s="189">
        <f>IF(OR($O643="RESTRINGIDO", $O633="RESTRINGIDO"), 0, S603)</f>
        <v/>
      </c>
      <c r="T723" s="189">
        <f>IF(OR($O643="RESTRINGIDO", $O634="RESTRINGIDO"), 0, T603)</f>
        <v/>
      </c>
      <c r="U723" s="189">
        <f>IF(OR($O643="RESTRINGIDO", $O635="RESTRINGIDO"), 0, U603)</f>
        <v/>
      </c>
      <c r="V723" s="189">
        <f>IF(OR($O643="RESTRINGIDO", $O636="RESTRINGIDO"), 0, V603)</f>
        <v/>
      </c>
      <c r="W723" s="189">
        <f>IF(OR($O643="RESTRINGIDO", $O637="RESTRINGIDO"), 0, W603)</f>
        <v/>
      </c>
      <c r="X723" s="189">
        <f>IF(OR($O643="RESTRINGIDO", $O638="RESTRINGIDO"), 0, X603)</f>
        <v/>
      </c>
      <c r="Y723" s="189">
        <f>IF(OR($O643="RESTRINGIDO", $O639="RESTRINGIDO"), 0, Y603)</f>
        <v/>
      </c>
      <c r="Z723" s="189">
        <f>IF(OR($O643="RESTRINGIDO", $O640="RESTRINGIDO"), 0, Z603)</f>
        <v/>
      </c>
      <c r="AA723" s="189">
        <f>IF(OR($O643="RESTRINGIDO", $O641="RESTRINGIDO"), 0, AA603)</f>
        <v/>
      </c>
      <c r="AB723" s="189">
        <f>IF(OR($O643="RESTRINGIDO", $O642="RESTRINGIDO"), 0, AB603)</f>
        <v/>
      </c>
      <c r="AC723" s="189">
        <f>IF($O643="RESTRINGIDO", 1, IF(OR($O643="", $C603=""), 1, AC603))</f>
        <v/>
      </c>
      <c r="AD723" s="189">
        <f>IF(OR($O643="RESTRINGIDO", $O644="RESTRINGIDO"), 0, AD603)</f>
        <v/>
      </c>
      <c r="AE723" s="189">
        <f>IF(OR($O643="RESTRINGIDO", $O645="RESTRINGIDO"), 0, AE603)</f>
        <v/>
      </c>
      <c r="AF723" s="189">
        <f>IF(OR($O643="RESTRINGIDO", $O646="RESTRINGIDO"), 0, AF603)</f>
        <v/>
      </c>
      <c r="AG723" s="189">
        <f>IF(OR($O643="RESTRINGIDO", $O647="RESTRINGIDO"), 0, AG603)</f>
        <v/>
      </c>
      <c r="AH723" s="189">
        <f>IF(OR($O643="RESTRINGIDO", $O648="RESTRINGIDO"), 0, AH603)</f>
        <v/>
      </c>
      <c r="AI723" s="189">
        <f>IF(OR($O643="RESTRINGIDO", $O649="RESTRINGIDO"), 0, AI603)</f>
        <v/>
      </c>
      <c r="AJ723" s="189">
        <f>IF(OR($O643="RESTRINGIDO", $O650="RESTRINGIDO"), 0, AJ603)</f>
        <v/>
      </c>
      <c r="AK723" s="189">
        <f>IF(OR($O643="RESTRINGIDO", $O651="RESTRINGIDO"), 0, AK603)</f>
        <v/>
      </c>
      <c r="AL723" s="189">
        <f>IF(OR($O643="RESTRINGIDO", $O652="RESTRINGIDO"), 0, AL603)</f>
        <v/>
      </c>
      <c r="AM723" s="189">
        <f>IF($O643="LIBRE", IF(ISNUMBER(F643), F643, 0), 0)</f>
        <v/>
      </c>
      <c r="AN723" s="188" t="n">
        <v>0</v>
      </c>
      <c r="AP723" s="188" t="n">
        <v>0</v>
      </c>
    </row>
    <row r="724">
      <c r="C724" s="189">
        <f>IF(OR($O644="RESTRINGIDO", $O617="RESTRINGIDO"), 0, C604)</f>
        <v/>
      </c>
      <c r="D724" s="189">
        <f>IF(OR($O644="RESTRINGIDO", $O618="RESTRINGIDO"), 0, D604)</f>
        <v/>
      </c>
      <c r="E724" s="189">
        <f>IF(OR($O644="RESTRINGIDO", $O619="RESTRINGIDO"), 0, E604)</f>
        <v/>
      </c>
      <c r="F724" s="189">
        <f>IF(OR($O644="RESTRINGIDO", $O620="RESTRINGIDO"), 0, F604)</f>
        <v/>
      </c>
      <c r="G724" s="189">
        <f>IF(OR($O644="RESTRINGIDO", $O621="RESTRINGIDO"), 0, G604)</f>
        <v/>
      </c>
      <c r="H724" s="189">
        <f>IF(OR($O644="RESTRINGIDO", $O622="RESTRINGIDO"), 0, H604)</f>
        <v/>
      </c>
      <c r="I724" s="189">
        <f>IF(OR($O644="RESTRINGIDO", $O623="RESTRINGIDO"), 0, I604)</f>
        <v/>
      </c>
      <c r="J724" s="189">
        <f>IF(OR($O644="RESTRINGIDO", $O624="RESTRINGIDO"), 0, J604)</f>
        <v/>
      </c>
      <c r="K724" s="189">
        <f>IF(OR($O644="RESTRINGIDO", $O625="RESTRINGIDO"), 0, K604)</f>
        <v/>
      </c>
      <c r="L724" s="189">
        <f>IF(OR($O644="RESTRINGIDO", $O626="RESTRINGIDO"), 0, L604)</f>
        <v/>
      </c>
      <c r="M724" s="189">
        <f>IF(OR($O644="RESTRINGIDO", $O627="RESTRINGIDO"), 0, M604)</f>
        <v/>
      </c>
      <c r="N724" s="189">
        <f>IF(OR($O644="RESTRINGIDO", $O628="RESTRINGIDO"), 0, N604)</f>
        <v/>
      </c>
      <c r="O724" s="189">
        <f>IF(OR($O644="RESTRINGIDO", $O629="RESTRINGIDO"), 0, O604)</f>
        <v/>
      </c>
      <c r="P724" s="189">
        <f>IF(OR($O644="RESTRINGIDO", $O630="RESTRINGIDO"), 0, P604)</f>
        <v/>
      </c>
      <c r="Q724" s="189">
        <f>IF(OR($O644="RESTRINGIDO", $O631="RESTRINGIDO"), 0, Q604)</f>
        <v/>
      </c>
      <c r="R724" s="189">
        <f>IF(OR($O644="RESTRINGIDO", $O632="RESTRINGIDO"), 0, R604)</f>
        <v/>
      </c>
      <c r="S724" s="189">
        <f>IF(OR($O644="RESTRINGIDO", $O633="RESTRINGIDO"), 0, S604)</f>
        <v/>
      </c>
      <c r="T724" s="189">
        <f>IF(OR($O644="RESTRINGIDO", $O634="RESTRINGIDO"), 0, T604)</f>
        <v/>
      </c>
      <c r="U724" s="189">
        <f>IF(OR($O644="RESTRINGIDO", $O635="RESTRINGIDO"), 0, U604)</f>
        <v/>
      </c>
      <c r="V724" s="189">
        <f>IF(OR($O644="RESTRINGIDO", $O636="RESTRINGIDO"), 0, V604)</f>
        <v/>
      </c>
      <c r="W724" s="189">
        <f>IF(OR($O644="RESTRINGIDO", $O637="RESTRINGIDO"), 0, W604)</f>
        <v/>
      </c>
      <c r="X724" s="189">
        <f>IF(OR($O644="RESTRINGIDO", $O638="RESTRINGIDO"), 0, X604)</f>
        <v/>
      </c>
      <c r="Y724" s="189">
        <f>IF(OR($O644="RESTRINGIDO", $O639="RESTRINGIDO"), 0, Y604)</f>
        <v/>
      </c>
      <c r="Z724" s="189">
        <f>IF(OR($O644="RESTRINGIDO", $O640="RESTRINGIDO"), 0, Z604)</f>
        <v/>
      </c>
      <c r="AA724" s="189">
        <f>IF(OR($O644="RESTRINGIDO", $O641="RESTRINGIDO"), 0, AA604)</f>
        <v/>
      </c>
      <c r="AB724" s="189">
        <f>IF(OR($O644="RESTRINGIDO", $O642="RESTRINGIDO"), 0, AB604)</f>
        <v/>
      </c>
      <c r="AC724" s="189">
        <f>IF(OR($O644="RESTRINGIDO", $O643="RESTRINGIDO"), 0, AC604)</f>
        <v/>
      </c>
      <c r="AD724" s="189">
        <f>IF($O644="RESTRINGIDO", 1, IF(OR($O644="", $C604=""), 1, AD604))</f>
        <v/>
      </c>
      <c r="AE724" s="189">
        <f>IF(OR($O644="RESTRINGIDO", $O645="RESTRINGIDO"), 0, AE604)</f>
        <v/>
      </c>
      <c r="AF724" s="189">
        <f>IF(OR($O644="RESTRINGIDO", $O646="RESTRINGIDO"), 0, AF604)</f>
        <v/>
      </c>
      <c r="AG724" s="189">
        <f>IF(OR($O644="RESTRINGIDO", $O647="RESTRINGIDO"), 0, AG604)</f>
        <v/>
      </c>
      <c r="AH724" s="189">
        <f>IF(OR($O644="RESTRINGIDO", $O648="RESTRINGIDO"), 0, AH604)</f>
        <v/>
      </c>
      <c r="AI724" s="189">
        <f>IF(OR($O644="RESTRINGIDO", $O649="RESTRINGIDO"), 0, AI604)</f>
        <v/>
      </c>
      <c r="AJ724" s="189">
        <f>IF(OR($O644="RESTRINGIDO", $O650="RESTRINGIDO"), 0, AJ604)</f>
        <v/>
      </c>
      <c r="AK724" s="189">
        <f>IF(OR($O644="RESTRINGIDO", $O651="RESTRINGIDO"), 0, AK604)</f>
        <v/>
      </c>
      <c r="AL724" s="189">
        <f>IF(OR($O644="RESTRINGIDO", $O652="RESTRINGIDO"), 0, AL604)</f>
        <v/>
      </c>
      <c r="AM724" s="189">
        <f>IF($O644="LIBRE", IF(ISNUMBER(F644), F644, 0), 0)</f>
        <v/>
      </c>
      <c r="AN724" s="188" t="n">
        <v>0</v>
      </c>
      <c r="AP724" s="188" t="n">
        <v>0</v>
      </c>
    </row>
    <row r="725">
      <c r="C725" s="189">
        <f>IF(OR($O645="RESTRINGIDO", $O617="RESTRINGIDO"), 0, C605)</f>
        <v/>
      </c>
      <c r="D725" s="189">
        <f>IF(OR($O645="RESTRINGIDO", $O618="RESTRINGIDO"), 0, D605)</f>
        <v/>
      </c>
      <c r="E725" s="189">
        <f>IF(OR($O645="RESTRINGIDO", $O619="RESTRINGIDO"), 0, E605)</f>
        <v/>
      </c>
      <c r="F725" s="189">
        <f>IF(OR($O645="RESTRINGIDO", $O620="RESTRINGIDO"), 0, F605)</f>
        <v/>
      </c>
      <c r="G725" s="189">
        <f>IF(OR($O645="RESTRINGIDO", $O621="RESTRINGIDO"), 0, G605)</f>
        <v/>
      </c>
      <c r="H725" s="189">
        <f>IF(OR($O645="RESTRINGIDO", $O622="RESTRINGIDO"), 0, H605)</f>
        <v/>
      </c>
      <c r="I725" s="189">
        <f>IF(OR($O645="RESTRINGIDO", $O623="RESTRINGIDO"), 0, I605)</f>
        <v/>
      </c>
      <c r="J725" s="189">
        <f>IF(OR($O645="RESTRINGIDO", $O624="RESTRINGIDO"), 0, J605)</f>
        <v/>
      </c>
      <c r="K725" s="189">
        <f>IF(OR($O645="RESTRINGIDO", $O625="RESTRINGIDO"), 0, K605)</f>
        <v/>
      </c>
      <c r="L725" s="189">
        <f>IF(OR($O645="RESTRINGIDO", $O626="RESTRINGIDO"), 0, L605)</f>
        <v/>
      </c>
      <c r="M725" s="189">
        <f>IF(OR($O645="RESTRINGIDO", $O627="RESTRINGIDO"), 0, M605)</f>
        <v/>
      </c>
      <c r="N725" s="189">
        <f>IF(OR($O645="RESTRINGIDO", $O628="RESTRINGIDO"), 0, N605)</f>
        <v/>
      </c>
      <c r="O725" s="189">
        <f>IF(OR($O645="RESTRINGIDO", $O629="RESTRINGIDO"), 0, O605)</f>
        <v/>
      </c>
      <c r="P725" s="189">
        <f>IF(OR($O645="RESTRINGIDO", $O630="RESTRINGIDO"), 0, P605)</f>
        <v/>
      </c>
      <c r="Q725" s="189">
        <f>IF(OR($O645="RESTRINGIDO", $O631="RESTRINGIDO"), 0, Q605)</f>
        <v/>
      </c>
      <c r="R725" s="189">
        <f>IF(OR($O645="RESTRINGIDO", $O632="RESTRINGIDO"), 0, R605)</f>
        <v/>
      </c>
      <c r="S725" s="189">
        <f>IF(OR($O645="RESTRINGIDO", $O633="RESTRINGIDO"), 0, S605)</f>
        <v/>
      </c>
      <c r="T725" s="189">
        <f>IF(OR($O645="RESTRINGIDO", $O634="RESTRINGIDO"), 0, T605)</f>
        <v/>
      </c>
      <c r="U725" s="189">
        <f>IF(OR($O645="RESTRINGIDO", $O635="RESTRINGIDO"), 0, U605)</f>
        <v/>
      </c>
      <c r="V725" s="189">
        <f>IF(OR($O645="RESTRINGIDO", $O636="RESTRINGIDO"), 0, V605)</f>
        <v/>
      </c>
      <c r="W725" s="189">
        <f>IF(OR($O645="RESTRINGIDO", $O637="RESTRINGIDO"), 0, W605)</f>
        <v/>
      </c>
      <c r="X725" s="189">
        <f>IF(OR($O645="RESTRINGIDO", $O638="RESTRINGIDO"), 0, X605)</f>
        <v/>
      </c>
      <c r="Y725" s="189">
        <f>IF(OR($O645="RESTRINGIDO", $O639="RESTRINGIDO"), 0, Y605)</f>
        <v/>
      </c>
      <c r="Z725" s="189">
        <f>IF(OR($O645="RESTRINGIDO", $O640="RESTRINGIDO"), 0, Z605)</f>
        <v/>
      </c>
      <c r="AA725" s="189">
        <f>IF(OR($O645="RESTRINGIDO", $O641="RESTRINGIDO"), 0, AA605)</f>
        <v/>
      </c>
      <c r="AB725" s="189">
        <f>IF(OR($O645="RESTRINGIDO", $O642="RESTRINGIDO"), 0, AB605)</f>
        <v/>
      </c>
      <c r="AC725" s="189">
        <f>IF(OR($O645="RESTRINGIDO", $O643="RESTRINGIDO"), 0, AC605)</f>
        <v/>
      </c>
      <c r="AD725" s="189">
        <f>IF(OR($O645="RESTRINGIDO", $O644="RESTRINGIDO"), 0, AD605)</f>
        <v/>
      </c>
      <c r="AE725" s="189">
        <f>IF($O645="RESTRINGIDO", 1, IF(OR($O645="", $C605=""), 1, AE605))</f>
        <v/>
      </c>
      <c r="AF725" s="189">
        <f>IF(OR($O645="RESTRINGIDO", $O646="RESTRINGIDO"), 0, AF605)</f>
        <v/>
      </c>
      <c r="AG725" s="189">
        <f>IF(OR($O645="RESTRINGIDO", $O647="RESTRINGIDO"), 0, AG605)</f>
        <v/>
      </c>
      <c r="AH725" s="189">
        <f>IF(OR($O645="RESTRINGIDO", $O648="RESTRINGIDO"), 0, AH605)</f>
        <v/>
      </c>
      <c r="AI725" s="189">
        <f>IF(OR($O645="RESTRINGIDO", $O649="RESTRINGIDO"), 0, AI605)</f>
        <v/>
      </c>
      <c r="AJ725" s="189">
        <f>IF(OR($O645="RESTRINGIDO", $O650="RESTRINGIDO"), 0, AJ605)</f>
        <v/>
      </c>
      <c r="AK725" s="189">
        <f>IF(OR($O645="RESTRINGIDO", $O651="RESTRINGIDO"), 0, AK605)</f>
        <v/>
      </c>
      <c r="AL725" s="189">
        <f>IF(OR($O645="RESTRINGIDO", $O652="RESTRINGIDO"), 0, AL605)</f>
        <v/>
      </c>
      <c r="AM725" s="189">
        <f>IF($O645="LIBRE", IF(ISNUMBER(F645), F645, 0), 0)</f>
        <v/>
      </c>
      <c r="AN725" s="188" t="n">
        <v>0</v>
      </c>
      <c r="AP725" s="188" t="n">
        <v>0</v>
      </c>
    </row>
    <row r="726">
      <c r="C726" s="189">
        <f>IF(OR($O646="RESTRINGIDO", $O617="RESTRINGIDO"), 0, C606)</f>
        <v/>
      </c>
      <c r="D726" s="189">
        <f>IF(OR($O646="RESTRINGIDO", $O618="RESTRINGIDO"), 0, D606)</f>
        <v/>
      </c>
      <c r="E726" s="189">
        <f>IF(OR($O646="RESTRINGIDO", $O619="RESTRINGIDO"), 0, E606)</f>
        <v/>
      </c>
      <c r="F726" s="189">
        <f>IF(OR($O646="RESTRINGIDO", $O620="RESTRINGIDO"), 0, F606)</f>
        <v/>
      </c>
      <c r="G726" s="189">
        <f>IF(OR($O646="RESTRINGIDO", $O621="RESTRINGIDO"), 0, G606)</f>
        <v/>
      </c>
      <c r="H726" s="189">
        <f>IF(OR($O646="RESTRINGIDO", $O622="RESTRINGIDO"), 0, H606)</f>
        <v/>
      </c>
      <c r="I726" s="189">
        <f>IF(OR($O646="RESTRINGIDO", $O623="RESTRINGIDO"), 0, I606)</f>
        <v/>
      </c>
      <c r="J726" s="189">
        <f>IF(OR($O646="RESTRINGIDO", $O624="RESTRINGIDO"), 0, J606)</f>
        <v/>
      </c>
      <c r="K726" s="189">
        <f>IF(OR($O646="RESTRINGIDO", $O625="RESTRINGIDO"), 0, K606)</f>
        <v/>
      </c>
      <c r="L726" s="189">
        <f>IF(OR($O646="RESTRINGIDO", $O626="RESTRINGIDO"), 0, L606)</f>
        <v/>
      </c>
      <c r="M726" s="189">
        <f>IF(OR($O646="RESTRINGIDO", $O627="RESTRINGIDO"), 0, M606)</f>
        <v/>
      </c>
      <c r="N726" s="189">
        <f>IF(OR($O646="RESTRINGIDO", $O628="RESTRINGIDO"), 0, N606)</f>
        <v/>
      </c>
      <c r="O726" s="189">
        <f>IF(OR($O646="RESTRINGIDO", $O629="RESTRINGIDO"), 0, O606)</f>
        <v/>
      </c>
      <c r="P726" s="189">
        <f>IF(OR($O646="RESTRINGIDO", $O630="RESTRINGIDO"), 0, P606)</f>
        <v/>
      </c>
      <c r="Q726" s="189">
        <f>IF(OR($O646="RESTRINGIDO", $O631="RESTRINGIDO"), 0, Q606)</f>
        <v/>
      </c>
      <c r="R726" s="189">
        <f>IF(OR($O646="RESTRINGIDO", $O632="RESTRINGIDO"), 0, R606)</f>
        <v/>
      </c>
      <c r="S726" s="189">
        <f>IF(OR($O646="RESTRINGIDO", $O633="RESTRINGIDO"), 0, S606)</f>
        <v/>
      </c>
      <c r="T726" s="189">
        <f>IF(OR($O646="RESTRINGIDO", $O634="RESTRINGIDO"), 0, T606)</f>
        <v/>
      </c>
      <c r="U726" s="189">
        <f>IF(OR($O646="RESTRINGIDO", $O635="RESTRINGIDO"), 0, U606)</f>
        <v/>
      </c>
      <c r="V726" s="189">
        <f>IF(OR($O646="RESTRINGIDO", $O636="RESTRINGIDO"), 0, V606)</f>
        <v/>
      </c>
      <c r="W726" s="189">
        <f>IF(OR($O646="RESTRINGIDO", $O637="RESTRINGIDO"), 0, W606)</f>
        <v/>
      </c>
      <c r="X726" s="189">
        <f>IF(OR($O646="RESTRINGIDO", $O638="RESTRINGIDO"), 0, X606)</f>
        <v/>
      </c>
      <c r="Y726" s="189">
        <f>IF(OR($O646="RESTRINGIDO", $O639="RESTRINGIDO"), 0, Y606)</f>
        <v/>
      </c>
      <c r="Z726" s="189">
        <f>IF(OR($O646="RESTRINGIDO", $O640="RESTRINGIDO"), 0, Z606)</f>
        <v/>
      </c>
      <c r="AA726" s="189">
        <f>IF(OR($O646="RESTRINGIDO", $O641="RESTRINGIDO"), 0, AA606)</f>
        <v/>
      </c>
      <c r="AB726" s="189">
        <f>IF(OR($O646="RESTRINGIDO", $O642="RESTRINGIDO"), 0, AB606)</f>
        <v/>
      </c>
      <c r="AC726" s="189">
        <f>IF(OR($O646="RESTRINGIDO", $O643="RESTRINGIDO"), 0, AC606)</f>
        <v/>
      </c>
      <c r="AD726" s="189">
        <f>IF(OR($O646="RESTRINGIDO", $O644="RESTRINGIDO"), 0, AD606)</f>
        <v/>
      </c>
      <c r="AE726" s="189">
        <f>IF(OR($O646="RESTRINGIDO", $O645="RESTRINGIDO"), 0, AE606)</f>
        <v/>
      </c>
      <c r="AF726" s="189">
        <f>IF($O646="RESTRINGIDO", 1, IF(OR($O646="", $C606=""), 1, AF606))</f>
        <v/>
      </c>
      <c r="AG726" s="189">
        <f>IF(OR($O646="RESTRINGIDO", $O647="RESTRINGIDO"), 0, AG606)</f>
        <v/>
      </c>
      <c r="AH726" s="189">
        <f>IF(OR($O646="RESTRINGIDO", $O648="RESTRINGIDO"), 0, AH606)</f>
        <v/>
      </c>
      <c r="AI726" s="189">
        <f>IF(OR($O646="RESTRINGIDO", $O649="RESTRINGIDO"), 0, AI606)</f>
        <v/>
      </c>
      <c r="AJ726" s="189">
        <f>IF(OR($O646="RESTRINGIDO", $O650="RESTRINGIDO"), 0, AJ606)</f>
        <v/>
      </c>
      <c r="AK726" s="189">
        <f>IF(OR($O646="RESTRINGIDO", $O651="RESTRINGIDO"), 0, AK606)</f>
        <v/>
      </c>
      <c r="AL726" s="189">
        <f>IF(OR($O646="RESTRINGIDO", $O652="RESTRINGIDO"), 0, AL606)</f>
        <v/>
      </c>
      <c r="AM726" s="189">
        <f>IF($O646="LIBRE", IF(ISNUMBER(F646), F646, 0), 0)</f>
        <v/>
      </c>
      <c r="AN726" s="188" t="n">
        <v>0</v>
      </c>
      <c r="AP726" s="188" t="n">
        <v>0</v>
      </c>
    </row>
    <row r="727">
      <c r="C727" s="189">
        <f>IF(OR($O647="RESTRINGIDO", $O617="RESTRINGIDO"), 0, C607)</f>
        <v/>
      </c>
      <c r="D727" s="189">
        <f>IF(OR($O647="RESTRINGIDO", $O618="RESTRINGIDO"), 0, D607)</f>
        <v/>
      </c>
      <c r="E727" s="189">
        <f>IF(OR($O647="RESTRINGIDO", $O619="RESTRINGIDO"), 0, E607)</f>
        <v/>
      </c>
      <c r="F727" s="189">
        <f>IF(OR($O647="RESTRINGIDO", $O620="RESTRINGIDO"), 0, F607)</f>
        <v/>
      </c>
      <c r="G727" s="189">
        <f>IF(OR($O647="RESTRINGIDO", $O621="RESTRINGIDO"), 0, G607)</f>
        <v/>
      </c>
      <c r="H727" s="189">
        <f>IF(OR($O647="RESTRINGIDO", $O622="RESTRINGIDO"), 0, H607)</f>
        <v/>
      </c>
      <c r="I727" s="189">
        <f>IF(OR($O647="RESTRINGIDO", $O623="RESTRINGIDO"), 0, I607)</f>
        <v/>
      </c>
      <c r="J727" s="189">
        <f>IF(OR($O647="RESTRINGIDO", $O624="RESTRINGIDO"), 0, J607)</f>
        <v/>
      </c>
      <c r="K727" s="189">
        <f>IF(OR($O647="RESTRINGIDO", $O625="RESTRINGIDO"), 0, K607)</f>
        <v/>
      </c>
      <c r="L727" s="189">
        <f>IF(OR($O647="RESTRINGIDO", $O626="RESTRINGIDO"), 0, L607)</f>
        <v/>
      </c>
      <c r="M727" s="189">
        <f>IF(OR($O647="RESTRINGIDO", $O627="RESTRINGIDO"), 0, M607)</f>
        <v/>
      </c>
      <c r="N727" s="189">
        <f>IF(OR($O647="RESTRINGIDO", $O628="RESTRINGIDO"), 0, N607)</f>
        <v/>
      </c>
      <c r="O727" s="189">
        <f>IF(OR($O647="RESTRINGIDO", $O629="RESTRINGIDO"), 0, O607)</f>
        <v/>
      </c>
      <c r="P727" s="189">
        <f>IF(OR($O647="RESTRINGIDO", $O630="RESTRINGIDO"), 0, P607)</f>
        <v/>
      </c>
      <c r="Q727" s="189">
        <f>IF(OR($O647="RESTRINGIDO", $O631="RESTRINGIDO"), 0, Q607)</f>
        <v/>
      </c>
      <c r="R727" s="189">
        <f>IF(OR($O647="RESTRINGIDO", $O632="RESTRINGIDO"), 0, R607)</f>
        <v/>
      </c>
      <c r="S727" s="189">
        <f>IF(OR($O647="RESTRINGIDO", $O633="RESTRINGIDO"), 0, S607)</f>
        <v/>
      </c>
      <c r="T727" s="189">
        <f>IF(OR($O647="RESTRINGIDO", $O634="RESTRINGIDO"), 0, T607)</f>
        <v/>
      </c>
      <c r="U727" s="189">
        <f>IF(OR($O647="RESTRINGIDO", $O635="RESTRINGIDO"), 0, U607)</f>
        <v/>
      </c>
      <c r="V727" s="189">
        <f>IF(OR($O647="RESTRINGIDO", $O636="RESTRINGIDO"), 0, V607)</f>
        <v/>
      </c>
      <c r="W727" s="189">
        <f>IF(OR($O647="RESTRINGIDO", $O637="RESTRINGIDO"), 0, W607)</f>
        <v/>
      </c>
      <c r="X727" s="189">
        <f>IF(OR($O647="RESTRINGIDO", $O638="RESTRINGIDO"), 0, X607)</f>
        <v/>
      </c>
      <c r="Y727" s="189">
        <f>IF(OR($O647="RESTRINGIDO", $O639="RESTRINGIDO"), 0, Y607)</f>
        <v/>
      </c>
      <c r="Z727" s="189">
        <f>IF(OR($O647="RESTRINGIDO", $O640="RESTRINGIDO"), 0, Z607)</f>
        <v/>
      </c>
      <c r="AA727" s="189">
        <f>IF(OR($O647="RESTRINGIDO", $O641="RESTRINGIDO"), 0, AA607)</f>
        <v/>
      </c>
      <c r="AB727" s="189">
        <f>IF(OR($O647="RESTRINGIDO", $O642="RESTRINGIDO"), 0, AB607)</f>
        <v/>
      </c>
      <c r="AC727" s="189">
        <f>IF(OR($O647="RESTRINGIDO", $O643="RESTRINGIDO"), 0, AC607)</f>
        <v/>
      </c>
      <c r="AD727" s="189">
        <f>IF(OR($O647="RESTRINGIDO", $O644="RESTRINGIDO"), 0, AD607)</f>
        <v/>
      </c>
      <c r="AE727" s="189">
        <f>IF(OR($O647="RESTRINGIDO", $O645="RESTRINGIDO"), 0, AE607)</f>
        <v/>
      </c>
      <c r="AF727" s="189">
        <f>IF(OR($O647="RESTRINGIDO", $O646="RESTRINGIDO"), 0, AF607)</f>
        <v/>
      </c>
      <c r="AG727" s="189">
        <f>IF($O647="RESTRINGIDO", 1, IF(OR($O647="", $C607=""), 1, AG607))</f>
        <v/>
      </c>
      <c r="AH727" s="189">
        <f>IF(OR($O647="RESTRINGIDO", $O648="RESTRINGIDO"), 0, AH607)</f>
        <v/>
      </c>
      <c r="AI727" s="189">
        <f>IF(OR($O647="RESTRINGIDO", $O649="RESTRINGIDO"), 0, AI607)</f>
        <v/>
      </c>
      <c r="AJ727" s="189">
        <f>IF(OR($O647="RESTRINGIDO", $O650="RESTRINGIDO"), 0, AJ607)</f>
        <v/>
      </c>
      <c r="AK727" s="189">
        <f>IF(OR($O647="RESTRINGIDO", $O651="RESTRINGIDO"), 0, AK607)</f>
        <v/>
      </c>
      <c r="AL727" s="189">
        <f>IF(OR($O647="RESTRINGIDO", $O652="RESTRINGIDO"), 0, AL607)</f>
        <v/>
      </c>
      <c r="AM727" s="189">
        <f>IF($O647="LIBRE", IF(ISNUMBER(F647), F647, 0), 0)</f>
        <v/>
      </c>
      <c r="AN727" s="188" t="n">
        <v>0</v>
      </c>
      <c r="AP727" s="188" t="n">
        <v>0</v>
      </c>
    </row>
    <row r="728">
      <c r="C728" s="189">
        <f>IF(OR($O648="RESTRINGIDO", $O617="RESTRINGIDO"), 0, C608)</f>
        <v/>
      </c>
      <c r="D728" s="189">
        <f>IF(OR($O648="RESTRINGIDO", $O618="RESTRINGIDO"), 0, D608)</f>
        <v/>
      </c>
      <c r="E728" s="189">
        <f>IF(OR($O648="RESTRINGIDO", $O619="RESTRINGIDO"), 0, E608)</f>
        <v/>
      </c>
      <c r="F728" s="189">
        <f>IF(OR($O648="RESTRINGIDO", $O620="RESTRINGIDO"), 0, F608)</f>
        <v/>
      </c>
      <c r="G728" s="189">
        <f>IF(OR($O648="RESTRINGIDO", $O621="RESTRINGIDO"), 0, G608)</f>
        <v/>
      </c>
      <c r="H728" s="189">
        <f>IF(OR($O648="RESTRINGIDO", $O622="RESTRINGIDO"), 0, H608)</f>
        <v/>
      </c>
      <c r="I728" s="189">
        <f>IF(OR($O648="RESTRINGIDO", $O623="RESTRINGIDO"), 0, I608)</f>
        <v/>
      </c>
      <c r="J728" s="189">
        <f>IF(OR($O648="RESTRINGIDO", $O624="RESTRINGIDO"), 0, J608)</f>
        <v/>
      </c>
      <c r="K728" s="189">
        <f>IF(OR($O648="RESTRINGIDO", $O625="RESTRINGIDO"), 0, K608)</f>
        <v/>
      </c>
      <c r="L728" s="189">
        <f>IF(OR($O648="RESTRINGIDO", $O626="RESTRINGIDO"), 0, L608)</f>
        <v/>
      </c>
      <c r="M728" s="189">
        <f>IF(OR($O648="RESTRINGIDO", $O627="RESTRINGIDO"), 0, M608)</f>
        <v/>
      </c>
      <c r="N728" s="189">
        <f>IF(OR($O648="RESTRINGIDO", $O628="RESTRINGIDO"), 0, N608)</f>
        <v/>
      </c>
      <c r="O728" s="189">
        <f>IF(OR($O648="RESTRINGIDO", $O629="RESTRINGIDO"), 0, O608)</f>
        <v/>
      </c>
      <c r="P728" s="189">
        <f>IF(OR($O648="RESTRINGIDO", $O630="RESTRINGIDO"), 0, P608)</f>
        <v/>
      </c>
      <c r="Q728" s="189">
        <f>IF(OR($O648="RESTRINGIDO", $O631="RESTRINGIDO"), 0, Q608)</f>
        <v/>
      </c>
      <c r="R728" s="189">
        <f>IF(OR($O648="RESTRINGIDO", $O632="RESTRINGIDO"), 0, R608)</f>
        <v/>
      </c>
      <c r="S728" s="189">
        <f>IF(OR($O648="RESTRINGIDO", $O633="RESTRINGIDO"), 0, S608)</f>
        <v/>
      </c>
      <c r="T728" s="189">
        <f>IF(OR($O648="RESTRINGIDO", $O634="RESTRINGIDO"), 0, T608)</f>
        <v/>
      </c>
      <c r="U728" s="189">
        <f>IF(OR($O648="RESTRINGIDO", $O635="RESTRINGIDO"), 0, U608)</f>
        <v/>
      </c>
      <c r="V728" s="189">
        <f>IF(OR($O648="RESTRINGIDO", $O636="RESTRINGIDO"), 0, V608)</f>
        <v/>
      </c>
      <c r="W728" s="189">
        <f>IF(OR($O648="RESTRINGIDO", $O637="RESTRINGIDO"), 0, W608)</f>
        <v/>
      </c>
      <c r="X728" s="189">
        <f>IF(OR($O648="RESTRINGIDO", $O638="RESTRINGIDO"), 0, X608)</f>
        <v/>
      </c>
      <c r="Y728" s="189">
        <f>IF(OR($O648="RESTRINGIDO", $O639="RESTRINGIDO"), 0, Y608)</f>
        <v/>
      </c>
      <c r="Z728" s="189">
        <f>IF(OR($O648="RESTRINGIDO", $O640="RESTRINGIDO"), 0, Z608)</f>
        <v/>
      </c>
      <c r="AA728" s="189">
        <f>IF(OR($O648="RESTRINGIDO", $O641="RESTRINGIDO"), 0, AA608)</f>
        <v/>
      </c>
      <c r="AB728" s="189">
        <f>IF(OR($O648="RESTRINGIDO", $O642="RESTRINGIDO"), 0, AB608)</f>
        <v/>
      </c>
      <c r="AC728" s="189">
        <f>IF(OR($O648="RESTRINGIDO", $O643="RESTRINGIDO"), 0, AC608)</f>
        <v/>
      </c>
      <c r="AD728" s="189">
        <f>IF(OR($O648="RESTRINGIDO", $O644="RESTRINGIDO"), 0, AD608)</f>
        <v/>
      </c>
      <c r="AE728" s="189">
        <f>IF(OR($O648="RESTRINGIDO", $O645="RESTRINGIDO"), 0, AE608)</f>
        <v/>
      </c>
      <c r="AF728" s="189">
        <f>IF(OR($O648="RESTRINGIDO", $O646="RESTRINGIDO"), 0, AF608)</f>
        <v/>
      </c>
      <c r="AG728" s="189">
        <f>IF(OR($O648="RESTRINGIDO", $O647="RESTRINGIDO"), 0, AG608)</f>
        <v/>
      </c>
      <c r="AH728" s="189">
        <f>IF($O648="RESTRINGIDO", 1, IF(OR($O648="", $C608=""), 1, AH608))</f>
        <v/>
      </c>
      <c r="AI728" s="189">
        <f>IF(OR($O648="RESTRINGIDO", $O649="RESTRINGIDO"), 0, AI608)</f>
        <v/>
      </c>
      <c r="AJ728" s="189">
        <f>IF(OR($O648="RESTRINGIDO", $O650="RESTRINGIDO"), 0, AJ608)</f>
        <v/>
      </c>
      <c r="AK728" s="189">
        <f>IF(OR($O648="RESTRINGIDO", $O651="RESTRINGIDO"), 0, AK608)</f>
        <v/>
      </c>
      <c r="AL728" s="189">
        <f>IF(OR($O648="RESTRINGIDO", $O652="RESTRINGIDO"), 0, AL608)</f>
        <v/>
      </c>
      <c r="AM728" s="189">
        <f>IF($O648="LIBRE", IF(ISNUMBER(F648), F648, 0), 0)</f>
        <v/>
      </c>
      <c r="AN728" s="188" t="n">
        <v>0</v>
      </c>
      <c r="AP728" s="188" t="n">
        <v>0</v>
      </c>
    </row>
    <row r="729">
      <c r="C729" s="189">
        <f>IF(OR($O649="RESTRINGIDO", $O617="RESTRINGIDO"), 0, C609)</f>
        <v/>
      </c>
      <c r="D729" s="189">
        <f>IF(OR($O649="RESTRINGIDO", $O618="RESTRINGIDO"), 0, D609)</f>
        <v/>
      </c>
      <c r="E729" s="189">
        <f>IF(OR($O649="RESTRINGIDO", $O619="RESTRINGIDO"), 0, E609)</f>
        <v/>
      </c>
      <c r="F729" s="189">
        <f>IF(OR($O649="RESTRINGIDO", $O620="RESTRINGIDO"), 0, F609)</f>
        <v/>
      </c>
      <c r="G729" s="189">
        <f>IF(OR($O649="RESTRINGIDO", $O621="RESTRINGIDO"), 0, G609)</f>
        <v/>
      </c>
      <c r="H729" s="189">
        <f>IF(OR($O649="RESTRINGIDO", $O622="RESTRINGIDO"), 0, H609)</f>
        <v/>
      </c>
      <c r="I729" s="189">
        <f>IF(OR($O649="RESTRINGIDO", $O623="RESTRINGIDO"), 0, I609)</f>
        <v/>
      </c>
      <c r="J729" s="189">
        <f>IF(OR($O649="RESTRINGIDO", $O624="RESTRINGIDO"), 0, J609)</f>
        <v/>
      </c>
      <c r="K729" s="189">
        <f>IF(OR($O649="RESTRINGIDO", $O625="RESTRINGIDO"), 0, K609)</f>
        <v/>
      </c>
      <c r="L729" s="189">
        <f>IF(OR($O649="RESTRINGIDO", $O626="RESTRINGIDO"), 0, L609)</f>
        <v/>
      </c>
      <c r="M729" s="189">
        <f>IF(OR($O649="RESTRINGIDO", $O627="RESTRINGIDO"), 0, M609)</f>
        <v/>
      </c>
      <c r="N729" s="189">
        <f>IF(OR($O649="RESTRINGIDO", $O628="RESTRINGIDO"), 0, N609)</f>
        <v/>
      </c>
      <c r="O729" s="189">
        <f>IF(OR($O649="RESTRINGIDO", $O629="RESTRINGIDO"), 0, O609)</f>
        <v/>
      </c>
      <c r="P729" s="189">
        <f>IF(OR($O649="RESTRINGIDO", $O630="RESTRINGIDO"), 0, P609)</f>
        <v/>
      </c>
      <c r="Q729" s="189">
        <f>IF(OR($O649="RESTRINGIDO", $O631="RESTRINGIDO"), 0, Q609)</f>
        <v/>
      </c>
      <c r="R729" s="189">
        <f>IF(OR($O649="RESTRINGIDO", $O632="RESTRINGIDO"), 0, R609)</f>
        <v/>
      </c>
      <c r="S729" s="189">
        <f>IF(OR($O649="RESTRINGIDO", $O633="RESTRINGIDO"), 0, S609)</f>
        <v/>
      </c>
      <c r="T729" s="189">
        <f>IF(OR($O649="RESTRINGIDO", $O634="RESTRINGIDO"), 0, T609)</f>
        <v/>
      </c>
      <c r="U729" s="189">
        <f>IF(OR($O649="RESTRINGIDO", $O635="RESTRINGIDO"), 0, U609)</f>
        <v/>
      </c>
      <c r="V729" s="189">
        <f>IF(OR($O649="RESTRINGIDO", $O636="RESTRINGIDO"), 0, V609)</f>
        <v/>
      </c>
      <c r="W729" s="189">
        <f>IF(OR($O649="RESTRINGIDO", $O637="RESTRINGIDO"), 0, W609)</f>
        <v/>
      </c>
      <c r="X729" s="189">
        <f>IF(OR($O649="RESTRINGIDO", $O638="RESTRINGIDO"), 0, X609)</f>
        <v/>
      </c>
      <c r="Y729" s="189">
        <f>IF(OR($O649="RESTRINGIDO", $O639="RESTRINGIDO"), 0, Y609)</f>
        <v/>
      </c>
      <c r="Z729" s="189">
        <f>IF(OR($O649="RESTRINGIDO", $O640="RESTRINGIDO"), 0, Z609)</f>
        <v/>
      </c>
      <c r="AA729" s="189">
        <f>IF(OR($O649="RESTRINGIDO", $O641="RESTRINGIDO"), 0, AA609)</f>
        <v/>
      </c>
      <c r="AB729" s="189">
        <f>IF(OR($O649="RESTRINGIDO", $O642="RESTRINGIDO"), 0, AB609)</f>
        <v/>
      </c>
      <c r="AC729" s="189">
        <f>IF(OR($O649="RESTRINGIDO", $O643="RESTRINGIDO"), 0, AC609)</f>
        <v/>
      </c>
      <c r="AD729" s="189">
        <f>IF(OR($O649="RESTRINGIDO", $O644="RESTRINGIDO"), 0, AD609)</f>
        <v/>
      </c>
      <c r="AE729" s="189">
        <f>IF(OR($O649="RESTRINGIDO", $O645="RESTRINGIDO"), 0, AE609)</f>
        <v/>
      </c>
      <c r="AF729" s="189">
        <f>IF(OR($O649="RESTRINGIDO", $O646="RESTRINGIDO"), 0, AF609)</f>
        <v/>
      </c>
      <c r="AG729" s="189">
        <f>IF(OR($O649="RESTRINGIDO", $O647="RESTRINGIDO"), 0, AG609)</f>
        <v/>
      </c>
      <c r="AH729" s="189">
        <f>IF(OR($O649="RESTRINGIDO", $O648="RESTRINGIDO"), 0, AH609)</f>
        <v/>
      </c>
      <c r="AI729" s="189">
        <f>IF($O649="RESTRINGIDO", 1, IF(OR($O649="", $C609=""), 1, AI609))</f>
        <v/>
      </c>
      <c r="AJ729" s="189">
        <f>IF(OR($O649="RESTRINGIDO", $O650="RESTRINGIDO"), 0, AJ609)</f>
        <v/>
      </c>
      <c r="AK729" s="189">
        <f>IF(OR($O649="RESTRINGIDO", $O651="RESTRINGIDO"), 0, AK609)</f>
        <v/>
      </c>
      <c r="AL729" s="189">
        <f>IF(OR($O649="RESTRINGIDO", $O652="RESTRINGIDO"), 0, AL609)</f>
        <v/>
      </c>
      <c r="AM729" s="189">
        <f>IF($O649="LIBRE", IF(ISNUMBER(F649), F649, 0), 0)</f>
        <v/>
      </c>
      <c r="AN729" s="188" t="n">
        <v>0</v>
      </c>
      <c r="AP729" s="188" t="n">
        <v>0</v>
      </c>
    </row>
    <row r="730">
      <c r="C730" s="189">
        <f>IF(OR($O650="RESTRINGIDO", $O617="RESTRINGIDO"), 0, C610)</f>
        <v/>
      </c>
      <c r="D730" s="189">
        <f>IF(OR($O650="RESTRINGIDO", $O618="RESTRINGIDO"), 0, D610)</f>
        <v/>
      </c>
      <c r="E730" s="189">
        <f>IF(OR($O650="RESTRINGIDO", $O619="RESTRINGIDO"), 0, E610)</f>
        <v/>
      </c>
      <c r="F730" s="189">
        <f>IF(OR($O650="RESTRINGIDO", $O620="RESTRINGIDO"), 0, F610)</f>
        <v/>
      </c>
      <c r="G730" s="189">
        <f>IF(OR($O650="RESTRINGIDO", $O621="RESTRINGIDO"), 0, G610)</f>
        <v/>
      </c>
      <c r="H730" s="189">
        <f>IF(OR($O650="RESTRINGIDO", $O622="RESTRINGIDO"), 0, H610)</f>
        <v/>
      </c>
      <c r="I730" s="189">
        <f>IF(OR($O650="RESTRINGIDO", $O623="RESTRINGIDO"), 0, I610)</f>
        <v/>
      </c>
      <c r="J730" s="189">
        <f>IF(OR($O650="RESTRINGIDO", $O624="RESTRINGIDO"), 0, J610)</f>
        <v/>
      </c>
      <c r="K730" s="189">
        <f>IF(OR($O650="RESTRINGIDO", $O625="RESTRINGIDO"), 0, K610)</f>
        <v/>
      </c>
      <c r="L730" s="189">
        <f>IF(OR($O650="RESTRINGIDO", $O626="RESTRINGIDO"), 0, L610)</f>
        <v/>
      </c>
      <c r="M730" s="189">
        <f>IF(OR($O650="RESTRINGIDO", $O627="RESTRINGIDO"), 0, M610)</f>
        <v/>
      </c>
      <c r="N730" s="189">
        <f>IF(OR($O650="RESTRINGIDO", $O628="RESTRINGIDO"), 0, N610)</f>
        <v/>
      </c>
      <c r="O730" s="189">
        <f>IF(OR($O650="RESTRINGIDO", $O629="RESTRINGIDO"), 0, O610)</f>
        <v/>
      </c>
      <c r="P730" s="189">
        <f>IF(OR($O650="RESTRINGIDO", $O630="RESTRINGIDO"), 0, P610)</f>
        <v/>
      </c>
      <c r="Q730" s="189">
        <f>IF(OR($O650="RESTRINGIDO", $O631="RESTRINGIDO"), 0, Q610)</f>
        <v/>
      </c>
      <c r="R730" s="189">
        <f>IF(OR($O650="RESTRINGIDO", $O632="RESTRINGIDO"), 0, R610)</f>
        <v/>
      </c>
      <c r="S730" s="189">
        <f>IF(OR($O650="RESTRINGIDO", $O633="RESTRINGIDO"), 0, S610)</f>
        <v/>
      </c>
      <c r="T730" s="189">
        <f>IF(OR($O650="RESTRINGIDO", $O634="RESTRINGIDO"), 0, T610)</f>
        <v/>
      </c>
      <c r="U730" s="189">
        <f>IF(OR($O650="RESTRINGIDO", $O635="RESTRINGIDO"), 0, U610)</f>
        <v/>
      </c>
      <c r="V730" s="189">
        <f>IF(OR($O650="RESTRINGIDO", $O636="RESTRINGIDO"), 0, V610)</f>
        <v/>
      </c>
      <c r="W730" s="189">
        <f>IF(OR($O650="RESTRINGIDO", $O637="RESTRINGIDO"), 0, W610)</f>
        <v/>
      </c>
      <c r="X730" s="189">
        <f>IF(OR($O650="RESTRINGIDO", $O638="RESTRINGIDO"), 0, X610)</f>
        <v/>
      </c>
      <c r="Y730" s="189">
        <f>IF(OR($O650="RESTRINGIDO", $O639="RESTRINGIDO"), 0, Y610)</f>
        <v/>
      </c>
      <c r="Z730" s="189">
        <f>IF(OR($O650="RESTRINGIDO", $O640="RESTRINGIDO"), 0, Z610)</f>
        <v/>
      </c>
      <c r="AA730" s="189">
        <f>IF(OR($O650="RESTRINGIDO", $O641="RESTRINGIDO"), 0, AA610)</f>
        <v/>
      </c>
      <c r="AB730" s="189">
        <f>IF(OR($O650="RESTRINGIDO", $O642="RESTRINGIDO"), 0, AB610)</f>
        <v/>
      </c>
      <c r="AC730" s="189">
        <f>IF(OR($O650="RESTRINGIDO", $O643="RESTRINGIDO"), 0, AC610)</f>
        <v/>
      </c>
      <c r="AD730" s="189">
        <f>IF(OR($O650="RESTRINGIDO", $O644="RESTRINGIDO"), 0, AD610)</f>
        <v/>
      </c>
      <c r="AE730" s="189">
        <f>IF(OR($O650="RESTRINGIDO", $O645="RESTRINGIDO"), 0, AE610)</f>
        <v/>
      </c>
      <c r="AF730" s="189">
        <f>IF(OR($O650="RESTRINGIDO", $O646="RESTRINGIDO"), 0, AF610)</f>
        <v/>
      </c>
      <c r="AG730" s="189">
        <f>IF(OR($O650="RESTRINGIDO", $O647="RESTRINGIDO"), 0, AG610)</f>
        <v/>
      </c>
      <c r="AH730" s="189">
        <f>IF(OR($O650="RESTRINGIDO", $O648="RESTRINGIDO"), 0, AH610)</f>
        <v/>
      </c>
      <c r="AI730" s="189">
        <f>IF(OR($O650="RESTRINGIDO", $O649="RESTRINGIDO"), 0, AI610)</f>
        <v/>
      </c>
      <c r="AJ730" s="189">
        <f>IF($O650="RESTRINGIDO", 1, IF(OR($O650="", $C610=""), 1, AJ610))</f>
        <v/>
      </c>
      <c r="AK730" s="189">
        <f>IF(OR($O650="RESTRINGIDO", $O651="RESTRINGIDO"), 0, AK610)</f>
        <v/>
      </c>
      <c r="AL730" s="189">
        <f>IF(OR($O650="RESTRINGIDO", $O652="RESTRINGIDO"), 0, AL610)</f>
        <v/>
      </c>
      <c r="AM730" s="189">
        <f>IF($O650="LIBRE", IF(ISNUMBER(F650), F650, 0), 0)</f>
        <v/>
      </c>
      <c r="AN730" s="188" t="n">
        <v>0</v>
      </c>
      <c r="AP730" s="188" t="n">
        <v>0</v>
      </c>
    </row>
    <row r="731">
      <c r="C731" s="189">
        <f>IF(OR($O651="RESTRINGIDO", $O617="RESTRINGIDO"), 0, C611)</f>
        <v/>
      </c>
      <c r="D731" s="189">
        <f>IF(OR($O651="RESTRINGIDO", $O618="RESTRINGIDO"), 0, D611)</f>
        <v/>
      </c>
      <c r="E731" s="189">
        <f>IF(OR($O651="RESTRINGIDO", $O619="RESTRINGIDO"), 0, E611)</f>
        <v/>
      </c>
      <c r="F731" s="189">
        <f>IF(OR($O651="RESTRINGIDO", $O620="RESTRINGIDO"), 0, F611)</f>
        <v/>
      </c>
      <c r="G731" s="189">
        <f>IF(OR($O651="RESTRINGIDO", $O621="RESTRINGIDO"), 0, G611)</f>
        <v/>
      </c>
      <c r="H731" s="189">
        <f>IF(OR($O651="RESTRINGIDO", $O622="RESTRINGIDO"), 0, H611)</f>
        <v/>
      </c>
      <c r="I731" s="189">
        <f>IF(OR($O651="RESTRINGIDO", $O623="RESTRINGIDO"), 0, I611)</f>
        <v/>
      </c>
      <c r="J731" s="189">
        <f>IF(OR($O651="RESTRINGIDO", $O624="RESTRINGIDO"), 0, J611)</f>
        <v/>
      </c>
      <c r="K731" s="189">
        <f>IF(OR($O651="RESTRINGIDO", $O625="RESTRINGIDO"), 0, K611)</f>
        <v/>
      </c>
      <c r="L731" s="189">
        <f>IF(OR($O651="RESTRINGIDO", $O626="RESTRINGIDO"), 0, L611)</f>
        <v/>
      </c>
      <c r="M731" s="189">
        <f>IF(OR($O651="RESTRINGIDO", $O627="RESTRINGIDO"), 0, M611)</f>
        <v/>
      </c>
      <c r="N731" s="189">
        <f>IF(OR($O651="RESTRINGIDO", $O628="RESTRINGIDO"), 0, N611)</f>
        <v/>
      </c>
      <c r="O731" s="189">
        <f>IF(OR($O651="RESTRINGIDO", $O629="RESTRINGIDO"), 0, O611)</f>
        <v/>
      </c>
      <c r="P731" s="189">
        <f>IF(OR($O651="RESTRINGIDO", $O630="RESTRINGIDO"), 0, P611)</f>
        <v/>
      </c>
      <c r="Q731" s="189">
        <f>IF(OR($O651="RESTRINGIDO", $O631="RESTRINGIDO"), 0, Q611)</f>
        <v/>
      </c>
      <c r="R731" s="189">
        <f>IF(OR($O651="RESTRINGIDO", $O632="RESTRINGIDO"), 0, R611)</f>
        <v/>
      </c>
      <c r="S731" s="189">
        <f>IF(OR($O651="RESTRINGIDO", $O633="RESTRINGIDO"), 0, S611)</f>
        <v/>
      </c>
      <c r="T731" s="189">
        <f>IF(OR($O651="RESTRINGIDO", $O634="RESTRINGIDO"), 0, T611)</f>
        <v/>
      </c>
      <c r="U731" s="189">
        <f>IF(OR($O651="RESTRINGIDO", $O635="RESTRINGIDO"), 0, U611)</f>
        <v/>
      </c>
      <c r="V731" s="189">
        <f>IF(OR($O651="RESTRINGIDO", $O636="RESTRINGIDO"), 0, V611)</f>
        <v/>
      </c>
      <c r="W731" s="189">
        <f>IF(OR($O651="RESTRINGIDO", $O637="RESTRINGIDO"), 0, W611)</f>
        <v/>
      </c>
      <c r="X731" s="189">
        <f>IF(OR($O651="RESTRINGIDO", $O638="RESTRINGIDO"), 0, X611)</f>
        <v/>
      </c>
      <c r="Y731" s="189">
        <f>IF(OR($O651="RESTRINGIDO", $O639="RESTRINGIDO"), 0, Y611)</f>
        <v/>
      </c>
      <c r="Z731" s="189">
        <f>IF(OR($O651="RESTRINGIDO", $O640="RESTRINGIDO"), 0, Z611)</f>
        <v/>
      </c>
      <c r="AA731" s="189">
        <f>IF(OR($O651="RESTRINGIDO", $O641="RESTRINGIDO"), 0, AA611)</f>
        <v/>
      </c>
      <c r="AB731" s="189">
        <f>IF(OR($O651="RESTRINGIDO", $O642="RESTRINGIDO"), 0, AB611)</f>
        <v/>
      </c>
      <c r="AC731" s="189">
        <f>IF(OR($O651="RESTRINGIDO", $O643="RESTRINGIDO"), 0, AC611)</f>
        <v/>
      </c>
      <c r="AD731" s="189">
        <f>IF(OR($O651="RESTRINGIDO", $O644="RESTRINGIDO"), 0, AD611)</f>
        <v/>
      </c>
      <c r="AE731" s="189">
        <f>IF(OR($O651="RESTRINGIDO", $O645="RESTRINGIDO"), 0, AE611)</f>
        <v/>
      </c>
      <c r="AF731" s="189">
        <f>IF(OR($O651="RESTRINGIDO", $O646="RESTRINGIDO"), 0, AF611)</f>
        <v/>
      </c>
      <c r="AG731" s="189">
        <f>IF(OR($O651="RESTRINGIDO", $O647="RESTRINGIDO"), 0, AG611)</f>
        <v/>
      </c>
      <c r="AH731" s="189">
        <f>IF(OR($O651="RESTRINGIDO", $O648="RESTRINGIDO"), 0, AH611)</f>
        <v/>
      </c>
      <c r="AI731" s="189">
        <f>IF(OR($O651="RESTRINGIDO", $O649="RESTRINGIDO"), 0, AI611)</f>
        <v/>
      </c>
      <c r="AJ731" s="189">
        <f>IF(OR($O651="RESTRINGIDO", $O650="RESTRINGIDO"), 0, AJ611)</f>
        <v/>
      </c>
      <c r="AK731" s="189">
        <f>IF($O651="RESTRINGIDO", 1, IF(OR($O651="", $C611=""), 1, AK611))</f>
        <v/>
      </c>
      <c r="AL731" s="189">
        <f>IF(OR($O651="RESTRINGIDO", $O652="RESTRINGIDO"), 0, AL611)</f>
        <v/>
      </c>
      <c r="AM731" s="189">
        <f>IF($O651="LIBRE", IF(ISNUMBER(F651), F651, 0), 0)</f>
        <v/>
      </c>
      <c r="AN731" s="188" t="n">
        <v>0</v>
      </c>
      <c r="AP731" s="188" t="n">
        <v>0</v>
      </c>
    </row>
    <row r="732">
      <c r="C732" s="189">
        <f>IF(OR($O652="RESTRINGIDO", $O617="RESTRINGIDO"), 0, C612)</f>
        <v/>
      </c>
      <c r="D732" s="189">
        <f>IF(OR($O652="RESTRINGIDO", $O618="RESTRINGIDO"), 0, D612)</f>
        <v/>
      </c>
      <c r="E732" s="189">
        <f>IF(OR($O652="RESTRINGIDO", $O619="RESTRINGIDO"), 0, E612)</f>
        <v/>
      </c>
      <c r="F732" s="189">
        <f>IF(OR($O652="RESTRINGIDO", $O620="RESTRINGIDO"), 0, F612)</f>
        <v/>
      </c>
      <c r="G732" s="189">
        <f>IF(OR($O652="RESTRINGIDO", $O621="RESTRINGIDO"), 0, G612)</f>
        <v/>
      </c>
      <c r="H732" s="189">
        <f>IF(OR($O652="RESTRINGIDO", $O622="RESTRINGIDO"), 0, H612)</f>
        <v/>
      </c>
      <c r="I732" s="189">
        <f>IF(OR($O652="RESTRINGIDO", $O623="RESTRINGIDO"), 0, I612)</f>
        <v/>
      </c>
      <c r="J732" s="189">
        <f>IF(OR($O652="RESTRINGIDO", $O624="RESTRINGIDO"), 0, J612)</f>
        <v/>
      </c>
      <c r="K732" s="189">
        <f>IF(OR($O652="RESTRINGIDO", $O625="RESTRINGIDO"), 0, K612)</f>
        <v/>
      </c>
      <c r="L732" s="189">
        <f>IF(OR($O652="RESTRINGIDO", $O626="RESTRINGIDO"), 0, L612)</f>
        <v/>
      </c>
      <c r="M732" s="189">
        <f>IF(OR($O652="RESTRINGIDO", $O627="RESTRINGIDO"), 0, M612)</f>
        <v/>
      </c>
      <c r="N732" s="189">
        <f>IF(OR($O652="RESTRINGIDO", $O628="RESTRINGIDO"), 0, N612)</f>
        <v/>
      </c>
      <c r="O732" s="189">
        <f>IF(OR($O652="RESTRINGIDO", $O629="RESTRINGIDO"), 0, O612)</f>
        <v/>
      </c>
      <c r="P732" s="189">
        <f>IF(OR($O652="RESTRINGIDO", $O630="RESTRINGIDO"), 0, P612)</f>
        <v/>
      </c>
      <c r="Q732" s="189">
        <f>IF(OR($O652="RESTRINGIDO", $O631="RESTRINGIDO"), 0, Q612)</f>
        <v/>
      </c>
      <c r="R732" s="189">
        <f>IF(OR($O652="RESTRINGIDO", $O632="RESTRINGIDO"), 0, R612)</f>
        <v/>
      </c>
      <c r="S732" s="189">
        <f>IF(OR($O652="RESTRINGIDO", $O633="RESTRINGIDO"), 0, S612)</f>
        <v/>
      </c>
      <c r="T732" s="189">
        <f>IF(OR($O652="RESTRINGIDO", $O634="RESTRINGIDO"), 0, T612)</f>
        <v/>
      </c>
      <c r="U732" s="189">
        <f>IF(OR($O652="RESTRINGIDO", $O635="RESTRINGIDO"), 0, U612)</f>
        <v/>
      </c>
      <c r="V732" s="189">
        <f>IF(OR($O652="RESTRINGIDO", $O636="RESTRINGIDO"), 0, V612)</f>
        <v/>
      </c>
      <c r="W732" s="189">
        <f>IF(OR($O652="RESTRINGIDO", $O637="RESTRINGIDO"), 0, W612)</f>
        <v/>
      </c>
      <c r="X732" s="189">
        <f>IF(OR($O652="RESTRINGIDO", $O638="RESTRINGIDO"), 0, X612)</f>
        <v/>
      </c>
      <c r="Y732" s="189">
        <f>IF(OR($O652="RESTRINGIDO", $O639="RESTRINGIDO"), 0, Y612)</f>
        <v/>
      </c>
      <c r="Z732" s="189">
        <f>IF(OR($O652="RESTRINGIDO", $O640="RESTRINGIDO"), 0, Z612)</f>
        <v/>
      </c>
      <c r="AA732" s="189">
        <f>IF(OR($O652="RESTRINGIDO", $O641="RESTRINGIDO"), 0, AA612)</f>
        <v/>
      </c>
      <c r="AB732" s="189">
        <f>IF(OR($O652="RESTRINGIDO", $O642="RESTRINGIDO"), 0, AB612)</f>
        <v/>
      </c>
      <c r="AC732" s="189">
        <f>IF(OR($O652="RESTRINGIDO", $O643="RESTRINGIDO"), 0, AC612)</f>
        <v/>
      </c>
      <c r="AD732" s="189">
        <f>IF(OR($O652="RESTRINGIDO", $O644="RESTRINGIDO"), 0, AD612)</f>
        <v/>
      </c>
      <c r="AE732" s="189">
        <f>IF(OR($O652="RESTRINGIDO", $O645="RESTRINGIDO"), 0, AE612)</f>
        <v/>
      </c>
      <c r="AF732" s="189">
        <f>IF(OR($O652="RESTRINGIDO", $O646="RESTRINGIDO"), 0, AF612)</f>
        <v/>
      </c>
      <c r="AG732" s="189">
        <f>IF(OR($O652="RESTRINGIDO", $O647="RESTRINGIDO"), 0, AG612)</f>
        <v/>
      </c>
      <c r="AH732" s="189">
        <f>IF(OR($O652="RESTRINGIDO", $O648="RESTRINGIDO"), 0, AH612)</f>
        <v/>
      </c>
      <c r="AI732" s="189">
        <f>IF(OR($O652="RESTRINGIDO", $O649="RESTRINGIDO"), 0, AI612)</f>
        <v/>
      </c>
      <c r="AJ732" s="189">
        <f>IF(OR($O652="RESTRINGIDO", $O650="RESTRINGIDO"), 0, AJ612)</f>
        <v/>
      </c>
      <c r="AK732" s="189">
        <f>IF(OR($O652="RESTRINGIDO", $O651="RESTRINGIDO"), 0, AK612)</f>
        <v/>
      </c>
      <c r="AL732" s="189">
        <f>IF($O652="RESTRINGIDO", 1, IF(OR($O652="", $C612=""), 1, AL612))</f>
        <v/>
      </c>
      <c r="AM732" s="189">
        <f>IF($O652="LIBRE", IF(ISNUMBER(F652), F652, 0), 0)</f>
        <v/>
      </c>
      <c r="AN732" s="188" t="n">
        <v>0</v>
      </c>
      <c r="AP732" s="188" t="n">
        <v>0</v>
      </c>
    </row>
    <row r="736">
      <c r="C736" s="53" t="inlineStr">
        <is>
          <t>RESUMEN DE DESPLAZAMIENTOS</t>
        </is>
      </c>
      <c r="D736" s="190" t="n"/>
      <c r="E736" s="190" t="n"/>
      <c r="F736" s="190" t="n"/>
      <c r="G736" s="190" t="n"/>
      <c r="H736" s="191" t="n"/>
    </row>
    <row r="737" ht="26.4" customHeight="1" s="183">
      <c r="C737" s="58" t="inlineStr">
        <is>
          <t>Símbolo</t>
        </is>
      </c>
      <c r="D737" s="58" t="inlineStr">
        <is>
          <t>G.D.L.</t>
        </is>
      </c>
      <c r="E737" s="58" t="inlineStr">
        <is>
          <t>=</t>
        </is>
      </c>
      <c r="F737" s="58" t="inlineStr">
        <is>
          <t>Valor Calculado</t>
        </is>
      </c>
      <c r="G737" s="58" t="inlineStr">
        <is>
          <t>G.D.L.</t>
        </is>
      </c>
      <c r="H737" s="58" t="inlineStr">
        <is>
          <t>Unidad</t>
        </is>
      </c>
    </row>
    <row r="738">
      <c r="C738" s="11" t="inlineStr">
        <is>
          <t>D1X</t>
        </is>
      </c>
      <c r="D738" s="12" t="inlineStr">
        <is>
          <t>U1X</t>
        </is>
      </c>
      <c r="E738" s="187" t="inlineStr">
        <is>
          <t>=</t>
        </is>
      </c>
      <c r="F738" s="16">
        <f>IF(OR($G$7=0, 1&gt;$G$7), 0, IF(O617="RESTRINGIDO", 0, AN697))</f>
        <v/>
      </c>
      <c r="G738" s="12" t="inlineStr">
        <is>
          <t>U1X</t>
        </is>
      </c>
      <c r="H738" s="187" t="inlineStr">
        <is>
          <t>cm</t>
        </is>
      </c>
    </row>
    <row r="739">
      <c r="C739" s="11" t="inlineStr">
        <is>
          <t>D1Y</t>
        </is>
      </c>
      <c r="D739" s="12" t="inlineStr">
        <is>
          <t>U1Y</t>
        </is>
      </c>
      <c r="E739" s="187" t="inlineStr">
        <is>
          <t>=</t>
        </is>
      </c>
      <c r="F739" s="16">
        <f>IF(OR($G$7=0, 1&gt;$G$7), 0, IF(O618="RESTRINGIDO", 0, AN698))</f>
        <v/>
      </c>
      <c r="G739" s="12" t="inlineStr">
        <is>
          <t>U1Y</t>
        </is>
      </c>
      <c r="H739" s="187" t="inlineStr">
        <is>
          <t>cm</t>
        </is>
      </c>
    </row>
    <row r="740">
      <c r="C740" s="11" t="inlineStr">
        <is>
          <t>D1θ</t>
        </is>
      </c>
      <c r="D740" s="12" t="inlineStr">
        <is>
          <t>U1θ</t>
        </is>
      </c>
      <c r="E740" s="187" t="inlineStr">
        <is>
          <t>=</t>
        </is>
      </c>
      <c r="F740" s="16">
        <f>IF(OR($G$7=0, 1&gt;$G$7), 0, IF(O619="RESTRINGIDO", 0, AN699))</f>
        <v/>
      </c>
      <c r="G740" s="12" t="inlineStr">
        <is>
          <t>U1θ</t>
        </is>
      </c>
      <c r="H740" s="187" t="inlineStr">
        <is>
          <t>rad</t>
        </is>
      </c>
    </row>
    <row r="741">
      <c r="C741" s="11" t="inlineStr">
        <is>
          <t>D2X</t>
        </is>
      </c>
      <c r="D741" s="12" t="inlineStr">
        <is>
          <t>U2X</t>
        </is>
      </c>
      <c r="E741" s="187" t="inlineStr">
        <is>
          <t>=</t>
        </is>
      </c>
      <c r="F741" s="16">
        <f>IF(OR($G$7=0, 2&gt;$G$7), 0, IF(O620="RESTRINGIDO", 0, AN700))</f>
        <v/>
      </c>
      <c r="G741" s="12" t="inlineStr">
        <is>
          <t>U2X</t>
        </is>
      </c>
      <c r="H741" s="187" t="inlineStr">
        <is>
          <t>cm</t>
        </is>
      </c>
    </row>
    <row r="742">
      <c r="C742" s="11" t="inlineStr">
        <is>
          <t>D2Y</t>
        </is>
      </c>
      <c r="D742" s="12" t="inlineStr">
        <is>
          <t>U2Y</t>
        </is>
      </c>
      <c r="E742" s="187" t="inlineStr">
        <is>
          <t>=</t>
        </is>
      </c>
      <c r="F742" s="16">
        <f>IF(OR($G$7=0, 2&gt;$G$7), 0, IF(O621="RESTRINGIDO", 0, AN701))</f>
        <v/>
      </c>
      <c r="G742" s="12" t="inlineStr">
        <is>
          <t>U2Y</t>
        </is>
      </c>
      <c r="H742" s="187" t="inlineStr">
        <is>
          <t>cm</t>
        </is>
      </c>
    </row>
    <row r="743">
      <c r="C743" s="11" t="inlineStr">
        <is>
          <t>D2θ</t>
        </is>
      </c>
      <c r="D743" s="12" t="inlineStr">
        <is>
          <t>U2θ</t>
        </is>
      </c>
      <c r="E743" s="187" t="inlineStr">
        <is>
          <t>=</t>
        </is>
      </c>
      <c r="F743" s="16">
        <f>IF(OR($G$7=0, 2&gt;$G$7), 0, IF(O622="RESTRINGIDO", 0, AN702))</f>
        <v/>
      </c>
      <c r="G743" s="12" t="inlineStr">
        <is>
          <t>U2θ</t>
        </is>
      </c>
      <c r="H743" s="187" t="inlineStr">
        <is>
          <t>rad</t>
        </is>
      </c>
    </row>
    <row r="744">
      <c r="C744" s="11" t="inlineStr">
        <is>
          <t>D3X</t>
        </is>
      </c>
      <c r="D744" s="12" t="inlineStr">
        <is>
          <t>U3X</t>
        </is>
      </c>
      <c r="E744" s="187" t="inlineStr">
        <is>
          <t>=</t>
        </is>
      </c>
      <c r="F744" s="16">
        <f>IF(OR($G$7=0, 3&gt;$G$7), 0, IF(O623="RESTRINGIDO", 0, AN703))</f>
        <v/>
      </c>
      <c r="G744" s="12" t="inlineStr">
        <is>
          <t>U3X</t>
        </is>
      </c>
      <c r="H744" s="187" t="inlineStr">
        <is>
          <t>cm</t>
        </is>
      </c>
    </row>
    <row r="745">
      <c r="C745" s="11" t="inlineStr">
        <is>
          <t>D3Y</t>
        </is>
      </c>
      <c r="D745" s="12" t="inlineStr">
        <is>
          <t>U3Y</t>
        </is>
      </c>
      <c r="E745" s="187" t="inlineStr">
        <is>
          <t>=</t>
        </is>
      </c>
      <c r="F745" s="16">
        <f>IF(OR($G$7=0, 3&gt;$G$7), 0, IF(O624="RESTRINGIDO", 0, AN704))</f>
        <v/>
      </c>
      <c r="G745" s="12" t="inlineStr">
        <is>
          <t>U3Y</t>
        </is>
      </c>
      <c r="H745" s="187" t="inlineStr">
        <is>
          <t>cm</t>
        </is>
      </c>
    </row>
    <row r="746">
      <c r="C746" s="11" t="inlineStr">
        <is>
          <t>D3θ</t>
        </is>
      </c>
      <c r="D746" s="12" t="inlineStr">
        <is>
          <t>U3θ</t>
        </is>
      </c>
      <c r="E746" s="187" t="inlineStr">
        <is>
          <t>=</t>
        </is>
      </c>
      <c r="F746" s="16">
        <f>IF(OR($G$7=0, 3&gt;$G$7), 0, IF(O625="RESTRINGIDO", 0, AN705))</f>
        <v/>
      </c>
      <c r="G746" s="12" t="inlineStr">
        <is>
          <t>U3θ</t>
        </is>
      </c>
      <c r="H746" s="187" t="inlineStr">
        <is>
          <t>rad</t>
        </is>
      </c>
    </row>
    <row r="747">
      <c r="C747" s="11" t="inlineStr">
        <is>
          <t>D4X</t>
        </is>
      </c>
      <c r="D747" s="12" t="inlineStr">
        <is>
          <t>U4X</t>
        </is>
      </c>
      <c r="E747" s="187" t="inlineStr">
        <is>
          <t>=</t>
        </is>
      </c>
      <c r="F747" s="16">
        <f>IF(OR($G$7=0, 4&gt;$G$7), 0, IF(O626="RESTRINGIDO", 0, AN706))</f>
        <v/>
      </c>
      <c r="G747" s="12" t="inlineStr">
        <is>
          <t>U4X</t>
        </is>
      </c>
      <c r="H747" s="187" t="inlineStr">
        <is>
          <t>cm</t>
        </is>
      </c>
    </row>
    <row r="748">
      <c r="C748" s="11" t="inlineStr">
        <is>
          <t>D4Y</t>
        </is>
      </c>
      <c r="D748" s="12" t="inlineStr">
        <is>
          <t>U4Y</t>
        </is>
      </c>
      <c r="E748" s="187" t="inlineStr">
        <is>
          <t>=</t>
        </is>
      </c>
      <c r="F748" s="16">
        <f>IF(OR($G$7=0, 4&gt;$G$7), 0, IF(O627="RESTRINGIDO", 0, AN707))</f>
        <v/>
      </c>
      <c r="G748" s="12" t="inlineStr">
        <is>
          <t>U4Y</t>
        </is>
      </c>
      <c r="H748" s="187" t="inlineStr">
        <is>
          <t>cm</t>
        </is>
      </c>
    </row>
    <row r="749">
      <c r="C749" s="11" t="inlineStr">
        <is>
          <t>D4θ</t>
        </is>
      </c>
      <c r="D749" s="12" t="inlineStr">
        <is>
          <t>U4θ</t>
        </is>
      </c>
      <c r="E749" s="187" t="inlineStr">
        <is>
          <t>=</t>
        </is>
      </c>
      <c r="F749" s="16">
        <f>IF(OR($G$7=0, 4&gt;$G$7), 0, IF(O628="RESTRINGIDO", 0, AN708))</f>
        <v/>
      </c>
      <c r="G749" s="12" t="inlineStr">
        <is>
          <t>U4θ</t>
        </is>
      </c>
      <c r="H749" s="187" t="inlineStr">
        <is>
          <t>rad</t>
        </is>
      </c>
    </row>
    <row r="750">
      <c r="C750" s="11" t="inlineStr">
        <is>
          <t>D5X</t>
        </is>
      </c>
      <c r="D750" s="12" t="inlineStr">
        <is>
          <t>U5X</t>
        </is>
      </c>
      <c r="E750" s="187" t="inlineStr">
        <is>
          <t>=</t>
        </is>
      </c>
      <c r="F750" s="16">
        <f>IF(OR($G$7=0, 5&gt;$G$7), 0, IF(O629="RESTRINGIDO", 0, AN709))</f>
        <v/>
      </c>
      <c r="G750" s="12" t="inlineStr">
        <is>
          <t>U5X</t>
        </is>
      </c>
      <c r="H750" s="187" t="inlineStr">
        <is>
          <t>cm</t>
        </is>
      </c>
    </row>
    <row r="751">
      <c r="C751" s="11" t="inlineStr">
        <is>
          <t>D5Y</t>
        </is>
      </c>
      <c r="D751" s="12" t="inlineStr">
        <is>
          <t>U5Y</t>
        </is>
      </c>
      <c r="E751" s="187" t="inlineStr">
        <is>
          <t>=</t>
        </is>
      </c>
      <c r="F751" s="16">
        <f>IF(OR($G$7=0, 5&gt;$G$7), 0, IF(O630="RESTRINGIDO", 0, AN710))</f>
        <v/>
      </c>
      <c r="G751" s="12" t="inlineStr">
        <is>
          <t>U5Y</t>
        </is>
      </c>
      <c r="H751" s="187" t="inlineStr">
        <is>
          <t>cm</t>
        </is>
      </c>
    </row>
    <row r="752">
      <c r="C752" s="11" t="inlineStr">
        <is>
          <t>D5θ</t>
        </is>
      </c>
      <c r="D752" s="12" t="inlineStr">
        <is>
          <t>U5θ</t>
        </is>
      </c>
      <c r="E752" s="187" t="inlineStr">
        <is>
          <t>=</t>
        </is>
      </c>
      <c r="F752" s="16">
        <f>IF(OR($G$7=0, 5&gt;$G$7), 0, IF(O631="RESTRINGIDO", 0, AN711))</f>
        <v/>
      </c>
      <c r="G752" s="12" t="inlineStr">
        <is>
          <t>U5θ</t>
        </is>
      </c>
      <c r="H752" s="187" t="inlineStr">
        <is>
          <t>rad</t>
        </is>
      </c>
    </row>
    <row r="753">
      <c r="C753" s="11" t="inlineStr">
        <is>
          <t>D6X</t>
        </is>
      </c>
      <c r="D753" s="12" t="inlineStr">
        <is>
          <t>U6X</t>
        </is>
      </c>
      <c r="E753" s="187" t="inlineStr">
        <is>
          <t>=</t>
        </is>
      </c>
      <c r="F753" s="16">
        <f>IF(OR($G$7=0, 6&gt;$G$7), 0, IF(O632="RESTRINGIDO", 0, AN712))</f>
        <v/>
      </c>
      <c r="G753" s="12" t="inlineStr">
        <is>
          <t>U6X</t>
        </is>
      </c>
      <c r="H753" s="187" t="inlineStr">
        <is>
          <t>cm</t>
        </is>
      </c>
    </row>
    <row r="754">
      <c r="C754" s="11" t="inlineStr">
        <is>
          <t>D6Y</t>
        </is>
      </c>
      <c r="D754" s="12" t="inlineStr">
        <is>
          <t>U6Y</t>
        </is>
      </c>
      <c r="E754" s="187" t="inlineStr">
        <is>
          <t>=</t>
        </is>
      </c>
      <c r="F754" s="16">
        <f>IF(OR($G$7=0, 6&gt;$G$7), 0, IF(O633="RESTRINGIDO", 0, AN713))</f>
        <v/>
      </c>
      <c r="G754" s="12" t="inlineStr">
        <is>
          <t>U6Y</t>
        </is>
      </c>
      <c r="H754" s="187" t="inlineStr">
        <is>
          <t>cm</t>
        </is>
      </c>
    </row>
    <row r="755">
      <c r="C755" s="11" t="inlineStr">
        <is>
          <t>D6θ</t>
        </is>
      </c>
      <c r="D755" s="12" t="inlineStr">
        <is>
          <t>U6θ</t>
        </is>
      </c>
      <c r="E755" s="187" t="inlineStr">
        <is>
          <t>=</t>
        </is>
      </c>
      <c r="F755" s="16">
        <f>IF(OR($G$7=0, 6&gt;$G$7), 0, IF(O634="RESTRINGIDO", 0, AN714))</f>
        <v/>
      </c>
      <c r="G755" s="12" t="inlineStr">
        <is>
          <t>U6θ</t>
        </is>
      </c>
      <c r="H755" s="187" t="inlineStr">
        <is>
          <t>rad</t>
        </is>
      </c>
    </row>
    <row r="756">
      <c r="C756" s="11" t="inlineStr">
        <is>
          <t>D7X</t>
        </is>
      </c>
      <c r="D756" s="12" t="inlineStr">
        <is>
          <t>U7X</t>
        </is>
      </c>
      <c r="E756" s="187" t="inlineStr">
        <is>
          <t>=</t>
        </is>
      </c>
      <c r="F756" s="16">
        <f>IF(OR($G$7=0, 7&gt;$G$7), 0, IF(O635="RESTRINGIDO", 0, AN715))</f>
        <v/>
      </c>
      <c r="G756" s="12" t="inlineStr">
        <is>
          <t>U7X</t>
        </is>
      </c>
      <c r="H756" s="187" t="inlineStr">
        <is>
          <t>cm</t>
        </is>
      </c>
    </row>
    <row r="757">
      <c r="C757" s="11" t="inlineStr">
        <is>
          <t>D7Y</t>
        </is>
      </c>
      <c r="D757" s="12" t="inlineStr">
        <is>
          <t>U7Y</t>
        </is>
      </c>
      <c r="E757" s="187" t="inlineStr">
        <is>
          <t>=</t>
        </is>
      </c>
      <c r="F757" s="16">
        <f>IF(OR($G$7=0, 7&gt;$G$7), 0, IF(O636="RESTRINGIDO", 0, AN716))</f>
        <v/>
      </c>
      <c r="G757" s="12" t="inlineStr">
        <is>
          <t>U7Y</t>
        </is>
      </c>
      <c r="H757" s="187" t="inlineStr">
        <is>
          <t>cm</t>
        </is>
      </c>
    </row>
    <row r="758">
      <c r="C758" s="11" t="inlineStr">
        <is>
          <t>D7θ</t>
        </is>
      </c>
      <c r="D758" s="12" t="inlineStr">
        <is>
          <t>U7θ</t>
        </is>
      </c>
      <c r="E758" s="187" t="inlineStr">
        <is>
          <t>=</t>
        </is>
      </c>
      <c r="F758" s="16">
        <f>IF(OR($G$7=0, 7&gt;$G$7), 0, IF(O637="RESTRINGIDO", 0, AN717))</f>
        <v/>
      </c>
      <c r="G758" s="12" t="inlineStr">
        <is>
          <t>U7θ</t>
        </is>
      </c>
      <c r="H758" s="187" t="inlineStr">
        <is>
          <t>rad</t>
        </is>
      </c>
    </row>
    <row r="759">
      <c r="C759" s="11" t="inlineStr">
        <is>
          <t>D8X</t>
        </is>
      </c>
      <c r="D759" s="12" t="inlineStr">
        <is>
          <t>U8X</t>
        </is>
      </c>
      <c r="E759" s="187" t="inlineStr">
        <is>
          <t>=</t>
        </is>
      </c>
      <c r="F759" s="16">
        <f>IF(OR($G$7=0, 8&gt;$G$7), 0, IF(O638="RESTRINGIDO", 0, AN718))</f>
        <v/>
      </c>
      <c r="G759" s="12" t="inlineStr">
        <is>
          <t>U8X</t>
        </is>
      </c>
      <c r="H759" s="187" t="inlineStr">
        <is>
          <t>cm</t>
        </is>
      </c>
    </row>
    <row r="760">
      <c r="C760" s="11" t="inlineStr">
        <is>
          <t>D8Y</t>
        </is>
      </c>
      <c r="D760" s="12" t="inlineStr">
        <is>
          <t>U8Y</t>
        </is>
      </c>
      <c r="E760" s="187" t="inlineStr">
        <is>
          <t>=</t>
        </is>
      </c>
      <c r="F760" s="16">
        <f>IF(OR($G$7=0, 8&gt;$G$7), 0, IF(O639="RESTRINGIDO", 0, AN719))</f>
        <v/>
      </c>
      <c r="G760" s="12" t="inlineStr">
        <is>
          <t>U8Y</t>
        </is>
      </c>
      <c r="H760" s="187" t="inlineStr">
        <is>
          <t>cm</t>
        </is>
      </c>
    </row>
    <row r="761">
      <c r="C761" s="11" t="inlineStr">
        <is>
          <t>D8θ</t>
        </is>
      </c>
      <c r="D761" s="12" t="inlineStr">
        <is>
          <t>U8θ</t>
        </is>
      </c>
      <c r="E761" s="187" t="inlineStr">
        <is>
          <t>=</t>
        </is>
      </c>
      <c r="F761" s="16">
        <f>IF(OR($G$7=0, 8&gt;$G$7), 0, IF(O640="RESTRINGIDO", 0, AN720))</f>
        <v/>
      </c>
      <c r="G761" s="12" t="inlineStr">
        <is>
          <t>U8θ</t>
        </is>
      </c>
      <c r="H761" s="187" t="inlineStr">
        <is>
          <t>rad</t>
        </is>
      </c>
    </row>
    <row r="762">
      <c r="C762" s="11" t="inlineStr">
        <is>
          <t>D9X</t>
        </is>
      </c>
      <c r="D762" s="12" t="inlineStr">
        <is>
          <t>U9X</t>
        </is>
      </c>
      <c r="E762" s="187" t="inlineStr">
        <is>
          <t>=</t>
        </is>
      </c>
      <c r="F762" s="16">
        <f>IF(OR($G$7=0, 9&gt;$G$7), 0, IF(O641="RESTRINGIDO", 0, AN721))</f>
        <v/>
      </c>
      <c r="G762" s="12" t="inlineStr">
        <is>
          <t>U9X</t>
        </is>
      </c>
      <c r="H762" s="187" t="inlineStr">
        <is>
          <t>cm</t>
        </is>
      </c>
    </row>
    <row r="763">
      <c r="C763" s="11" t="inlineStr">
        <is>
          <t>D9Y</t>
        </is>
      </c>
      <c r="D763" s="12" t="inlineStr">
        <is>
          <t>U9Y</t>
        </is>
      </c>
      <c r="E763" s="187" t="inlineStr">
        <is>
          <t>=</t>
        </is>
      </c>
      <c r="F763" s="16">
        <f>IF(OR($G$7=0, 9&gt;$G$7), 0, IF(O642="RESTRINGIDO", 0, AN722))</f>
        <v/>
      </c>
      <c r="G763" s="12" t="inlineStr">
        <is>
          <t>U9Y</t>
        </is>
      </c>
      <c r="H763" s="187" t="inlineStr">
        <is>
          <t>cm</t>
        </is>
      </c>
    </row>
    <row r="764">
      <c r="C764" s="11" t="inlineStr">
        <is>
          <t>D9θ</t>
        </is>
      </c>
      <c r="D764" s="12" t="inlineStr">
        <is>
          <t>U9θ</t>
        </is>
      </c>
      <c r="E764" s="187" t="inlineStr">
        <is>
          <t>=</t>
        </is>
      </c>
      <c r="F764" s="16">
        <f>IF(OR($G$7=0, 9&gt;$G$7), 0, IF(O643="RESTRINGIDO", 0, AN723))</f>
        <v/>
      </c>
      <c r="G764" s="12" t="inlineStr">
        <is>
          <t>U9θ</t>
        </is>
      </c>
      <c r="H764" s="187" t="inlineStr">
        <is>
          <t>rad</t>
        </is>
      </c>
    </row>
    <row r="765">
      <c r="C765" s="11" t="inlineStr">
        <is>
          <t>D10X</t>
        </is>
      </c>
      <c r="D765" s="12" t="inlineStr">
        <is>
          <t>U10X</t>
        </is>
      </c>
      <c r="E765" s="187" t="inlineStr">
        <is>
          <t>=</t>
        </is>
      </c>
      <c r="F765" s="16">
        <f>IF(OR($G$7=0, 10&gt;$G$7), 0, IF(O644="RESTRINGIDO", 0, AN724))</f>
        <v/>
      </c>
      <c r="G765" s="12" t="inlineStr">
        <is>
          <t>U10X</t>
        </is>
      </c>
      <c r="H765" s="187" t="inlineStr">
        <is>
          <t>cm</t>
        </is>
      </c>
    </row>
    <row r="766">
      <c r="C766" s="11" t="inlineStr">
        <is>
          <t>D10Y</t>
        </is>
      </c>
      <c r="D766" s="12" t="inlineStr">
        <is>
          <t>U10Y</t>
        </is>
      </c>
      <c r="E766" s="187" t="inlineStr">
        <is>
          <t>=</t>
        </is>
      </c>
      <c r="F766" s="16">
        <f>IF(OR($G$7=0, 10&gt;$G$7), 0, IF(O645="RESTRINGIDO", 0, AN725))</f>
        <v/>
      </c>
      <c r="G766" s="12" t="inlineStr">
        <is>
          <t>U10Y</t>
        </is>
      </c>
      <c r="H766" s="187" t="inlineStr">
        <is>
          <t>cm</t>
        </is>
      </c>
    </row>
    <row r="767">
      <c r="C767" s="11" t="inlineStr">
        <is>
          <t>D10θ</t>
        </is>
      </c>
      <c r="D767" s="12" t="inlineStr">
        <is>
          <t>U10θ</t>
        </is>
      </c>
      <c r="E767" s="187" t="inlineStr">
        <is>
          <t>=</t>
        </is>
      </c>
      <c r="F767" s="16">
        <f>IF(OR($G$7=0, 10&gt;$G$7), 0, IF(O646="RESTRINGIDO", 0, AN726))</f>
        <v/>
      </c>
      <c r="G767" s="12" t="inlineStr">
        <is>
          <t>U10θ</t>
        </is>
      </c>
      <c r="H767" s="187" t="inlineStr">
        <is>
          <t>rad</t>
        </is>
      </c>
    </row>
    <row r="768">
      <c r="C768" s="11" t="inlineStr">
        <is>
          <t>D11X</t>
        </is>
      </c>
      <c r="D768" s="12" t="inlineStr">
        <is>
          <t>U11X</t>
        </is>
      </c>
      <c r="E768" s="187" t="inlineStr">
        <is>
          <t>=</t>
        </is>
      </c>
      <c r="F768" s="16">
        <f>IF(OR($G$7=0, 11&gt;$G$7), 0, IF(O647="RESTRINGIDO", 0, AN727))</f>
        <v/>
      </c>
      <c r="G768" s="12" t="inlineStr">
        <is>
          <t>U11X</t>
        </is>
      </c>
      <c r="H768" s="187" t="inlineStr">
        <is>
          <t>cm</t>
        </is>
      </c>
    </row>
    <row r="769">
      <c r="C769" s="11" t="inlineStr">
        <is>
          <t>D11Y</t>
        </is>
      </c>
      <c r="D769" s="12" t="inlineStr">
        <is>
          <t>U11Y</t>
        </is>
      </c>
      <c r="E769" s="187" t="inlineStr">
        <is>
          <t>=</t>
        </is>
      </c>
      <c r="F769" s="16">
        <f>IF(OR($G$7=0, 11&gt;$G$7), 0, IF(O648="RESTRINGIDO", 0, AN728))</f>
        <v/>
      </c>
      <c r="G769" s="12" t="inlineStr">
        <is>
          <t>U11Y</t>
        </is>
      </c>
      <c r="H769" s="187" t="inlineStr">
        <is>
          <t>cm</t>
        </is>
      </c>
    </row>
    <row r="770">
      <c r="C770" s="11" t="inlineStr">
        <is>
          <t>D11θ</t>
        </is>
      </c>
      <c r="D770" s="12" t="inlineStr">
        <is>
          <t>U11θ</t>
        </is>
      </c>
      <c r="E770" s="187" t="inlineStr">
        <is>
          <t>=</t>
        </is>
      </c>
      <c r="F770" s="16">
        <f>IF(OR($G$7=0, 11&gt;$G$7), 0, IF(O649="RESTRINGIDO", 0, AN729))</f>
        <v/>
      </c>
      <c r="G770" s="12" t="inlineStr">
        <is>
          <t>U11θ</t>
        </is>
      </c>
      <c r="H770" s="187" t="inlineStr">
        <is>
          <t>rad</t>
        </is>
      </c>
    </row>
    <row r="771">
      <c r="C771" s="11" t="inlineStr">
        <is>
          <t>D12X</t>
        </is>
      </c>
      <c r="D771" s="12" t="inlineStr">
        <is>
          <t>U12X</t>
        </is>
      </c>
      <c r="E771" s="187" t="inlineStr">
        <is>
          <t>=</t>
        </is>
      </c>
      <c r="F771" s="16">
        <f>IF(OR($G$7=0, 12&gt;$G$7), 0, IF(O650="RESTRINGIDO", 0, AN730))</f>
        <v/>
      </c>
      <c r="G771" s="12" t="inlineStr">
        <is>
          <t>U12X</t>
        </is>
      </c>
      <c r="H771" s="187" t="inlineStr">
        <is>
          <t>cm</t>
        </is>
      </c>
    </row>
    <row r="772">
      <c r="C772" s="11" t="inlineStr">
        <is>
          <t>D12Y</t>
        </is>
      </c>
      <c r="D772" s="12" t="inlineStr">
        <is>
          <t>U12Y</t>
        </is>
      </c>
      <c r="E772" s="187" t="inlineStr">
        <is>
          <t>=</t>
        </is>
      </c>
      <c r="F772" s="16">
        <f>IF(OR($G$7=0, 12&gt;$G$7), 0, IF(O651="RESTRINGIDO", 0, AN731))</f>
        <v/>
      </c>
      <c r="G772" s="12" t="inlineStr">
        <is>
          <t>U12Y</t>
        </is>
      </c>
      <c r="H772" s="187" t="inlineStr">
        <is>
          <t>cm</t>
        </is>
      </c>
    </row>
    <row r="773">
      <c r="C773" s="11" t="inlineStr">
        <is>
          <t>D12θ</t>
        </is>
      </c>
      <c r="D773" s="12" t="inlineStr">
        <is>
          <t>U12θ</t>
        </is>
      </c>
      <c r="E773" s="187" t="inlineStr">
        <is>
          <t>=</t>
        </is>
      </c>
      <c r="F773" s="16">
        <f>IF(OR($G$7=0, 12&gt;$G$7), 0, IF(O652="RESTRINGIDO", 0, AN732))</f>
        <v/>
      </c>
      <c r="G773" s="12" t="inlineStr">
        <is>
          <t>U12θ</t>
        </is>
      </c>
      <c r="H773" s="187" t="inlineStr">
        <is>
          <t>rad</t>
        </is>
      </c>
    </row>
    <row r="777">
      <c r="C777" s="53" t="inlineStr">
        <is>
          <t>RESUMEN DE REACCIONES EN LOS APOYOS</t>
        </is>
      </c>
      <c r="D777" s="190" t="n"/>
      <c r="E777" s="190" t="n"/>
      <c r="F777" s="190" t="n"/>
      <c r="G777" s="190" t="n"/>
      <c r="H777" s="190" t="n"/>
      <c r="I777" s="191" t="n"/>
    </row>
    <row r="778" ht="26.4" customHeight="1" s="183">
      <c r="C778" s="58" t="inlineStr">
        <is>
          <t>Símbolo</t>
        </is>
      </c>
      <c r="D778" s="58" t="inlineStr">
        <is>
          <t>G.D.L.</t>
        </is>
      </c>
      <c r="E778" s="58" t="inlineStr">
        <is>
          <t>=</t>
        </is>
      </c>
      <c r="F778" s="58" t="inlineStr">
        <is>
          <t>Valor Reacción</t>
        </is>
      </c>
      <c r="G778" s="58" t="inlineStr">
        <is>
          <t>G.D.L.</t>
        </is>
      </c>
      <c r="H778" s="58" t="inlineStr">
        <is>
          <t>Unidad</t>
        </is>
      </c>
      <c r="I778" s="58" t="inlineStr">
        <is>
          <t>Condición</t>
        </is>
      </c>
    </row>
    <row r="779" ht="26.4" customHeight="1" s="183">
      <c r="C779" s="11" t="inlineStr">
        <is>
          <t>R1X</t>
        </is>
      </c>
      <c r="D779" s="12" t="inlineStr">
        <is>
          <t>U1X</t>
        </is>
      </c>
      <c r="E779" s="187" t="inlineStr">
        <is>
          <t>=</t>
        </is>
      </c>
      <c r="F779" s="13">
        <f>IF(OR($G$7=0, 1&gt;$G$7), 0, IF(O617="RESTRINGIDO", AP697, 0))</f>
        <v/>
      </c>
      <c r="G779" s="12" t="inlineStr">
        <is>
          <t>U1X</t>
        </is>
      </c>
      <c r="H779" s="187" t="inlineStr">
        <is>
          <t>Kgf</t>
        </is>
      </c>
      <c r="I779" s="187">
        <f>O617</f>
        <v/>
      </c>
    </row>
    <row r="780" ht="26.4" customHeight="1" s="183">
      <c r="C780" s="11" t="inlineStr">
        <is>
          <t>R1Y</t>
        </is>
      </c>
      <c r="D780" s="12" t="inlineStr">
        <is>
          <t>U1Y</t>
        </is>
      </c>
      <c r="E780" s="187" t="inlineStr">
        <is>
          <t>=</t>
        </is>
      </c>
      <c r="F780" s="13">
        <f>IF(OR($G$7=0, 1&gt;$G$7), 0, IF(O618="RESTRINGIDO", AP698, 0))</f>
        <v/>
      </c>
      <c r="G780" s="12" t="inlineStr">
        <is>
          <t>U1Y</t>
        </is>
      </c>
      <c r="H780" s="187" t="inlineStr">
        <is>
          <t>Kgf</t>
        </is>
      </c>
      <c r="I780" s="187">
        <f>O618</f>
        <v/>
      </c>
    </row>
    <row r="781">
      <c r="C781" s="11" t="inlineStr">
        <is>
          <t>R1θ</t>
        </is>
      </c>
      <c r="D781" s="12" t="inlineStr">
        <is>
          <t>U1θ</t>
        </is>
      </c>
      <c r="E781" s="187" t="inlineStr">
        <is>
          <t>=</t>
        </is>
      </c>
      <c r="F781" s="13">
        <f>IF(OR($G$7=0, 1&gt;$G$7), 0, IF(O619="RESTRINGIDO", AP699, 0))</f>
        <v/>
      </c>
      <c r="G781" s="12" t="inlineStr">
        <is>
          <t>U1θ</t>
        </is>
      </c>
      <c r="H781" s="187" t="inlineStr">
        <is>
          <t>Kgf.cm</t>
        </is>
      </c>
      <c r="I781" s="187">
        <f>O619</f>
        <v/>
      </c>
    </row>
    <row r="782">
      <c r="C782" s="11" t="inlineStr">
        <is>
          <t>R2X</t>
        </is>
      </c>
      <c r="D782" s="12" t="inlineStr">
        <is>
          <t>U2X</t>
        </is>
      </c>
      <c r="E782" s="187" t="inlineStr">
        <is>
          <t>=</t>
        </is>
      </c>
      <c r="F782" s="13">
        <f>IF(OR($G$7=0, 2&gt;$G$7), 0, IF(O620="RESTRINGIDO", AP700, 0))</f>
        <v/>
      </c>
      <c r="G782" s="12" t="inlineStr">
        <is>
          <t>U2X</t>
        </is>
      </c>
      <c r="H782" s="187" t="inlineStr">
        <is>
          <t>Kgf</t>
        </is>
      </c>
      <c r="I782" s="187">
        <f>O620</f>
        <v/>
      </c>
    </row>
    <row r="783" ht="26.4" customHeight="1" s="183">
      <c r="C783" s="11" t="inlineStr">
        <is>
          <t>R2Y</t>
        </is>
      </c>
      <c r="D783" s="12" t="inlineStr">
        <is>
          <t>U2Y</t>
        </is>
      </c>
      <c r="E783" s="187" t="inlineStr">
        <is>
          <t>=</t>
        </is>
      </c>
      <c r="F783" s="13">
        <f>IF(OR($G$7=0, 2&gt;$G$7), 0, IF(O621="RESTRINGIDO", AP701, 0))</f>
        <v/>
      </c>
      <c r="G783" s="12" t="inlineStr">
        <is>
          <t>U2Y</t>
        </is>
      </c>
      <c r="H783" s="187" t="inlineStr">
        <is>
          <t>Kgf</t>
        </is>
      </c>
      <c r="I783" s="187">
        <f>O621</f>
        <v/>
      </c>
    </row>
    <row r="784">
      <c r="C784" s="11" t="inlineStr">
        <is>
          <t>R2θ</t>
        </is>
      </c>
      <c r="D784" s="12" t="inlineStr">
        <is>
          <t>U2θ</t>
        </is>
      </c>
      <c r="E784" s="187" t="inlineStr">
        <is>
          <t>=</t>
        </is>
      </c>
      <c r="F784" s="13">
        <f>IF(OR($G$7=0, 2&gt;$G$7), 0, IF(O622="RESTRINGIDO", AP702, 0))</f>
        <v/>
      </c>
      <c r="G784" s="12" t="inlineStr">
        <is>
          <t>U2θ</t>
        </is>
      </c>
      <c r="H784" s="187" t="inlineStr">
        <is>
          <t>Kgf.cm</t>
        </is>
      </c>
      <c r="I784" s="187">
        <f>O622</f>
        <v/>
      </c>
    </row>
    <row r="785" ht="26.4" customHeight="1" s="183">
      <c r="C785" s="11" t="inlineStr">
        <is>
          <t>R3X</t>
        </is>
      </c>
      <c r="D785" s="12" t="inlineStr">
        <is>
          <t>U3X</t>
        </is>
      </c>
      <c r="E785" s="187" t="inlineStr">
        <is>
          <t>=</t>
        </is>
      </c>
      <c r="F785" s="13">
        <f>IF(OR($G$7=0, 3&gt;$G$7), 0, IF(O623="RESTRINGIDO", AP703, 0))</f>
        <v/>
      </c>
      <c r="G785" s="12" t="inlineStr">
        <is>
          <t>U3X</t>
        </is>
      </c>
      <c r="H785" s="187" t="inlineStr">
        <is>
          <t>Kgf</t>
        </is>
      </c>
      <c r="I785" s="187">
        <f>O623</f>
        <v/>
      </c>
    </row>
    <row r="786" ht="26.4" customHeight="1" s="183">
      <c r="C786" s="11" t="inlineStr">
        <is>
          <t>R3Y</t>
        </is>
      </c>
      <c r="D786" s="12" t="inlineStr">
        <is>
          <t>U3Y</t>
        </is>
      </c>
      <c r="E786" s="187" t="inlineStr">
        <is>
          <t>=</t>
        </is>
      </c>
      <c r="F786" s="13">
        <f>IF(OR($G$7=0, 3&gt;$G$7), 0, IF(O624="RESTRINGIDO", AP704, 0))</f>
        <v/>
      </c>
      <c r="G786" s="12" t="inlineStr">
        <is>
          <t>U3Y</t>
        </is>
      </c>
      <c r="H786" s="187" t="inlineStr">
        <is>
          <t>Kgf</t>
        </is>
      </c>
      <c r="I786" s="187">
        <f>O624</f>
        <v/>
      </c>
    </row>
    <row r="787" ht="26.4" customHeight="1" s="183">
      <c r="C787" s="11" t="inlineStr">
        <is>
          <t>R3θ</t>
        </is>
      </c>
      <c r="D787" s="12" t="inlineStr">
        <is>
          <t>U3θ</t>
        </is>
      </c>
      <c r="E787" s="187" t="inlineStr">
        <is>
          <t>=</t>
        </is>
      </c>
      <c r="F787" s="13">
        <f>IF(OR($G$7=0, 3&gt;$G$7), 0, IF(O625="RESTRINGIDO", AP705, 0))</f>
        <v/>
      </c>
      <c r="G787" s="12" t="inlineStr">
        <is>
          <t>U3θ</t>
        </is>
      </c>
      <c r="H787" s="187" t="inlineStr">
        <is>
          <t>Kgf.cm</t>
        </is>
      </c>
      <c r="I787" s="187">
        <f>O625</f>
        <v/>
      </c>
    </row>
    <row r="788" ht="26.4" customHeight="1" s="183">
      <c r="C788" s="11" t="inlineStr">
        <is>
          <t>R4X</t>
        </is>
      </c>
      <c r="D788" s="12" t="inlineStr">
        <is>
          <t>U4X</t>
        </is>
      </c>
      <c r="E788" s="187" t="inlineStr">
        <is>
          <t>=</t>
        </is>
      </c>
      <c r="F788" s="13">
        <f>IF(OR($G$7=0, 4&gt;$G$7), 0, IF(O626="RESTRINGIDO", AP706, 0))</f>
        <v/>
      </c>
      <c r="G788" s="12" t="inlineStr">
        <is>
          <t>U4X</t>
        </is>
      </c>
      <c r="H788" s="187" t="inlineStr">
        <is>
          <t>Kgf</t>
        </is>
      </c>
      <c r="I788" s="187">
        <f>O626</f>
        <v/>
      </c>
    </row>
    <row r="789" ht="26.4" customHeight="1" s="183">
      <c r="C789" s="11" t="inlineStr">
        <is>
          <t>R4Y</t>
        </is>
      </c>
      <c r="D789" s="12" t="inlineStr">
        <is>
          <t>U4Y</t>
        </is>
      </c>
      <c r="E789" s="187" t="inlineStr">
        <is>
          <t>=</t>
        </is>
      </c>
      <c r="F789" s="13">
        <f>IF(OR($G$7=0, 4&gt;$G$7), 0, IF(O627="RESTRINGIDO", AP707, 0))</f>
        <v/>
      </c>
      <c r="G789" s="12" t="inlineStr">
        <is>
          <t>U4Y</t>
        </is>
      </c>
      <c r="H789" s="187" t="inlineStr">
        <is>
          <t>Kgf</t>
        </is>
      </c>
      <c r="I789" s="187">
        <f>O627</f>
        <v/>
      </c>
    </row>
    <row r="790" ht="26.4" customHeight="1" s="183">
      <c r="C790" s="11" t="inlineStr">
        <is>
          <t>R4θ</t>
        </is>
      </c>
      <c r="D790" s="12" t="inlineStr">
        <is>
          <t>U4θ</t>
        </is>
      </c>
      <c r="E790" s="187" t="inlineStr">
        <is>
          <t>=</t>
        </is>
      </c>
      <c r="F790" s="13">
        <f>IF(OR($G$7=0, 4&gt;$G$7), 0, IF(O628="RESTRINGIDO", AP708, 0))</f>
        <v/>
      </c>
      <c r="G790" s="12" t="inlineStr">
        <is>
          <t>U4θ</t>
        </is>
      </c>
      <c r="H790" s="187" t="inlineStr">
        <is>
          <t>Kgf.cm</t>
        </is>
      </c>
      <c r="I790" s="187">
        <f>O628</f>
        <v/>
      </c>
    </row>
    <row r="791" ht="26.4" customHeight="1" s="183">
      <c r="C791" s="11" t="inlineStr">
        <is>
          <t>R5X</t>
        </is>
      </c>
      <c r="D791" s="12" t="inlineStr">
        <is>
          <t>U5X</t>
        </is>
      </c>
      <c r="E791" s="187" t="inlineStr">
        <is>
          <t>=</t>
        </is>
      </c>
      <c r="F791" s="13">
        <f>IF(OR($G$7=0, 5&gt;$G$7), 0, IF(O629="RESTRINGIDO", AP709, 0))</f>
        <v/>
      </c>
      <c r="G791" s="12" t="inlineStr">
        <is>
          <t>U5X</t>
        </is>
      </c>
      <c r="H791" s="187" t="inlineStr">
        <is>
          <t>Kgf</t>
        </is>
      </c>
      <c r="I791" s="187">
        <f>O629</f>
        <v/>
      </c>
    </row>
    <row r="792" ht="26.4" customHeight="1" s="183">
      <c r="C792" s="11" t="inlineStr">
        <is>
          <t>R5Y</t>
        </is>
      </c>
      <c r="D792" s="12" t="inlineStr">
        <is>
          <t>U5Y</t>
        </is>
      </c>
      <c r="E792" s="187" t="inlineStr">
        <is>
          <t>=</t>
        </is>
      </c>
      <c r="F792" s="13">
        <f>IF(OR($G$7=0, 5&gt;$G$7), 0, IF(O630="RESTRINGIDO", AP710, 0))</f>
        <v/>
      </c>
      <c r="G792" s="12" t="inlineStr">
        <is>
          <t>U5Y</t>
        </is>
      </c>
      <c r="H792" s="187" t="inlineStr">
        <is>
          <t>Kgf</t>
        </is>
      </c>
      <c r="I792" s="187">
        <f>O630</f>
        <v/>
      </c>
    </row>
    <row r="793" ht="26.4" customHeight="1" s="183">
      <c r="C793" s="11" t="inlineStr">
        <is>
          <t>R5θ</t>
        </is>
      </c>
      <c r="D793" s="12" t="inlineStr">
        <is>
          <t>U5θ</t>
        </is>
      </c>
      <c r="E793" s="187" t="inlineStr">
        <is>
          <t>=</t>
        </is>
      </c>
      <c r="F793" s="13">
        <f>IF(OR($G$7=0, 5&gt;$G$7), 0, IF(O631="RESTRINGIDO", AP711, 0))</f>
        <v/>
      </c>
      <c r="G793" s="12" t="inlineStr">
        <is>
          <t>U5θ</t>
        </is>
      </c>
      <c r="H793" s="187" t="inlineStr">
        <is>
          <t>Kgf.cm</t>
        </is>
      </c>
      <c r="I793" s="187">
        <f>O631</f>
        <v/>
      </c>
    </row>
    <row r="794" ht="26.4" customHeight="1" s="183">
      <c r="C794" s="11" t="inlineStr">
        <is>
          <t>R6X</t>
        </is>
      </c>
      <c r="D794" s="12" t="inlineStr">
        <is>
          <t>U6X</t>
        </is>
      </c>
      <c r="E794" s="187" t="inlineStr">
        <is>
          <t>=</t>
        </is>
      </c>
      <c r="F794" s="13">
        <f>IF(OR($G$7=0, 6&gt;$G$7), 0, IF(O632="RESTRINGIDO", AP712, 0))</f>
        <v/>
      </c>
      <c r="G794" s="12" t="inlineStr">
        <is>
          <t>U6X</t>
        </is>
      </c>
      <c r="H794" s="187" t="inlineStr">
        <is>
          <t>Kgf</t>
        </is>
      </c>
      <c r="I794" s="187">
        <f>O632</f>
        <v/>
      </c>
    </row>
    <row r="795" ht="26.4" customHeight="1" s="183">
      <c r="C795" s="11" t="inlineStr">
        <is>
          <t>R6Y</t>
        </is>
      </c>
      <c r="D795" s="12" t="inlineStr">
        <is>
          <t>U6Y</t>
        </is>
      </c>
      <c r="E795" s="187" t="inlineStr">
        <is>
          <t>=</t>
        </is>
      </c>
      <c r="F795" s="13">
        <f>IF(OR($G$7=0, 6&gt;$G$7), 0, IF(O633="RESTRINGIDO", AP713, 0))</f>
        <v/>
      </c>
      <c r="G795" s="12" t="inlineStr">
        <is>
          <t>U6Y</t>
        </is>
      </c>
      <c r="H795" s="187" t="inlineStr">
        <is>
          <t>Kgf</t>
        </is>
      </c>
      <c r="I795" s="187">
        <f>O633</f>
        <v/>
      </c>
    </row>
    <row r="796" ht="26.4" customHeight="1" s="183">
      <c r="C796" s="11" t="inlineStr">
        <is>
          <t>R6θ</t>
        </is>
      </c>
      <c r="D796" s="12" t="inlineStr">
        <is>
          <t>U6θ</t>
        </is>
      </c>
      <c r="E796" s="187" t="inlineStr">
        <is>
          <t>=</t>
        </is>
      </c>
      <c r="F796" s="13">
        <f>IF(OR($G$7=0, 6&gt;$G$7), 0, IF(O634="RESTRINGIDO", AP714, 0))</f>
        <v/>
      </c>
      <c r="G796" s="12" t="inlineStr">
        <is>
          <t>U6θ</t>
        </is>
      </c>
      <c r="H796" s="187" t="inlineStr">
        <is>
          <t>Kgf.cm</t>
        </is>
      </c>
      <c r="I796" s="187">
        <f>O634</f>
        <v/>
      </c>
    </row>
    <row r="797" ht="26.4" customHeight="1" s="183">
      <c r="C797" s="11" t="inlineStr">
        <is>
          <t>R7X</t>
        </is>
      </c>
      <c r="D797" s="12" t="inlineStr">
        <is>
          <t>U7X</t>
        </is>
      </c>
      <c r="E797" s="187" t="inlineStr">
        <is>
          <t>=</t>
        </is>
      </c>
      <c r="F797" s="13">
        <f>IF(OR($G$7=0, 7&gt;$G$7), 0, IF(O635="RESTRINGIDO", AP715, 0))</f>
        <v/>
      </c>
      <c r="G797" s="12" t="inlineStr">
        <is>
          <t>U7X</t>
        </is>
      </c>
      <c r="H797" s="187" t="inlineStr">
        <is>
          <t>Kgf</t>
        </is>
      </c>
      <c r="I797" s="187">
        <f>O635</f>
        <v/>
      </c>
    </row>
    <row r="798" ht="26.4" customHeight="1" s="183">
      <c r="C798" s="11" t="inlineStr">
        <is>
          <t>R7Y</t>
        </is>
      </c>
      <c r="D798" s="12" t="inlineStr">
        <is>
          <t>U7Y</t>
        </is>
      </c>
      <c r="E798" s="187" t="inlineStr">
        <is>
          <t>=</t>
        </is>
      </c>
      <c r="F798" s="13">
        <f>IF(OR($G$7=0, 7&gt;$G$7), 0, IF(O636="RESTRINGIDO", AP716, 0))</f>
        <v/>
      </c>
      <c r="G798" s="12" t="inlineStr">
        <is>
          <t>U7Y</t>
        </is>
      </c>
      <c r="H798" s="187" t="inlineStr">
        <is>
          <t>Kgf</t>
        </is>
      </c>
      <c r="I798" s="187">
        <f>O636</f>
        <v/>
      </c>
    </row>
    <row r="799" ht="26.4" customHeight="1" s="183">
      <c r="C799" s="11" t="inlineStr">
        <is>
          <t>R7θ</t>
        </is>
      </c>
      <c r="D799" s="12" t="inlineStr">
        <is>
          <t>U7θ</t>
        </is>
      </c>
      <c r="E799" s="187" t="inlineStr">
        <is>
          <t>=</t>
        </is>
      </c>
      <c r="F799" s="13">
        <f>IF(OR($G$7=0, 7&gt;$G$7), 0, IF(O637="RESTRINGIDO", AP717, 0))</f>
        <v/>
      </c>
      <c r="G799" s="12" t="inlineStr">
        <is>
          <t>U7θ</t>
        </is>
      </c>
      <c r="H799" s="187" t="inlineStr">
        <is>
          <t>Kgf.cm</t>
        </is>
      </c>
      <c r="I799" s="187">
        <f>O637</f>
        <v/>
      </c>
    </row>
    <row r="800" ht="26.4" customHeight="1" s="183">
      <c r="C800" s="11" t="inlineStr">
        <is>
          <t>R8X</t>
        </is>
      </c>
      <c r="D800" s="12" t="inlineStr">
        <is>
          <t>U8X</t>
        </is>
      </c>
      <c r="E800" s="187" t="inlineStr">
        <is>
          <t>=</t>
        </is>
      </c>
      <c r="F800" s="13">
        <f>IF(OR($G$7=0, 8&gt;$G$7), 0, IF(O638="RESTRINGIDO", AP718, 0))</f>
        <v/>
      </c>
      <c r="G800" s="12" t="inlineStr">
        <is>
          <t>U8X</t>
        </is>
      </c>
      <c r="H800" s="187" t="inlineStr">
        <is>
          <t>Kgf</t>
        </is>
      </c>
      <c r="I800" s="187">
        <f>O638</f>
        <v/>
      </c>
    </row>
    <row r="801" ht="26.4" customHeight="1" s="183">
      <c r="C801" s="11" t="inlineStr">
        <is>
          <t>R8Y</t>
        </is>
      </c>
      <c r="D801" s="12" t="inlineStr">
        <is>
          <t>U8Y</t>
        </is>
      </c>
      <c r="E801" s="187" t="inlineStr">
        <is>
          <t>=</t>
        </is>
      </c>
      <c r="F801" s="13">
        <f>IF(OR($G$7=0, 8&gt;$G$7), 0, IF(O639="RESTRINGIDO", AP719, 0))</f>
        <v/>
      </c>
      <c r="G801" s="12" t="inlineStr">
        <is>
          <t>U8Y</t>
        </is>
      </c>
      <c r="H801" s="187" t="inlineStr">
        <is>
          <t>Kgf</t>
        </is>
      </c>
      <c r="I801" s="187">
        <f>O639</f>
        <v/>
      </c>
    </row>
    <row r="802" ht="26.4" customHeight="1" s="183">
      <c r="C802" s="11" t="inlineStr">
        <is>
          <t>R8θ</t>
        </is>
      </c>
      <c r="D802" s="12" t="inlineStr">
        <is>
          <t>U8θ</t>
        </is>
      </c>
      <c r="E802" s="187" t="inlineStr">
        <is>
          <t>=</t>
        </is>
      </c>
      <c r="F802" s="13">
        <f>IF(OR($G$7=0, 8&gt;$G$7), 0, IF(O640="RESTRINGIDO", AP720, 0))</f>
        <v/>
      </c>
      <c r="G802" s="12" t="inlineStr">
        <is>
          <t>U8θ</t>
        </is>
      </c>
      <c r="H802" s="187" t="inlineStr">
        <is>
          <t>Kgf.cm</t>
        </is>
      </c>
      <c r="I802" s="187">
        <f>O640</f>
        <v/>
      </c>
    </row>
    <row r="803" ht="26.4" customHeight="1" s="183">
      <c r="C803" s="11" t="inlineStr">
        <is>
          <t>R9X</t>
        </is>
      </c>
      <c r="D803" s="12" t="inlineStr">
        <is>
          <t>U9X</t>
        </is>
      </c>
      <c r="E803" s="187" t="inlineStr">
        <is>
          <t>=</t>
        </is>
      </c>
      <c r="F803" s="13">
        <f>IF(OR($G$7=0, 9&gt;$G$7), 0, IF(O641="RESTRINGIDO", AP721, 0))</f>
        <v/>
      </c>
      <c r="G803" s="12" t="inlineStr">
        <is>
          <t>U9X</t>
        </is>
      </c>
      <c r="H803" s="187" t="inlineStr">
        <is>
          <t>Kgf</t>
        </is>
      </c>
      <c r="I803" s="187">
        <f>O641</f>
        <v/>
      </c>
    </row>
    <row r="804" ht="26.4" customHeight="1" s="183">
      <c r="C804" s="11" t="inlineStr">
        <is>
          <t>R9Y</t>
        </is>
      </c>
      <c r="D804" s="12" t="inlineStr">
        <is>
          <t>U9Y</t>
        </is>
      </c>
      <c r="E804" s="187" t="inlineStr">
        <is>
          <t>=</t>
        </is>
      </c>
      <c r="F804" s="13">
        <f>IF(OR($G$7=0, 9&gt;$G$7), 0, IF(O642="RESTRINGIDO", AP722, 0))</f>
        <v/>
      </c>
      <c r="G804" s="12" t="inlineStr">
        <is>
          <t>U9Y</t>
        </is>
      </c>
      <c r="H804" s="187" t="inlineStr">
        <is>
          <t>Kgf</t>
        </is>
      </c>
      <c r="I804" s="187">
        <f>O642</f>
        <v/>
      </c>
    </row>
    <row r="805" ht="26.4" customHeight="1" s="183">
      <c r="C805" s="11" t="inlineStr">
        <is>
          <t>R9θ</t>
        </is>
      </c>
      <c r="D805" s="12" t="inlineStr">
        <is>
          <t>U9θ</t>
        </is>
      </c>
      <c r="E805" s="187" t="inlineStr">
        <is>
          <t>=</t>
        </is>
      </c>
      <c r="F805" s="13">
        <f>IF(OR($G$7=0, 9&gt;$G$7), 0, IF(O643="RESTRINGIDO", AP723, 0))</f>
        <v/>
      </c>
      <c r="G805" s="12" t="inlineStr">
        <is>
          <t>U9θ</t>
        </is>
      </c>
      <c r="H805" s="187" t="inlineStr">
        <is>
          <t>Kgf.cm</t>
        </is>
      </c>
      <c r="I805" s="187">
        <f>O643</f>
        <v/>
      </c>
    </row>
    <row r="806" ht="26.4" customHeight="1" s="183">
      <c r="C806" s="11" t="inlineStr">
        <is>
          <t>R10X</t>
        </is>
      </c>
      <c r="D806" s="12" t="inlineStr">
        <is>
          <t>U10X</t>
        </is>
      </c>
      <c r="E806" s="187" t="inlineStr">
        <is>
          <t>=</t>
        </is>
      </c>
      <c r="F806" s="13">
        <f>IF(OR($G$7=0, 10&gt;$G$7), 0, IF(O644="RESTRINGIDO", AP724, 0))</f>
        <v/>
      </c>
      <c r="G806" s="12" t="inlineStr">
        <is>
          <t>U10X</t>
        </is>
      </c>
      <c r="H806" s="187" t="inlineStr">
        <is>
          <t>Kgf</t>
        </is>
      </c>
      <c r="I806" s="187">
        <f>O644</f>
        <v/>
      </c>
    </row>
    <row r="807" ht="26.4" customHeight="1" s="183">
      <c r="C807" s="11" t="inlineStr">
        <is>
          <t>R10Y</t>
        </is>
      </c>
      <c r="D807" s="12" t="inlineStr">
        <is>
          <t>U10Y</t>
        </is>
      </c>
      <c r="E807" s="187" t="inlineStr">
        <is>
          <t>=</t>
        </is>
      </c>
      <c r="F807" s="13">
        <f>IF(OR($G$7=0, 10&gt;$G$7), 0, IF(O645="RESTRINGIDO", AP725, 0))</f>
        <v/>
      </c>
      <c r="G807" s="12" t="inlineStr">
        <is>
          <t>U10Y</t>
        </is>
      </c>
      <c r="H807" s="187" t="inlineStr">
        <is>
          <t>Kgf</t>
        </is>
      </c>
      <c r="I807" s="187">
        <f>O645</f>
        <v/>
      </c>
    </row>
    <row r="808" ht="26.4" customHeight="1" s="183">
      <c r="C808" s="11" t="inlineStr">
        <is>
          <t>R10θ</t>
        </is>
      </c>
      <c r="D808" s="12" t="inlineStr">
        <is>
          <t>U10θ</t>
        </is>
      </c>
      <c r="E808" s="187" t="inlineStr">
        <is>
          <t>=</t>
        </is>
      </c>
      <c r="F808" s="13">
        <f>IF(OR($G$7=0, 10&gt;$G$7), 0, IF(O646="RESTRINGIDO", AP726, 0))</f>
        <v/>
      </c>
      <c r="G808" s="12" t="inlineStr">
        <is>
          <t>U10θ</t>
        </is>
      </c>
      <c r="H808" s="187" t="inlineStr">
        <is>
          <t>Kgf.cm</t>
        </is>
      </c>
      <c r="I808" s="187">
        <f>O646</f>
        <v/>
      </c>
    </row>
    <row r="809" ht="26.4" customHeight="1" s="183">
      <c r="C809" s="11" t="inlineStr">
        <is>
          <t>R11X</t>
        </is>
      </c>
      <c r="D809" s="12" t="inlineStr">
        <is>
          <t>U11X</t>
        </is>
      </c>
      <c r="E809" s="187" t="inlineStr">
        <is>
          <t>=</t>
        </is>
      </c>
      <c r="F809" s="13">
        <f>IF(OR($G$7=0, 11&gt;$G$7), 0, IF(O647="RESTRINGIDO", AP727, 0))</f>
        <v/>
      </c>
      <c r="G809" s="12" t="inlineStr">
        <is>
          <t>U11X</t>
        </is>
      </c>
      <c r="H809" s="187" t="inlineStr">
        <is>
          <t>Kgf</t>
        </is>
      </c>
      <c r="I809" s="187">
        <f>O647</f>
        <v/>
      </c>
    </row>
    <row r="810" ht="26.4" customHeight="1" s="183">
      <c r="C810" s="11" t="inlineStr">
        <is>
          <t>R11Y</t>
        </is>
      </c>
      <c r="D810" s="12" t="inlineStr">
        <is>
          <t>U11Y</t>
        </is>
      </c>
      <c r="E810" s="187" t="inlineStr">
        <is>
          <t>=</t>
        </is>
      </c>
      <c r="F810" s="13">
        <f>IF(OR($G$7=0, 11&gt;$G$7), 0, IF(O648="RESTRINGIDO", AP728, 0))</f>
        <v/>
      </c>
      <c r="G810" s="12" t="inlineStr">
        <is>
          <t>U11Y</t>
        </is>
      </c>
      <c r="H810" s="187" t="inlineStr">
        <is>
          <t>Kgf</t>
        </is>
      </c>
      <c r="I810" s="187">
        <f>O648</f>
        <v/>
      </c>
    </row>
    <row r="811" ht="26.4" customHeight="1" s="183">
      <c r="C811" s="11" t="inlineStr">
        <is>
          <t>R11θ</t>
        </is>
      </c>
      <c r="D811" s="12" t="inlineStr">
        <is>
          <t>U11θ</t>
        </is>
      </c>
      <c r="E811" s="187" t="inlineStr">
        <is>
          <t>=</t>
        </is>
      </c>
      <c r="F811" s="13">
        <f>IF(OR($G$7=0, 11&gt;$G$7), 0, IF(O649="RESTRINGIDO", AP729, 0))</f>
        <v/>
      </c>
      <c r="G811" s="12" t="inlineStr">
        <is>
          <t>U11θ</t>
        </is>
      </c>
      <c r="H811" s="187" t="inlineStr">
        <is>
          <t>Kgf.cm</t>
        </is>
      </c>
      <c r="I811" s="187">
        <f>O649</f>
        <v/>
      </c>
    </row>
    <row r="812" ht="26.4" customHeight="1" s="183">
      <c r="C812" s="11" t="inlineStr">
        <is>
          <t>R12X</t>
        </is>
      </c>
      <c r="D812" s="12" t="inlineStr">
        <is>
          <t>U12X</t>
        </is>
      </c>
      <c r="E812" s="187" t="inlineStr">
        <is>
          <t>=</t>
        </is>
      </c>
      <c r="F812" s="13">
        <f>IF(OR($G$7=0, 12&gt;$G$7), 0, IF(O650="RESTRINGIDO", AP730, 0))</f>
        <v/>
      </c>
      <c r="G812" s="12" t="inlineStr">
        <is>
          <t>U12X</t>
        </is>
      </c>
      <c r="H812" s="187" t="inlineStr">
        <is>
          <t>Kgf</t>
        </is>
      </c>
      <c r="I812" s="187">
        <f>O650</f>
        <v/>
      </c>
    </row>
    <row r="813" ht="26.4" customHeight="1" s="183">
      <c r="C813" s="11" t="inlineStr">
        <is>
          <t>R12Y</t>
        </is>
      </c>
      <c r="D813" s="12" t="inlineStr">
        <is>
          <t>U12Y</t>
        </is>
      </c>
      <c r="E813" s="187" t="inlineStr">
        <is>
          <t>=</t>
        </is>
      </c>
      <c r="F813" s="13">
        <f>IF(OR($G$7=0, 12&gt;$G$7), 0, IF(O651="RESTRINGIDO", AP731, 0))</f>
        <v/>
      </c>
      <c r="G813" s="12" t="inlineStr">
        <is>
          <t>U12Y</t>
        </is>
      </c>
      <c r="H813" s="187" t="inlineStr">
        <is>
          <t>Kgf</t>
        </is>
      </c>
      <c r="I813" s="187">
        <f>O651</f>
        <v/>
      </c>
    </row>
    <row r="814" ht="26.4" customHeight="1" s="183">
      <c r="C814" s="11" t="inlineStr">
        <is>
          <t>R12θ</t>
        </is>
      </c>
      <c r="D814" s="12" t="inlineStr">
        <is>
          <t>U12θ</t>
        </is>
      </c>
      <c r="E814" s="187" t="inlineStr">
        <is>
          <t>=</t>
        </is>
      </c>
      <c r="F814" s="13">
        <f>IF(OR($G$7=0, 12&gt;$G$7), 0, IF(O652="RESTRINGIDO", AP732, 0))</f>
        <v/>
      </c>
      <c r="G814" s="12" t="inlineStr">
        <is>
          <t>U12θ</t>
        </is>
      </c>
      <c r="H814" s="187" t="inlineStr">
        <is>
          <t>Kgf.cm</t>
        </is>
      </c>
      <c r="I814" s="187">
        <f>O652</f>
        <v/>
      </c>
    </row>
    <row r="818">
      <c r="C818" s="53" t="inlineStr">
        <is>
          <t>DATOS PARA GRAFICAR LA CURVA ELÁSTICA</t>
        </is>
      </c>
      <c r="D818" s="190" t="n"/>
      <c r="E818" s="190" t="n"/>
      <c r="F818" s="191" t="n"/>
    </row>
    <row r="819">
      <c r="C819" s="17" t="inlineStr">
        <is>
          <t>Nudo</t>
        </is>
      </c>
      <c r="D819" s="17" t="inlineStr">
        <is>
          <t>X (cm)</t>
        </is>
      </c>
      <c r="E819" s="17" t="inlineStr">
        <is>
          <t>DY (cm)</t>
        </is>
      </c>
      <c r="F819" s="17" t="inlineStr">
        <is>
          <t>θ (rad)</t>
        </is>
      </c>
    </row>
    <row r="820">
      <c r="C820" s="187" t="n">
        <v>1</v>
      </c>
      <c r="D820" s="189" t="n">
        <v>0</v>
      </c>
      <c r="E820" s="188">
        <f>IF(F739="","", F739)</f>
        <v/>
      </c>
      <c r="F820" s="188">
        <f>IF(F740="","", F740)</f>
        <v/>
      </c>
    </row>
    <row r="821">
      <c r="C821" s="187" t="n">
        <v>2</v>
      </c>
      <c r="D821" s="189">
        <f>IF(I14="","", D820+I14)</f>
        <v/>
      </c>
      <c r="E821" s="188">
        <f>IF(I14="","", F742)</f>
        <v/>
      </c>
      <c r="F821" s="188">
        <f>IF(I14="","", F743)</f>
        <v/>
      </c>
    </row>
    <row r="822">
      <c r="C822" s="187" t="n">
        <v>3</v>
      </c>
      <c r="D822" s="189">
        <f>IF(I15="","", D821+I15)</f>
        <v/>
      </c>
      <c r="E822" s="188">
        <f>IF(I15="","", F745)</f>
        <v/>
      </c>
      <c r="F822" s="188">
        <f>IF(I15="","", F746)</f>
        <v/>
      </c>
    </row>
    <row r="823">
      <c r="C823" s="187" t="n">
        <v>4</v>
      </c>
      <c r="D823" s="189">
        <f>IF(I16="","", D822+I16)</f>
        <v/>
      </c>
      <c r="E823" s="188">
        <f>IF(I16="","", F748)</f>
        <v/>
      </c>
      <c r="F823" s="188">
        <f>IF(I16="","", F749)</f>
        <v/>
      </c>
    </row>
    <row r="824">
      <c r="C824" s="187" t="n">
        <v>5</v>
      </c>
      <c r="D824" s="189">
        <f>IF(I17="","", D823+I17)</f>
        <v/>
      </c>
      <c r="E824" s="188">
        <f>IF(I17="","", F751)</f>
        <v/>
      </c>
      <c r="F824" s="188">
        <f>IF(I17="","", F752)</f>
        <v/>
      </c>
    </row>
    <row r="825">
      <c r="C825" s="187" t="n">
        <v>6</v>
      </c>
      <c r="D825" s="189">
        <f>IF(I18="","", D824+I18)</f>
        <v/>
      </c>
      <c r="E825" s="188">
        <f>IF(I18="","", F754)</f>
        <v/>
      </c>
      <c r="F825" s="188">
        <f>IF(I18="","", F755)</f>
        <v/>
      </c>
    </row>
    <row r="826">
      <c r="C826" s="187" t="n">
        <v>7</v>
      </c>
      <c r="D826" s="189">
        <f>IF(I19="","", D825+I19)</f>
        <v/>
      </c>
      <c r="E826" s="188">
        <f>IF(I19="","", F757)</f>
        <v/>
      </c>
      <c r="F826" s="188">
        <f>IF(I19="","", F758)</f>
        <v/>
      </c>
    </row>
    <row r="827">
      <c r="C827" s="187" t="n">
        <v>8</v>
      </c>
      <c r="D827" s="189">
        <f>IF(I20="","", D826+I20)</f>
        <v/>
      </c>
      <c r="E827" s="188">
        <f>IF(I20="","", F760)</f>
        <v/>
      </c>
      <c r="F827" s="188">
        <f>IF(I20="","", F761)</f>
        <v/>
      </c>
    </row>
    <row r="828">
      <c r="C828" s="187" t="n">
        <v>9</v>
      </c>
      <c r="D828" s="189">
        <f>IF(I21="","", D827+I21)</f>
        <v/>
      </c>
      <c r="E828" s="188">
        <f>IF(I21="","", F763)</f>
        <v/>
      </c>
      <c r="F828" s="188">
        <f>IF(I21="","", F764)</f>
        <v/>
      </c>
    </row>
    <row r="829">
      <c r="C829" s="187" t="n">
        <v>10</v>
      </c>
      <c r="D829" s="189">
        <f>IF(I22="","", D828+I22)</f>
        <v/>
      </c>
      <c r="E829" s="188">
        <f>IF(I22="","", F766)</f>
        <v/>
      </c>
      <c r="F829" s="188">
        <f>IF(I22="","", F767)</f>
        <v/>
      </c>
    </row>
    <row r="830">
      <c r="C830" s="187" t="n">
        <v>11</v>
      </c>
      <c r="D830" s="189">
        <f>IF(I23="","", D829+I23)</f>
        <v/>
      </c>
      <c r="E830" s="188">
        <f>IF(I23="","", F769)</f>
        <v/>
      </c>
      <c r="F830" s="188">
        <f>IF(I23="","", F770)</f>
        <v/>
      </c>
    </row>
    <row r="831">
      <c r="C831" s="187" t="n">
        <v>12</v>
      </c>
      <c r="D831" s="189">
        <f>IF(I24="","", D830+I24)</f>
        <v/>
      </c>
      <c r="E831" s="188">
        <f>IF(I24="","", F772)</f>
        <v/>
      </c>
      <c r="F831" s="188">
        <f>IF(I24="","", F773)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69"/>
  <mergeCells count="41">
    <mergeCell ref="E12:F12"/>
    <mergeCell ref="B12:B13"/>
    <mergeCell ref="B40:Q40"/>
    <mergeCell ref="C777:I777"/>
    <mergeCell ref="L12:L13"/>
    <mergeCell ref="F26:H26"/>
    <mergeCell ref="N12:N13"/>
    <mergeCell ref="C818:F818"/>
    <mergeCell ref="C736:H736"/>
    <mergeCell ref="Z12:Z13"/>
    <mergeCell ref="K10:Q10"/>
    <mergeCell ref="C575:AL575"/>
    <mergeCell ref="R12:R13"/>
    <mergeCell ref="T12:T13"/>
    <mergeCell ref="I12:I13"/>
    <mergeCell ref="I616:M616"/>
    <mergeCell ref="K12:K13"/>
    <mergeCell ref="M12:M13"/>
    <mergeCell ref="K34:W34"/>
    <mergeCell ref="U12:U13"/>
    <mergeCell ref="O12:O13"/>
    <mergeCell ref="C615:AL615"/>
    <mergeCell ref="B1:I1"/>
    <mergeCell ref="W12:W13"/>
    <mergeCell ref="C12:D12"/>
    <mergeCell ref="Y12:Y13"/>
    <mergeCell ref="K26:W26"/>
    <mergeCell ref="H12:H13"/>
    <mergeCell ref="J12:J13"/>
    <mergeCell ref="P12:P13"/>
    <mergeCell ref="V12:V13"/>
    <mergeCell ref="K1:W1"/>
    <mergeCell ref="C655:AL655"/>
    <mergeCell ref="C616:G616"/>
    <mergeCell ref="X12:X13"/>
    <mergeCell ref="G12:G13"/>
    <mergeCell ref="C26:E26"/>
    <mergeCell ref="Q12:Q13"/>
    <mergeCell ref="S12:S13"/>
    <mergeCell ref="C695:AL695"/>
    <mergeCell ref="B26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2026-10-20T15:01:50Z</dcterms:created>
  <dcterms:modified xmlns:dcterms="http://purl.org/dc/terms/" xmlns:xsi="http://www.w3.org/2001/XMLSchema-instance" xsi:type="dcterms:W3CDTF">2026-10-21T04:08:25Z</dcterms:modified>
  <cp:lastModifiedBy>ULIANOV SABATH CUBA VALENCIA</cp:lastModifiedBy>
</cp:coreProperties>
</file>